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Users\Kenny\Desktop\DATA ANALYSIS\EXCEL PROJECT\"/>
    </mc:Choice>
  </mc:AlternateContent>
  <xr:revisionPtr revIDLastSave="0" documentId="13_ncr:1_{DD930E68-2703-4344-B6AE-47DB0AFA6E4F}" xr6:coauthVersionLast="47" xr6:coauthVersionMax="47" xr10:uidLastSave="{00000000-0000-0000-0000-000000000000}"/>
  <bookViews>
    <workbookView xWindow="-120" yWindow="-120" windowWidth="20730" windowHeight="11160" tabRatio="845" activeTab="3" xr2:uid="{DA05353D-A460-4EB3-9CEC-02798D95B150}"/>
  </bookViews>
  <sheets>
    <sheet name="Raw Data" sheetId="2" r:id="rId1"/>
    <sheet name="Cleaned Data" sheetId="1" r:id="rId2"/>
    <sheet name="Pivot Tables" sheetId="4" r:id="rId3"/>
    <sheet name="Dashboards" sheetId="5" r:id="rId4"/>
  </sheets>
  <definedNames>
    <definedName name="D6_">Dashboards!$AA$94:$AA$95</definedName>
    <definedName name="Electricity">Dashboards!$AA$90</definedName>
    <definedName name="Fixed_charge">Dashboards!$AA$92</definedName>
    <definedName name="Highest_paid">Dashboards!$AA$94</definedName>
    <definedName name="KPI_value" localSheetId="3">Dashboards!$AA$89</definedName>
    <definedName name="Lowest_paid">Dashboards!$AA$95</definedName>
    <definedName name="NativeTimeline_Date">#N/A</definedName>
    <definedName name="Service_charge">Dashboards!$AA$91</definedName>
    <definedName name="Slicer_Apartment_ID">#N/A</definedName>
    <definedName name="Slicer_Block">#N/A</definedName>
    <definedName name="Total_Revenue">Dashboards!$AA$89</definedName>
    <definedName name="Water_Bill">Dashboards!$AA$93</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1" l="1"/>
  <c r="N17" i="1"/>
  <c r="O2" i="1"/>
  <c r="N45" i="1"/>
  <c r="N46" i="1"/>
  <c r="N47" i="1"/>
  <c r="N48" i="1"/>
  <c r="N49" i="1"/>
  <c r="N50" i="1"/>
  <c r="N51" i="1"/>
  <c r="N44" i="1"/>
  <c r="O37" i="1"/>
  <c r="AA95" i="5"/>
  <c r="AA94" i="5"/>
  <c r="N25" i="1"/>
  <c r="N52" i="1"/>
  <c r="N53" i="1"/>
  <c r="N54" i="1"/>
  <c r="N33" i="1"/>
  <c r="K2514" i="1"/>
  <c r="N29" i="1"/>
  <c r="L507" i="1"/>
  <c r="AA91" i="5"/>
  <c r="AA92" i="5"/>
  <c r="AA89" i="5"/>
  <c r="AA93" i="5"/>
  <c r="AA90" i="5"/>
  <c r="N55" i="1" l="1"/>
</calcChain>
</file>

<file path=xl/sharedStrings.xml><?xml version="1.0" encoding="utf-8"?>
<sst xmlns="http://schemas.openxmlformats.org/spreadsheetml/2006/main" count="45518" uniqueCount="4511">
  <si>
    <t>Estate</t>
  </si>
  <si>
    <t>Order ID</t>
  </si>
  <si>
    <t>Meter No</t>
  </si>
  <si>
    <t>Property Type</t>
  </si>
  <si>
    <t>Partner Type</t>
  </si>
  <si>
    <t>House Address</t>
  </si>
  <si>
    <t>Bill</t>
  </si>
  <si>
    <t>Type</t>
  </si>
  <si>
    <t>Bill Type</t>
  </si>
  <si>
    <t>Unit Price</t>
  </si>
  <si>
    <t>Total Price</t>
  </si>
  <si>
    <t>Date</t>
  </si>
  <si>
    <t>Token</t>
  </si>
  <si>
    <t>Unit</t>
  </si>
  <si>
    <t>Alcove Homes</t>
  </si>
  <si>
    <t>FBSF9UTEA3LR</t>
  </si>
  <si>
    <t>Flats</t>
  </si>
  <si>
    <t>Occupied - Prepaid Water</t>
  </si>
  <si>
    <t>Block B, Apt. no. B8. Alcove Homes Estate 17-19 Ishola Street, Adekunle Yaba, Lagos</t>
  </si>
  <si>
    <t>BILL</t>
  </si>
  <si>
    <t>TOP_UP</t>
  </si>
  <si>
    <t xml:space="preserve">3049 5603 0086 9421 7338 </t>
  </si>
  <si>
    <t>FB24OGNT72J6</t>
  </si>
  <si>
    <t>Occupied - Prepaid SC</t>
  </si>
  <si>
    <t>Block C, Apt. no. C5. Alcove Homes Estate 17-19 Ishola Street, Adekunle Yaba, Lagos</t>
  </si>
  <si>
    <t xml:space="preserve">3888 9067 7169 3220 7967 </t>
  </si>
  <si>
    <t>FB4313RNBWHM</t>
  </si>
  <si>
    <t>Pent House</t>
  </si>
  <si>
    <t>Occupied</t>
  </si>
  <si>
    <t>Block D, Apt. no. DPH. Alcove Homes Estate 17-19 Ishola Street, Adekunle Yaba, Lagos</t>
  </si>
  <si>
    <t xml:space="preserve">2806 6451 5899 8465 8068 </t>
  </si>
  <si>
    <t>FB6MUTTGHA2R</t>
  </si>
  <si>
    <t>Block D, Apt. no. D4. Alcove Homes Estate 17-19 Ishola Street, Adekunle Yaba, Lagos</t>
  </si>
  <si>
    <t xml:space="preserve">4136 0845 2081 3035 1207 </t>
  </si>
  <si>
    <t>FBIQSHQ4B0MB</t>
  </si>
  <si>
    <t>Office</t>
  </si>
  <si>
    <t>Office - No Water</t>
  </si>
  <si>
    <t>Security and Utilities Area</t>
  </si>
  <si>
    <t xml:space="preserve">0826 5029 9460 2280 0234 </t>
  </si>
  <si>
    <t>FBCK129LOTBT</t>
  </si>
  <si>
    <t xml:space="preserve">2777 7618 0543 4178 2904 </t>
  </si>
  <si>
    <t>FBQX92XVLIW0</t>
  </si>
  <si>
    <t>Terrace</t>
  </si>
  <si>
    <t>Block I, Apt. no. I1. Alcove Homes Estate 17-19 Ishola Street, Adekunle Yaba, Lagos</t>
  </si>
  <si>
    <t xml:space="preserve">5483 2822 2524 4884 1146 </t>
  </si>
  <si>
    <t>FBPTGG042M4H</t>
  </si>
  <si>
    <t>SERVICE</t>
  </si>
  <si>
    <t>OUTSTANDING</t>
  </si>
  <si>
    <t>FBPM46FN3UG9</t>
  </si>
  <si>
    <t>Block D, Apt. no. D5. Alcove Homes Estate 17-19 Ishola Street, Adekunle Yaba, Lagos</t>
  </si>
  <si>
    <t>FBIFZ4DPLBRR</t>
  </si>
  <si>
    <t>Block A, Apt. No. APH, Alcove Homes Estate 17-19 Ishola Street, Adekunle Yaba, Lagos</t>
  </si>
  <si>
    <t xml:space="preserve">2818 7960 9268 9725 4511 </t>
  </si>
  <si>
    <t>FBL8BXPZMMPJ</t>
  </si>
  <si>
    <t xml:space="preserve">3717 5062 0823 9380 2164 </t>
  </si>
  <si>
    <t xml:space="preserve">5570 2439 6971 3920 3843 </t>
  </si>
  <si>
    <t>FB569FFHPX82</t>
  </si>
  <si>
    <t>Block C, Apt. no. C4. Alcove Homes Estate 17-19 Ishola Street, Adekunle Yaba, Lagos</t>
  </si>
  <si>
    <t xml:space="preserve">0571 6397 0768 0275 6482 </t>
  </si>
  <si>
    <t>FBVUJ52E4INN</t>
  </si>
  <si>
    <t xml:space="preserve">2786 5429 8547 1622 5993 </t>
  </si>
  <si>
    <t>FBW082HUZXJX</t>
  </si>
  <si>
    <t>Block D, Apt. no. D8. Alcove Homes Estate 17-19 Ishola Street, Adekunle Yaba, Lagos</t>
  </si>
  <si>
    <t>POWER</t>
  </si>
  <si>
    <t xml:space="preserve">7126 6865 5100 2681 4247 </t>
  </si>
  <si>
    <t>FBV2BR4R1O5I</t>
  </si>
  <si>
    <t>Block D Common Area</t>
  </si>
  <si>
    <t xml:space="preserve">0410 7476 2072 6864 2048 </t>
  </si>
  <si>
    <t>FBBLLMCOMHN4</t>
  </si>
  <si>
    <t>Block I, Apt. no. I3. Alcove Homes Estate 17-19 Ishola Street, Adekunle Yaba, Lagos</t>
  </si>
  <si>
    <t xml:space="preserve">6552 2649 4270 6597 7464 </t>
  </si>
  <si>
    <t>FBFPAUMHBSAO</t>
  </si>
  <si>
    <t>Block I, Apt. no. I2. Alcove Homes Estate 17-19 Ishola Street, Adekunle Yaba, Lagos</t>
  </si>
  <si>
    <t xml:space="preserve">0982 7304 1387 3656 7889 </t>
  </si>
  <si>
    <t>FBC4QB2F5T4Y</t>
  </si>
  <si>
    <t xml:space="preserve">5257 5609 8146 8617 3571 </t>
  </si>
  <si>
    <t>FBD0OG1Y2CQO</t>
  </si>
  <si>
    <t>Block A, Apt. no. A1. Alcove Homes Estate 17-19 Ishola Street, Adekunle Yaba, Lagos</t>
  </si>
  <si>
    <t xml:space="preserve">2091 1719 8668 8009 1952 </t>
  </si>
  <si>
    <t>FBK5ZFVAKTIJ</t>
  </si>
  <si>
    <t xml:space="preserve">5441 7503 8428 3188 2582 </t>
  </si>
  <si>
    <t>FBXUN9AJ611M</t>
  </si>
  <si>
    <t>Block A, Apt. no. A2. Alcove Homes Estate 17-19 Ishola Street, Adekunle Yaba, Lagos</t>
  </si>
  <si>
    <t xml:space="preserve">7265 4952 6226 5590 3679 </t>
  </si>
  <si>
    <t>FB0OY9A3D0FX</t>
  </si>
  <si>
    <t xml:space="preserve">2799 6995 3834 4103 2188 </t>
  </si>
  <si>
    <t>FBKBST5NIV0D</t>
  </si>
  <si>
    <t>Occupied - Prepaid SC and Water</t>
  </si>
  <si>
    <t>Block B, Apt. no. B4. Alcove Homes Estate 17-19 Ishola Street, Adekunle Yaba, Lagos</t>
  </si>
  <si>
    <t xml:space="preserve">4335 1901 9790 1221 0377 </t>
  </si>
  <si>
    <t>FBI7LTGI2JZ1</t>
  </si>
  <si>
    <t xml:space="preserve">6572 5228 5753 7024 2254 </t>
  </si>
  <si>
    <t>FBMBIJIVUOK3</t>
  </si>
  <si>
    <t>Block B Common Area</t>
  </si>
  <si>
    <t xml:space="preserve">1684 4609 3250 9847 9524 </t>
  </si>
  <si>
    <t>FBUKF8O33E4V</t>
  </si>
  <si>
    <t xml:space="preserve">5549 2395 1053 5739 2257 </t>
  </si>
  <si>
    <t>FBIG9CDOLJH6</t>
  </si>
  <si>
    <t xml:space="preserve">0193 1370 6642 4062 9617 </t>
  </si>
  <si>
    <t>FBLDVA89MYJR</t>
  </si>
  <si>
    <t>Block D, Apt. no. D7. Alcove Homes Estate 17-19 Ishola Street, Adekunle Yaba, Lagos</t>
  </si>
  <si>
    <t xml:space="preserve">3886 2709 4800 6283 9631 </t>
  </si>
  <si>
    <t>FBFURVJJXTAR</t>
  </si>
  <si>
    <t xml:space="preserve">2932 6915 9956 0715 3583 </t>
  </si>
  <si>
    <t xml:space="preserve">5168 8363 3019 9775 8720 </t>
  </si>
  <si>
    <t>FBSUKP7E2LAE</t>
  </si>
  <si>
    <t xml:space="preserve">0248 4215 8765 8176 2834 </t>
  </si>
  <si>
    <t>FBXHB59VDNBE</t>
  </si>
  <si>
    <t>Block C, Apt. no. C8. Alcove Homes Estate 17-19 Ishola Street, Adekunle Yaba, Lagos</t>
  </si>
  <si>
    <t xml:space="preserve">2715 8673 2234 0140 3183 </t>
  </si>
  <si>
    <t xml:space="preserve">3134 9250 4658 2904 7033 </t>
  </si>
  <si>
    <t>FBDL8AI9IFET</t>
  </si>
  <si>
    <t xml:space="preserve">3816 2174 6823 4174 2210 </t>
  </si>
  <si>
    <t>FB94MJH9AQ8C</t>
  </si>
  <si>
    <t>FB3W1UHYLE38</t>
  </si>
  <si>
    <t>FBORMSRVLTJJ</t>
  </si>
  <si>
    <t>MANAGEMENT OFFICE</t>
  </si>
  <si>
    <t xml:space="preserve">0527 9015 8604 7420 6342 </t>
  </si>
  <si>
    <t>FB2VD5Z6U0QB</t>
  </si>
  <si>
    <t>Block C, Apt. no. C1. Alcove Homes Estate 17-19 Ishola Street, Adekunle Yaba, Lagos</t>
  </si>
  <si>
    <t xml:space="preserve">5119 3210 5840 9061 9063 </t>
  </si>
  <si>
    <t>FB9CTZ721F0E</t>
  </si>
  <si>
    <t>Block D, Apt. no. D3. Alcove Homes Estate 17-19 Ishola Street, Adekunle Yaba, Lagos</t>
  </si>
  <si>
    <t xml:space="preserve">2485 2685 1087 7214 2973 </t>
  </si>
  <si>
    <t>FBYSYJFKEWFC</t>
  </si>
  <si>
    <t xml:space="preserve">2115 6540 8395 0246 2739 </t>
  </si>
  <si>
    <t>FB8NAV4RR0IW</t>
  </si>
  <si>
    <t xml:space="preserve">2208 1498 1813 3276 0915 </t>
  </si>
  <si>
    <t>FB1V9VU65RE1</t>
  </si>
  <si>
    <t>Block D, Apt. no. D6. Alcove Homes Estate 17-19 Ishola Street, Adekunle Yaba, Lagos</t>
  </si>
  <si>
    <t xml:space="preserve">6945 2436 7669 3614 7074 </t>
  </si>
  <si>
    <t>FB3V5J8PL5ED</t>
  </si>
  <si>
    <t>FBY416KA0250</t>
  </si>
  <si>
    <t>Block A Common Area</t>
  </si>
  <si>
    <t xml:space="preserve">4683 1063 9990 3208 2067 </t>
  </si>
  <si>
    <t>FBHVE979N7BO</t>
  </si>
  <si>
    <t>Block C Common Area</t>
  </si>
  <si>
    <t xml:space="preserve">2842 8849 8906 8327 4153 </t>
  </si>
  <si>
    <t>FBM6MKEBVQJS</t>
  </si>
  <si>
    <t xml:space="preserve">3900 6240 3132 4292 9200 </t>
  </si>
  <si>
    <t>FBINFB7GA9HU</t>
  </si>
  <si>
    <t xml:space="preserve">1610 3167 6385 2836 1517 </t>
  </si>
  <si>
    <t>FBJTM0QCUT7K</t>
  </si>
  <si>
    <t>Block D, Apt. no. D2. Alcove Homes Estate 17-19 Ishola Street, Adekunle Yaba, Lagos</t>
  </si>
  <si>
    <t xml:space="preserve">0792 3510 5829 1115 8802 </t>
  </si>
  <si>
    <t>FB098YT12ZS5</t>
  </si>
  <si>
    <t>Block A, Apt. no. A8. Alcove Homes Estate 17-19 Ishola Street, Adekunle Yaba, Lagos</t>
  </si>
  <si>
    <t xml:space="preserve">2944 6274 0843 1442 3872 </t>
  </si>
  <si>
    <t>FB5Q14S2YD8L</t>
  </si>
  <si>
    <t>Block A, Apt. no. A6. Alcove Homes Estate 17-19 Ishola Street, Adekunle Yaba, Lagos</t>
  </si>
  <si>
    <t xml:space="preserve">7321 3143 7904 3368 6108 </t>
  </si>
  <si>
    <t>FB9JDVZ6GE8O</t>
  </si>
  <si>
    <t xml:space="preserve">0003 3994 7897 1065 6091 </t>
  </si>
  <si>
    <t>FB0Y2QN5PGNO</t>
  </si>
  <si>
    <t>Block C, Apt. no. C6. Alcove Homes Estate 17-19 Ishola Street, Adekunle Yaba, Lagos</t>
  </si>
  <si>
    <t xml:space="preserve">5510 0936 8448 0221 7895 </t>
  </si>
  <si>
    <t>FBMVYXX2BUGS</t>
  </si>
  <si>
    <t>Block C, Apt. no. C2. Alcove Homes Estate 17-19 Ishola Street, Adekunle Yaba, Lagos</t>
  </si>
  <si>
    <t xml:space="preserve">7215 5904 9530 6284 8983 </t>
  </si>
  <si>
    <t>FBSLC0PJ7FG9</t>
  </si>
  <si>
    <t>Block C, Apt. no. C7. Alcove Homes Estate 17-19 Ishola Street, Adekunle Yaba, Lagos</t>
  </si>
  <si>
    <t xml:space="preserve">0156 5509 4285 4608 3085 </t>
  </si>
  <si>
    <t>FBF6Q74XA7IJ</t>
  </si>
  <si>
    <t xml:space="preserve">3577 2122 4713 8782 7702 </t>
  </si>
  <si>
    <t>FB5LYCTF6VXF</t>
  </si>
  <si>
    <t>Block B, Apt. no. B2. Alcove Homes Estate 17-19 Ishola Street, Adekunle Yaba, Lagos</t>
  </si>
  <si>
    <t xml:space="preserve">1473 6135 1041 3742 9456 </t>
  </si>
  <si>
    <t>FBSNNP3CK66L</t>
  </si>
  <si>
    <t xml:space="preserve">2559 4187 8283 8780 6531 </t>
  </si>
  <si>
    <t>FBX6VAS66FOY</t>
  </si>
  <si>
    <t xml:space="preserve">4075 8635 3259 6924 6959 </t>
  </si>
  <si>
    <t>FBREFC2NR0EB</t>
  </si>
  <si>
    <t xml:space="preserve">6768 1180 5110 7651 3815 </t>
  </si>
  <si>
    <t>FBZBKFXI7VBJ</t>
  </si>
  <si>
    <t>FB0T0DNHR0OJ</t>
  </si>
  <si>
    <t>Block D, Apt. no. D1. Alcove Homes Estate 17-19 Ishola Street, Adekunle Yaba, Lagos</t>
  </si>
  <si>
    <t xml:space="preserve">0453 7805 9646 5211 9984 </t>
  </si>
  <si>
    <t>FBWHQXGBQI72</t>
  </si>
  <si>
    <t>Block B, Apt. no. B7. Alcove Homes Estate 17-19 Ishola Street, Adekunle Yaba, Lagos</t>
  </si>
  <si>
    <t xml:space="preserve">4472 5476 7026 2880 7073 </t>
  </si>
  <si>
    <t>FBXDT10E6C1I</t>
  </si>
  <si>
    <t xml:space="preserve">2415 1517 6429 7221 0303 </t>
  </si>
  <si>
    <t>FBK8QUMYMOVR</t>
  </si>
  <si>
    <t>FB8V5IJSTA6G</t>
  </si>
  <si>
    <t>Block B, Apt. no. B1. Alcove Homes Estate 17-19 Ishola Street, Adekunle Yaba, Lagos</t>
  </si>
  <si>
    <t xml:space="preserve">3819 6161 0602 7967 3110 </t>
  </si>
  <si>
    <t>FBDW5BKUSJKY</t>
  </si>
  <si>
    <t>Block B, Apt. no. B5. Alcove Homes Estate 17-19 Ishola Street, Adekunle Yaba, Lagos</t>
  </si>
  <si>
    <t>FBQ9IPH60D5B</t>
  </si>
  <si>
    <t xml:space="preserve">2390 0646 2752 2564 3804 </t>
  </si>
  <si>
    <t>FB11IIYYEY72</t>
  </si>
  <si>
    <t xml:space="preserve">4214 4279 9480 1790 6225 </t>
  </si>
  <si>
    <t>FBR8YGR8YFBX</t>
  </si>
  <si>
    <t xml:space="preserve">6028 5879 1613 4841 4076 </t>
  </si>
  <si>
    <t>FBQBOKLQDBEY</t>
  </si>
  <si>
    <t xml:space="preserve">4806 4076 0496 4108 6811 </t>
  </si>
  <si>
    <t>FBI8L6QBDFOT</t>
  </si>
  <si>
    <t xml:space="preserve">2009 6062 7237 3462 4279 </t>
  </si>
  <si>
    <t>FBN695Z2YDYS</t>
  </si>
  <si>
    <t>Block I, Apt. no. I4. Alcove Homes Estate 17-19 Ishola Street, Adekunle Yaba, Lagos</t>
  </si>
  <si>
    <t xml:space="preserve">1244 8315 9804 1874 9084 </t>
  </si>
  <si>
    <t>FBHV4N1TZNMK</t>
  </si>
  <si>
    <t>Block B, Apt. no. B3. Alcove Homes Estate 17-19 Ishola Street, Adekunle Yaba, Lagos</t>
  </si>
  <si>
    <t xml:space="preserve">4026 6476 9444 1673 1823 </t>
  </si>
  <si>
    <t>FBBGJVDFTL1R</t>
  </si>
  <si>
    <t xml:space="preserve">1630 0939 1910 9938 5080 </t>
  </si>
  <si>
    <t>FBONIN07XEEV</t>
  </si>
  <si>
    <t xml:space="preserve">6047 7235 5033 5212 0813 </t>
  </si>
  <si>
    <t>FBZP0U7S8I0I</t>
  </si>
  <si>
    <t xml:space="preserve">6721 5472 8579 0426 5115 </t>
  </si>
  <si>
    <t>FBSBQQCKR1WP</t>
  </si>
  <si>
    <t>FBQ2FNR5UU8X</t>
  </si>
  <si>
    <t xml:space="preserve">7184 3025 3789 8454 1989 </t>
  </si>
  <si>
    <t>FBX7YW7YVRDS</t>
  </si>
  <si>
    <t xml:space="preserve">0088 9603 3282 6739 3544 </t>
  </si>
  <si>
    <t>FBMCISZVP9TS</t>
  </si>
  <si>
    <t>FBIF6LLXOJAK</t>
  </si>
  <si>
    <t>Block A, Apt. no. A7. Alcove Homes Estate 17-19 Ishola Street, Adekunle Yaba, Lagos</t>
  </si>
  <si>
    <t xml:space="preserve">0540 2401 1676 6632 1876 </t>
  </si>
  <si>
    <t>FBIYK9UL950G</t>
  </si>
  <si>
    <t>FBDJVE95TEFZ</t>
  </si>
  <si>
    <t>Block B, Apt. no. B6. Alcove Homes Estate 17-19 Ishola Street, Adekunle Yaba, Lagos</t>
  </si>
  <si>
    <t xml:space="preserve">0110 4587 8099 6471 1430 </t>
  </si>
  <si>
    <t>FBX4M41927KJ</t>
  </si>
  <si>
    <t xml:space="preserve">0129 9754 0519 7771 7564 </t>
  </si>
  <si>
    <t>FB0ADMGCJCTX</t>
  </si>
  <si>
    <t xml:space="preserve">3131 8526 2196 2032 5599 </t>
  </si>
  <si>
    <t>FBYACAL4D12D</t>
  </si>
  <si>
    <t>FBX1TLPNMJD2</t>
  </si>
  <si>
    <t xml:space="preserve">3199 7291 2708 3853 2103 </t>
  </si>
  <si>
    <t>FB2RNOU1X4T4</t>
  </si>
  <si>
    <t xml:space="preserve">6784 6535 8059 5361 3574 </t>
  </si>
  <si>
    <t>FBSXDA42QDJU</t>
  </si>
  <si>
    <t xml:space="preserve">0753 5782 9696 8567 1296 </t>
  </si>
  <si>
    <t>FB48Z79XI7HT</t>
  </si>
  <si>
    <t xml:space="preserve">4256 0114 3255 6922 4689 </t>
  </si>
  <si>
    <t>FBJ4X083SZX6</t>
  </si>
  <si>
    <t xml:space="preserve">2117 4330 3889 5934 5317 </t>
  </si>
  <si>
    <t>FBEW0UZRT5BT</t>
  </si>
  <si>
    <t xml:space="preserve">0960 8293 7652 3017 7977 </t>
  </si>
  <si>
    <t>FB851MDBZ7V2</t>
  </si>
  <si>
    <t>FB3OYS5XYBD8</t>
  </si>
  <si>
    <t xml:space="preserve">3683 1761 8524 6616 5337 </t>
  </si>
  <si>
    <t>FB50R72FP76P</t>
  </si>
  <si>
    <t>FBEEC7158N7Y</t>
  </si>
  <si>
    <t>FBGO11FYO8ZF</t>
  </si>
  <si>
    <t>FBFB18SUYK22</t>
  </si>
  <si>
    <t>FB3HFON7EBGU</t>
  </si>
  <si>
    <t>FBUM56G975S9</t>
  </si>
  <si>
    <t>FBSZ3LMRIS4Y</t>
  </si>
  <si>
    <t xml:space="preserve">2065 0782 3527 2609 0156 </t>
  </si>
  <si>
    <t>FBCA3OTZ6QD7</t>
  </si>
  <si>
    <t xml:space="preserve">3304 6333 6103 7364 3730 </t>
  </si>
  <si>
    <t>FBO9SGYAGDGE</t>
  </si>
  <si>
    <t>FBOTP1N0F20D</t>
  </si>
  <si>
    <t>FBMJLKJSBPCO</t>
  </si>
  <si>
    <t>FBSTRVVF6HS8</t>
  </si>
  <si>
    <t>FBE8JXMDQ806</t>
  </si>
  <si>
    <t>FBZ98HFOZSHG</t>
  </si>
  <si>
    <t>FB8892Q5LKJL</t>
  </si>
  <si>
    <t xml:space="preserve">3839 2233 4093 4171 8438 </t>
  </si>
  <si>
    <t>FB24WBRYDMTO</t>
  </si>
  <si>
    <t>FBGPMLUV9P7Y</t>
  </si>
  <si>
    <t>FB9MONSCCDXV</t>
  </si>
  <si>
    <t xml:space="preserve">2832 8935 4877 6840 6725 </t>
  </si>
  <si>
    <t>FBDTAEU4E8S5</t>
  </si>
  <si>
    <t xml:space="preserve">6527 8519 5077 8864 9842 </t>
  </si>
  <si>
    <t>FB5Z55E2RZK2</t>
  </si>
  <si>
    <t xml:space="preserve">1515 6599 0542 0325 3985 </t>
  </si>
  <si>
    <t>FBQLVKE3FT02</t>
  </si>
  <si>
    <t xml:space="preserve">5688 5272 0492 5678 7614 </t>
  </si>
  <si>
    <t>FB3BUSP4ZE98</t>
  </si>
  <si>
    <t xml:space="preserve">6065 0186 9638 7812 7990 </t>
  </si>
  <si>
    <t>FBDYUBE06TZ6</t>
  </si>
  <si>
    <t>Block A, Apt. no. A5, Alcove Homes Estate 17-19 Ishola Street, Adekunle Yaba, Lagos</t>
  </si>
  <si>
    <t>FBE3BN93U62B</t>
  </si>
  <si>
    <t xml:space="preserve">5835 9208 3268 8401 4446 </t>
  </si>
  <si>
    <t>FBQXOPXYZGXJ</t>
  </si>
  <si>
    <t>FBQMUJZ0L8OK</t>
  </si>
  <si>
    <t>FB2BDP53714I</t>
  </si>
  <si>
    <t xml:space="preserve">7364 1633 1622 3897 2247 </t>
  </si>
  <si>
    <t>FB17DW2JFGUB</t>
  </si>
  <si>
    <t xml:space="preserve">2889 8083 0080 6221 3971 </t>
  </si>
  <si>
    <t>FBW8ATKVPYWR</t>
  </si>
  <si>
    <t>FB4JURDFTIZN</t>
  </si>
  <si>
    <t xml:space="preserve">5634 6083 5589 2838 6479 </t>
  </si>
  <si>
    <t>FBLKT0OWOA4E</t>
  </si>
  <si>
    <t xml:space="preserve">3515 6255 2201 8514 8963 </t>
  </si>
  <si>
    <t>FB0IK2L0Y12S</t>
  </si>
  <si>
    <t>FBPDP0PRB6A5</t>
  </si>
  <si>
    <t>FBG1QTPQVN12</t>
  </si>
  <si>
    <t xml:space="preserve">2119 6615 5391 1674 1784 </t>
  </si>
  <si>
    <t>FBKRY61BAVES</t>
  </si>
  <si>
    <t>FBAKJS8Q0EJ3</t>
  </si>
  <si>
    <t xml:space="preserve">4558 7140 7310 5871 8380 </t>
  </si>
  <si>
    <t>FBBBR1EVU26S</t>
  </si>
  <si>
    <t xml:space="preserve">5647 0118 4787 9676 1595 </t>
  </si>
  <si>
    <t>FBO4IPHYRBOA</t>
  </si>
  <si>
    <t>FBZNJ14NMARI</t>
  </si>
  <si>
    <t xml:space="preserve">2722 6510 3490 3726 8562 </t>
  </si>
  <si>
    <t>FBJB8G7YWP07</t>
  </si>
  <si>
    <t xml:space="preserve">0418 7221 6178 4117 6777 </t>
  </si>
  <si>
    <t>FBPN6Q2HOHYR</t>
  </si>
  <si>
    <t xml:space="preserve">1918 4870 8418 3336 9459 </t>
  </si>
  <si>
    <t>FBA1OUBXSQVA</t>
  </si>
  <si>
    <t xml:space="preserve">0594 1459 0420 6373 0209 </t>
  </si>
  <si>
    <t>FBHCBTD9XSRO</t>
  </si>
  <si>
    <t xml:space="preserve">2568 9591 7490 3927 0460 </t>
  </si>
  <si>
    <t>FB8DD29VEN16</t>
  </si>
  <si>
    <t xml:space="preserve">6390 2250 5061 6309 1973 </t>
  </si>
  <si>
    <t>FB6VFESCTFEC</t>
  </si>
  <si>
    <t xml:space="preserve">2846 8553 5867 8906 2060 </t>
  </si>
  <si>
    <t>FBEP2ADAPOEI</t>
  </si>
  <si>
    <t xml:space="preserve">3572 4398 0924 4938 3239 </t>
  </si>
  <si>
    <t>FB04QZ9D8UKN</t>
  </si>
  <si>
    <t>FBUI875P92KK</t>
  </si>
  <si>
    <t xml:space="preserve">3701 3591 1209 6695 6813 </t>
  </si>
  <si>
    <t>FBKOY6VB6X9W</t>
  </si>
  <si>
    <t xml:space="preserve">0408 6452 7031 0780 0154 </t>
  </si>
  <si>
    <t>FBKQ0IWB2RE5</t>
  </si>
  <si>
    <t xml:space="preserve">0644 5005 5369 3626 5173 </t>
  </si>
  <si>
    <t>FB37CLU19CKQ</t>
  </si>
  <si>
    <t xml:space="preserve">4195 2740 8553 8890 1690 </t>
  </si>
  <si>
    <t>FBA8Z3JPXMHC</t>
  </si>
  <si>
    <t xml:space="preserve">4667 0004 3162 4523 6320 </t>
  </si>
  <si>
    <t>FBXKG5P0EPBH</t>
  </si>
  <si>
    <t xml:space="preserve">0111 2345 9774 5096 6672 </t>
  </si>
  <si>
    <t>FBIT9WECDL9W</t>
  </si>
  <si>
    <t xml:space="preserve">5836 8460 9223 7469 7776 </t>
  </si>
  <si>
    <t>FBJCVNO4II4C</t>
  </si>
  <si>
    <t xml:space="preserve">3789 9586 6895 7695 1430 </t>
  </si>
  <si>
    <t>FBDDFWL4HN9V</t>
  </si>
  <si>
    <t xml:space="preserve">6189 6121 6094 9383 9195 </t>
  </si>
  <si>
    <t>FB18GYWCPY71</t>
  </si>
  <si>
    <t xml:space="preserve">1797 1803 4586 5303 9785 </t>
  </si>
  <si>
    <t>FBEY0FS7VHW3</t>
  </si>
  <si>
    <t xml:space="preserve">0046 6896 6976 5505 4662 </t>
  </si>
  <si>
    <t>FB73HVM1BU7G</t>
  </si>
  <si>
    <t xml:space="preserve">3990 3716 5591 6531 9264 </t>
  </si>
  <si>
    <t>FBMX01946R2P</t>
  </si>
  <si>
    <t xml:space="preserve">5652 9085 4093 5761 6198 </t>
  </si>
  <si>
    <t>FBTZLJT7LYDR</t>
  </si>
  <si>
    <t xml:space="preserve">1516 8719 2548 6195 2082 </t>
  </si>
  <si>
    <t>FBSJ7ECT17RN</t>
  </si>
  <si>
    <t xml:space="preserve">5415 8395 1097 1601 0660 </t>
  </si>
  <si>
    <t>FBV73BQ7QJHF</t>
  </si>
  <si>
    <t xml:space="preserve">4018 0066 9337 9468 2190 </t>
  </si>
  <si>
    <t>FBD3M8XDLUMZ</t>
  </si>
  <si>
    <t xml:space="preserve">4271 4556 8558 4440 7422 </t>
  </si>
  <si>
    <t>FBTYNUIP2N1I</t>
  </si>
  <si>
    <t xml:space="preserve">3536 5145 2093 3435 4195 </t>
  </si>
  <si>
    <t>FBIQTLZYW927</t>
  </si>
  <si>
    <t xml:space="preserve">1559 0115 9354 8583 2769 </t>
  </si>
  <si>
    <t>FBUX261QY558</t>
  </si>
  <si>
    <t xml:space="preserve">5629 8438 3233 2879 3150 </t>
  </si>
  <si>
    <t>FBJKGXEDATD9</t>
  </si>
  <si>
    <t xml:space="preserve">0051 6816 6859 1718 3694 </t>
  </si>
  <si>
    <t>FBUP92MGQOY0</t>
  </si>
  <si>
    <t>FB77ZZACIDTO</t>
  </si>
  <si>
    <t>Block C, Apt. no. C3. Alcove Homes Estate 17-19 Ishola Street, Adekunle Yaba, Lagos</t>
  </si>
  <si>
    <t xml:space="preserve">6040 4939 2470 4999 5826 </t>
  </si>
  <si>
    <t xml:space="preserve">5828 9757 4778 9493 0820 </t>
  </si>
  <si>
    <t>FB42R3PO0QKD</t>
  </si>
  <si>
    <t xml:space="preserve">2697 1528 7180 8748 5753 </t>
  </si>
  <si>
    <t xml:space="preserve">6952 2002 2335 4345 5792 </t>
  </si>
  <si>
    <t>FBJYTX5TG878</t>
  </si>
  <si>
    <t xml:space="preserve">5324 3184 5958 5875 5160 </t>
  </si>
  <si>
    <t>FB1YT0MWK7Y6</t>
  </si>
  <si>
    <t xml:space="preserve">0839 8057 3785 5832 1205 </t>
  </si>
  <si>
    <t>FB1PA40IJU99</t>
  </si>
  <si>
    <t xml:space="preserve">6234 8965 5644 3055 0133 </t>
  </si>
  <si>
    <t>FBRL2RQWIELC</t>
  </si>
  <si>
    <t xml:space="preserve">0064 3616 1770 7147 5368 </t>
  </si>
  <si>
    <t>FBCRQA6GT6AB</t>
  </si>
  <si>
    <t xml:space="preserve">3487 0212 2848 5203 1772 </t>
  </si>
  <si>
    <t>FBP8ECOFVTGR</t>
  </si>
  <si>
    <t xml:space="preserve">5026 6915 1527 6885 9261 </t>
  </si>
  <si>
    <t>FB80E1YW297U</t>
  </si>
  <si>
    <t xml:space="preserve">4403 4521 7273 8916 1770 </t>
  </si>
  <si>
    <t>FBSG2WX2YSQZ</t>
  </si>
  <si>
    <t xml:space="preserve">1970 4210 2631 4053 5447 </t>
  </si>
  <si>
    <t>FBOAGPMA5RK4</t>
  </si>
  <si>
    <t xml:space="preserve">1040 6463 4147 2707 8743 </t>
  </si>
  <si>
    <t>FBH0X0H6QMPW</t>
  </si>
  <si>
    <t xml:space="preserve">0137 6618 7763 6574 1290 </t>
  </si>
  <si>
    <t>FBYBJ6EPREXV</t>
  </si>
  <si>
    <t xml:space="preserve">7213 5456 7092 2848 0651 </t>
  </si>
  <si>
    <t>FB32KFO7RNT0</t>
  </si>
  <si>
    <t xml:space="preserve">5290 1514 0398 1976 6101 </t>
  </si>
  <si>
    <t>FBBNTP65POBN</t>
  </si>
  <si>
    <t>FBTSXU9TWKRX</t>
  </si>
  <si>
    <t xml:space="preserve">3249 2278 7140 0409 2963 </t>
  </si>
  <si>
    <t>FBUFCUGCL2MZ</t>
  </si>
  <si>
    <t xml:space="preserve">2295 8522 5429 6470 8653 </t>
  </si>
  <si>
    <t>FBTOFHEZ7X23</t>
  </si>
  <si>
    <t xml:space="preserve">0819 6361 3898 8300 8821 </t>
  </si>
  <si>
    <t>FBBPZOLQLSEE</t>
  </si>
  <si>
    <t xml:space="preserve">5338 1757 0530 0439 5384 </t>
  </si>
  <si>
    <t>FB8C4FS8YLEU</t>
  </si>
  <si>
    <t xml:space="preserve">6114 0211 2191 1732 6568 </t>
  </si>
  <si>
    <t>FB22P325X312</t>
  </si>
  <si>
    <t xml:space="preserve">1324 7593 3079 8733 1456 </t>
  </si>
  <si>
    <t>FB1RFQDRIJIL</t>
  </si>
  <si>
    <t xml:space="preserve">4449 9785 1454 9067 1270 </t>
  </si>
  <si>
    <t>FBY4ZWSLFSFB</t>
  </si>
  <si>
    <t xml:space="preserve">2870 9908 7049 1861 9297 </t>
  </si>
  <si>
    <t>FB8NYUFYTGD4</t>
  </si>
  <si>
    <t xml:space="preserve">0658 3223 1948 4534 2421 </t>
  </si>
  <si>
    <t>FBLRE7SOZ9W1</t>
  </si>
  <si>
    <t xml:space="preserve">0945 4395 2122 5996 8467 </t>
  </si>
  <si>
    <t>FBQM3LA1MWUE</t>
  </si>
  <si>
    <t xml:space="preserve">0383 0057 4928 0209 1590 </t>
  </si>
  <si>
    <t>FBFZGVGZAPHZ</t>
  </si>
  <si>
    <t xml:space="preserve">5728 7431 3855 5011 1049 </t>
  </si>
  <si>
    <t>FBDTVPXTJK6M</t>
  </si>
  <si>
    <t xml:space="preserve">2350 7071 9209 3097 6757 </t>
  </si>
  <si>
    <t>FBZ8E495KET5</t>
  </si>
  <si>
    <t xml:space="preserve">4177 6960 3363 1005 2511 </t>
  </si>
  <si>
    <t>FBSK0B7SRJ5F</t>
  </si>
  <si>
    <t xml:space="preserve">1557 7843 2424 6617 4045 </t>
  </si>
  <si>
    <t>FB524LQICY7O</t>
  </si>
  <si>
    <t xml:space="preserve">2452 1398 4225 1081 0557 </t>
  </si>
  <si>
    <t>FBNHV86NJFDA</t>
  </si>
  <si>
    <t xml:space="preserve">7307 8318 8496 3363 4348 </t>
  </si>
  <si>
    <t>FB7F8PDO3ACT</t>
  </si>
  <si>
    <t xml:space="preserve">1994 3731 7508 0665 3892 </t>
  </si>
  <si>
    <t>FB7TNFEZZXSU</t>
  </si>
  <si>
    <t>FB22G9UWJDXX</t>
  </si>
  <si>
    <t xml:space="preserve">2288 1277 2248 5399 2740 </t>
  </si>
  <si>
    <t>FB68U71Q0QA1</t>
  </si>
  <si>
    <t>FBGTRFRU54M7</t>
  </si>
  <si>
    <t xml:space="preserve">5754 1051 2094 9346 5636 </t>
  </si>
  <si>
    <t xml:space="preserve">2427 2254 9740 0622 4591 </t>
  </si>
  <si>
    <t>FBATCKWFT2Y8</t>
  </si>
  <si>
    <t xml:space="preserve">3291 3660 0695 8072 4327 </t>
  </si>
  <si>
    <t>FB42TH9PT2LF</t>
  </si>
  <si>
    <t xml:space="preserve">6651 9654 4313 5686 9972 </t>
  </si>
  <si>
    <t>FBI1LLGAFR48</t>
  </si>
  <si>
    <t xml:space="preserve">0942 3701 0765 9748 2662 </t>
  </si>
  <si>
    <t>FBEOA8KL9G7J</t>
  </si>
  <si>
    <t xml:space="preserve">3946 4901 6482 5798 8644 </t>
  </si>
  <si>
    <t>FBU7670PXSSQ</t>
  </si>
  <si>
    <t xml:space="preserve">4551 5356 6480 6851 3342 </t>
  </si>
  <si>
    <t>FBUM57PL81WG</t>
  </si>
  <si>
    <t xml:space="preserve">7178 8135 1991 7557 9006 </t>
  </si>
  <si>
    <t>FBAXPP4CQWTW</t>
  </si>
  <si>
    <t>FBZ2FQ2W4Z4B</t>
  </si>
  <si>
    <t>FBL3U67JEH17</t>
  </si>
  <si>
    <t xml:space="preserve">0819 4718 7317 8633 5810 </t>
  </si>
  <si>
    <t>FBIDRDOFZQ19</t>
  </si>
  <si>
    <t xml:space="preserve">0775 5837 8884 2224 0318 </t>
  </si>
  <si>
    <t>FB6SVUAFLQ0S</t>
  </si>
  <si>
    <t xml:space="preserve">7179 3917 6957 0118 0198 </t>
  </si>
  <si>
    <t>FBHUWFI7Q13T</t>
  </si>
  <si>
    <t xml:space="preserve">3042 0613 3715 2171 3621 </t>
  </si>
  <si>
    <t>FBD6IQW6KM2P</t>
  </si>
  <si>
    <t>FBJXFWTX8LUG</t>
  </si>
  <si>
    <t xml:space="preserve">5822 9293 8340 5696 9063 </t>
  </si>
  <si>
    <t>FBI93EV19T4K</t>
  </si>
  <si>
    <t>FB0S5QTJBCKL</t>
  </si>
  <si>
    <t xml:space="preserve">2571 3057 5315 9093 1505 </t>
  </si>
  <si>
    <t>FBMYEO5BV3SG</t>
  </si>
  <si>
    <t xml:space="preserve">1195 2212 1802 2590 4811 </t>
  </si>
  <si>
    <t>FBTNX89473EC</t>
  </si>
  <si>
    <t xml:space="preserve">6065 4303 9019 9188 0673 </t>
  </si>
  <si>
    <t>FB7O9HIAAY2B</t>
  </si>
  <si>
    <t xml:space="preserve">6695 1976 1746 9559 2700 </t>
  </si>
  <si>
    <t>FBR5R0006EB2</t>
  </si>
  <si>
    <t xml:space="preserve">4191 4642 7892 9669 8413 </t>
  </si>
  <si>
    <t>FB28GUFV31WC</t>
  </si>
  <si>
    <t>FBA3QAL7SN2W</t>
  </si>
  <si>
    <t xml:space="preserve">5925 5206 3132 9741 0762 </t>
  </si>
  <si>
    <t>FB4IGH0NT8I6</t>
  </si>
  <si>
    <t>FBTMKATBF45D</t>
  </si>
  <si>
    <t>FBKMWSM8ZUWC</t>
  </si>
  <si>
    <t xml:space="preserve">1951 9131 6302 0451 0134 </t>
  </si>
  <si>
    <t>FBKBPH1DRQM6</t>
  </si>
  <si>
    <t xml:space="preserve">6722 6923 7185 6948 2232 </t>
  </si>
  <si>
    <t>FB5D0SVLY8V0</t>
  </si>
  <si>
    <t>FB2P0QEBCKWS</t>
  </si>
  <si>
    <t>FBTMPK1D1V4B</t>
  </si>
  <si>
    <t>FB1CS16WALLD</t>
  </si>
  <si>
    <t>FBLF8X4T6P3P</t>
  </si>
  <si>
    <t>FBKGMRK5586J</t>
  </si>
  <si>
    <t xml:space="preserve">5422 3100 5304 0972 2568 </t>
  </si>
  <si>
    <t>FBY9QFEM6TAB</t>
  </si>
  <si>
    <t xml:space="preserve">5897 5567 3030 7834 4505 </t>
  </si>
  <si>
    <t>FBSDNCS81V9L</t>
  </si>
  <si>
    <t xml:space="preserve">0571 6412 6105 9036 0604 </t>
  </si>
  <si>
    <t>FBKM4Y2348FQ</t>
  </si>
  <si>
    <t>FBNURYN8SVTO</t>
  </si>
  <si>
    <t>FBFZAVV55YZN</t>
  </si>
  <si>
    <t xml:space="preserve">1987 4358 6847 0121 5753 </t>
  </si>
  <si>
    <t>FBE9GC58D42W</t>
  </si>
  <si>
    <t>FBHYX1RRTIGX</t>
  </si>
  <si>
    <t>FBHBVO5JKD7D</t>
  </si>
  <si>
    <t>FBUW9BLQL1B8</t>
  </si>
  <si>
    <t>FB8A1AHJT161</t>
  </si>
  <si>
    <t>FBSBGB2C9MIE</t>
  </si>
  <si>
    <t xml:space="preserve">2049 7422 3860 1534 1097 </t>
  </si>
  <si>
    <t>FBA722PSV6AU</t>
  </si>
  <si>
    <t xml:space="preserve">1200 2061 0175 4523 8693 </t>
  </si>
  <si>
    <t>FB88OZYGPV5V</t>
  </si>
  <si>
    <t xml:space="preserve">5182 8784 6071 5718 6938 </t>
  </si>
  <si>
    <t>FBVFPCGK7UJN</t>
  </si>
  <si>
    <t xml:space="preserve">0596 7535 8726 7725 1189 </t>
  </si>
  <si>
    <t>FBBSJEVP1JJW</t>
  </si>
  <si>
    <t xml:space="preserve">4005 6484 6910 7451 3540 </t>
  </si>
  <si>
    <t>FB9LY5924QPE</t>
  </si>
  <si>
    <t>FBY73Y3Q0S5V</t>
  </si>
  <si>
    <t xml:space="preserve">4955 3771 3119 1553 0989 </t>
  </si>
  <si>
    <t>FBFTWCXCE4NF</t>
  </si>
  <si>
    <t xml:space="preserve">6790 2122 7126 5327 3358 </t>
  </si>
  <si>
    <t>FBZ47CVDJXV9</t>
  </si>
  <si>
    <t>FBCS0A4AZGH4</t>
  </si>
  <si>
    <t xml:space="preserve">2880 1685 8214 9419 8873 </t>
  </si>
  <si>
    <t>FBGRJWGWDY1M</t>
  </si>
  <si>
    <t>FB53JBD3J8FU</t>
  </si>
  <si>
    <t xml:space="preserve">6225 5395 0005 2217 4376 </t>
  </si>
  <si>
    <t>FBEMANNCFV8Q</t>
  </si>
  <si>
    <t>FBETQNGLVKH9</t>
  </si>
  <si>
    <t>FBP52EIWXNNS</t>
  </si>
  <si>
    <t xml:space="preserve">7248 1140 6460 0507 7056 </t>
  </si>
  <si>
    <t>FBTC0DNTIBR6</t>
  </si>
  <si>
    <t xml:space="preserve">0925 0280 1546 9415 4089 </t>
  </si>
  <si>
    <t>FBALXB00PMLW</t>
  </si>
  <si>
    <t xml:space="preserve">2333 7840 8631 0203 1362 </t>
  </si>
  <si>
    <t>FB6PNI6XZOHH</t>
  </si>
  <si>
    <t>FBFJLFQ75JH2</t>
  </si>
  <si>
    <t>FBBYL4D3MVKL</t>
  </si>
  <si>
    <t>FB3SFU0O47D5</t>
  </si>
  <si>
    <t>FBPLVCDUOBQE</t>
  </si>
  <si>
    <t xml:space="preserve">6459 3362 5772 4143 1744 </t>
  </si>
  <si>
    <t>FB0JS1XZF0Y6</t>
  </si>
  <si>
    <t>FBQLCJJUEYSE</t>
  </si>
  <si>
    <t>FB60BE438ETI</t>
  </si>
  <si>
    <t xml:space="preserve">5046 6106 1759 0176 0924 </t>
  </si>
  <si>
    <t>FBURCHSEKBR8</t>
  </si>
  <si>
    <t xml:space="preserve">0467 7803 2975 1206 0184 </t>
  </si>
  <si>
    <t>FBQLTFWJO82W</t>
  </si>
  <si>
    <t xml:space="preserve">6124 8452 7555 5325 5548 </t>
  </si>
  <si>
    <t>FB6PKG8X95P8</t>
  </si>
  <si>
    <t>FBQEIG058FR6</t>
  </si>
  <si>
    <t xml:space="preserve">3525 5298 1684 2831 4933 </t>
  </si>
  <si>
    <t>FBMJY2J9227C</t>
  </si>
  <si>
    <t xml:space="preserve">0887 1474 0545 5395 4324 </t>
  </si>
  <si>
    <t>FB7RMAN6GYPJ</t>
  </si>
  <si>
    <t>FBTS7CVMJ829</t>
  </si>
  <si>
    <t>FBYI856CLRXI</t>
  </si>
  <si>
    <t xml:space="preserve">2998 5350 1914 5050 9041 </t>
  </si>
  <si>
    <t>FBA7SW2DLPRJ</t>
  </si>
  <si>
    <t xml:space="preserve">0985 4129 9283 8708 5859 </t>
  </si>
  <si>
    <t>FB8BED784HMT</t>
  </si>
  <si>
    <t xml:space="preserve">2847 1715 6260 0111 6166 </t>
  </si>
  <si>
    <t>FBW1RKWDCEFM</t>
  </si>
  <si>
    <t xml:space="preserve">1733 0718 0009 2608 4318 </t>
  </si>
  <si>
    <t>FBMO4DWWCUCW</t>
  </si>
  <si>
    <t xml:space="preserve">0909 2851 2353 6404 8401 </t>
  </si>
  <si>
    <t>FBO1GASK6T5P</t>
  </si>
  <si>
    <t xml:space="preserve">5628 9373 2922 3473 5421 </t>
  </si>
  <si>
    <t>FB0RSMB4Y91R</t>
  </si>
  <si>
    <t xml:space="preserve">5575 4380 7149 3232 0989 </t>
  </si>
  <si>
    <t>FBDWRG7TEF0J</t>
  </si>
  <si>
    <t xml:space="preserve">0822 5756 6550 1205 9345 </t>
  </si>
  <si>
    <t>FBV9CM97U4X2</t>
  </si>
  <si>
    <t xml:space="preserve">3290 6609 6741 7879 8522 </t>
  </si>
  <si>
    <t>FBKCMMX3W310</t>
  </si>
  <si>
    <t xml:space="preserve">1206 5978 6156 8263 9383 </t>
  </si>
  <si>
    <t>FBAYYTKIG2D6</t>
  </si>
  <si>
    <t xml:space="preserve">1390 4983 3125 2842 3275 </t>
  </si>
  <si>
    <t>FB54WIKV5YU7</t>
  </si>
  <si>
    <t>FBNYB5HZQE34</t>
  </si>
  <si>
    <t xml:space="preserve">2955 4209 4568 3074 9357 </t>
  </si>
  <si>
    <t>FBIQ7A5E1SIK</t>
  </si>
  <si>
    <t xml:space="preserve">4127 9482 5175 3865 3402 </t>
  </si>
  <si>
    <t>FBOZJ2VY1UVD</t>
  </si>
  <si>
    <t xml:space="preserve">2231 9346 1208 6477 4186 </t>
  </si>
  <si>
    <t>FBPCV4A2C4P3</t>
  </si>
  <si>
    <t xml:space="preserve">3856 1925 3258 4137 9127 </t>
  </si>
  <si>
    <t>FBK6NGWHZB13</t>
  </si>
  <si>
    <t>FBFHPMV03BMJ</t>
  </si>
  <si>
    <t xml:space="preserve">1540 6124 9824 8445 9094 </t>
  </si>
  <si>
    <t>FBB04K3HEMDJ</t>
  </si>
  <si>
    <t>FB8MD3WQPC74</t>
  </si>
  <si>
    <t xml:space="preserve">1213 6228 1025 5787 9802 </t>
  </si>
  <si>
    <t>FBBSQFMEXTTF</t>
  </si>
  <si>
    <t>FBM6JJGYSWQM</t>
  </si>
  <si>
    <t xml:space="preserve">4979 3423 7051 5384 3762 </t>
  </si>
  <si>
    <t>FB1S654GJXQO</t>
  </si>
  <si>
    <t xml:space="preserve">4680 8950 0172 2378 7621 </t>
  </si>
  <si>
    <t>FBTWTTIDF97H</t>
  </si>
  <si>
    <t xml:space="preserve">0558 9778 4575 2829 0235 </t>
  </si>
  <si>
    <t>FB3CDQ6XRFG4</t>
  </si>
  <si>
    <t xml:space="preserve">3463 0304 1107 0529 8729 </t>
  </si>
  <si>
    <t>FBMMYL04ILO5</t>
  </si>
  <si>
    <t xml:space="preserve">5362 3881 5065 8612 3026 </t>
  </si>
  <si>
    <t>FB60CC019HAH</t>
  </si>
  <si>
    <t xml:space="preserve">3176 1317 8502 8398 7300 </t>
  </si>
  <si>
    <t>FB0ZV8B94JIZ</t>
  </si>
  <si>
    <t xml:space="preserve">2014 4973 7330 4277 5221 </t>
  </si>
  <si>
    <t>FBJZNXJ44SC0</t>
  </si>
  <si>
    <t xml:space="preserve">0337 8206 9373 7688 6523 </t>
  </si>
  <si>
    <t>FBPR0POPL0JD</t>
  </si>
  <si>
    <t xml:space="preserve">4654 0042 4476 6741 6354 </t>
  </si>
  <si>
    <t>FBMIE9SDJWXG</t>
  </si>
  <si>
    <t xml:space="preserve">5796 0035 2191 5548 2199 </t>
  </si>
  <si>
    <t>FBHGMA37JNOK</t>
  </si>
  <si>
    <t>FBNU6V6KUPRR</t>
  </si>
  <si>
    <t>FBKBCU0QCUVF</t>
  </si>
  <si>
    <t xml:space="preserve">5973 4508 5826 8499 1528 </t>
  </si>
  <si>
    <t>FBYELUXQCZVZ</t>
  </si>
  <si>
    <t xml:space="preserve">3768 8943 6160 8977 8534 </t>
  </si>
  <si>
    <t>FBKRY6604OW6</t>
  </si>
  <si>
    <t xml:space="preserve">1025 7839 9309 8697 2786 </t>
  </si>
  <si>
    <t>FBQSG8D5V3JM</t>
  </si>
  <si>
    <t xml:space="preserve">3782 4646 3123 7197 3499 </t>
  </si>
  <si>
    <t>FB0RJ3AGPYBW</t>
  </si>
  <si>
    <t xml:space="preserve">4920 7510 7397 7379 1074 </t>
  </si>
  <si>
    <t>FBV4K1YJ3ISJ</t>
  </si>
  <si>
    <t xml:space="preserve">1552 7244 9425 6180 6605 </t>
  </si>
  <si>
    <t>FBUT1ASYDS06</t>
  </si>
  <si>
    <t xml:space="preserve">5328 9176 5080 3434 1768 </t>
  </si>
  <si>
    <t>FBQOPS68ZFQH</t>
  </si>
  <si>
    <t xml:space="preserve">6677 1903 0919 7306 8111 </t>
  </si>
  <si>
    <t>FBPNFOL79JKI</t>
  </si>
  <si>
    <t xml:space="preserve">4107 3383 8282 3589 1436 </t>
  </si>
  <si>
    <t>FBH6LPU9S4SX</t>
  </si>
  <si>
    <t xml:space="preserve">2959 4750 2490 4273 6649 </t>
  </si>
  <si>
    <t>FBRHI9HDGJEP</t>
  </si>
  <si>
    <t xml:space="preserve">0469 5191 3657 5158 7310 </t>
  </si>
  <si>
    <t>FBL5EY1YBZHS</t>
  </si>
  <si>
    <t xml:space="preserve">2865 5287 4653 5446 9776 </t>
  </si>
  <si>
    <t>FB52QWIVXH2P</t>
  </si>
  <si>
    <t xml:space="preserve">3614 9587 4825 4877 4857 </t>
  </si>
  <si>
    <t>FBXITR4F3IHF</t>
  </si>
  <si>
    <t xml:space="preserve">4858 6061 5482 7373 0259 </t>
  </si>
  <si>
    <t>FB6YA8NMIC91</t>
  </si>
  <si>
    <t xml:space="preserve">0841 2654 4321 7436 7076 </t>
  </si>
  <si>
    <t>FBQSVM5KAVG8</t>
  </si>
  <si>
    <t xml:space="preserve">2986 1277 9461 3106 1960 </t>
  </si>
  <si>
    <t>FBRHH6N9KO2J</t>
  </si>
  <si>
    <t xml:space="preserve">6420 3240 6604 4351 4321 </t>
  </si>
  <si>
    <t>FB4JHP67OT4B</t>
  </si>
  <si>
    <t xml:space="preserve">2065 2543 9281 8661 6349 </t>
  </si>
  <si>
    <t>FBO6JC5RMEVM</t>
  </si>
  <si>
    <t>FBJ473EQCQY2</t>
  </si>
  <si>
    <t xml:space="preserve">4133 2588 0691 8275 5724 </t>
  </si>
  <si>
    <t>FB31KMBKCQX8</t>
  </si>
  <si>
    <t xml:space="preserve">2029 1194 4208 7961 0919 </t>
  </si>
  <si>
    <t>FBNSI2DZ235M</t>
  </si>
  <si>
    <t xml:space="preserve">3157 2172 6472 0595 8606 </t>
  </si>
  <si>
    <t>FBACVFFK1DGZ</t>
  </si>
  <si>
    <t xml:space="preserve">7178 5424 3344 5218 1531 </t>
  </si>
  <si>
    <t>FBOTFCLTL04N</t>
  </si>
  <si>
    <t>Massionette Area - Construction</t>
  </si>
  <si>
    <t xml:space="preserve">1727 5132 7365 4861 6450 </t>
  </si>
  <si>
    <t>FBZFF4131705</t>
  </si>
  <si>
    <t xml:space="preserve">6812 0604 9206 7407 9092 </t>
  </si>
  <si>
    <t>FB1I80KIS4MR</t>
  </si>
  <si>
    <t xml:space="preserve">0609 0850 2179 6939 3870 </t>
  </si>
  <si>
    <t>FB9KK74ECPE3</t>
  </si>
  <si>
    <t xml:space="preserve">5521 4883 3853 4228 1222 </t>
  </si>
  <si>
    <t>FBOEYIU1C9Q8</t>
  </si>
  <si>
    <t>FBEE9NGRPSJU</t>
  </si>
  <si>
    <t xml:space="preserve">4767 6344 6213 4204 0548 </t>
  </si>
  <si>
    <t>FBKXE4U4AVHB</t>
  </si>
  <si>
    <t xml:space="preserve">5866 5893 0302 7353 1940 </t>
  </si>
  <si>
    <t>FBHHNJFYHJAN</t>
  </si>
  <si>
    <t>FBRVSCQ2N46K</t>
  </si>
  <si>
    <t>FB38Z4HHWPEO</t>
  </si>
  <si>
    <t xml:space="preserve">5271 0797 7767 7889 8993 </t>
  </si>
  <si>
    <t>FBTRB1FO3RI8</t>
  </si>
  <si>
    <t xml:space="preserve">1766 9285 0646 5803 4952 </t>
  </si>
  <si>
    <t>FBI2Y7I5O5J7</t>
  </si>
  <si>
    <t>FB37T1LSIDKI</t>
  </si>
  <si>
    <t xml:space="preserve">1993 0150 8875 4917 8890 </t>
  </si>
  <si>
    <t>FB2SBN6Q0ZXD</t>
  </si>
  <si>
    <t>FBPXLQ99LYYH</t>
  </si>
  <si>
    <t>FBRH0I40P4YD</t>
  </si>
  <si>
    <t xml:space="preserve">5797 8970 7303 1633 7218 </t>
  </si>
  <si>
    <t>FBXCFTNW8XNZ</t>
  </si>
  <si>
    <t xml:space="preserve">0509 9703 2188 2130 1652 </t>
  </si>
  <si>
    <t>FBF74ZT0G7CB</t>
  </si>
  <si>
    <t>FBDZVFKKD56A</t>
  </si>
  <si>
    <t xml:space="preserve">3432 8890 8209 0347 9567 </t>
  </si>
  <si>
    <t>FBSCJ6DMUVXK</t>
  </si>
  <si>
    <t>FBGGOMOFGLOA</t>
  </si>
  <si>
    <t xml:space="preserve">0577 6759 9027 6301 8813 </t>
  </si>
  <si>
    <t>FBTZWZCWBB5K</t>
  </si>
  <si>
    <t xml:space="preserve">5759 3893 1338 7705 5812 </t>
  </si>
  <si>
    <t>FB1V764ZTR4T</t>
  </si>
  <si>
    <t>FBT98QETXJ1L</t>
  </si>
  <si>
    <t xml:space="preserve">1803 0709 9058 0271 3413 </t>
  </si>
  <si>
    <t>FB75XPRMPKL3</t>
  </si>
  <si>
    <t>FB8VL64ELWPH</t>
  </si>
  <si>
    <t>FBWSUXZRK9UN</t>
  </si>
  <si>
    <t xml:space="preserve">3168 2848 4934 6866 8222 </t>
  </si>
  <si>
    <t>FB9Q92KNM5R5</t>
  </si>
  <si>
    <t>FBXUNEP5MVKJ</t>
  </si>
  <si>
    <t>FB5MLJBYRPQ4</t>
  </si>
  <si>
    <t>FBG37IGMGPS6</t>
  </si>
  <si>
    <t xml:space="preserve">2648 4219 3401 9013 6459 </t>
  </si>
  <si>
    <t>FB41Z04HC3QH</t>
  </si>
  <si>
    <t>FB9MR11VOKOC</t>
  </si>
  <si>
    <t xml:space="preserve">0586 9140 7285 7857 3844 </t>
  </si>
  <si>
    <t>FBSPV2KI64R2</t>
  </si>
  <si>
    <t xml:space="preserve">3151 8869 6990 6363 2055 </t>
  </si>
  <si>
    <t>FBFN96THBXY9</t>
  </si>
  <si>
    <t xml:space="preserve">4796 8294 0618 6205 4453 </t>
  </si>
  <si>
    <t>FB5QTB25WF5K</t>
  </si>
  <si>
    <t xml:space="preserve">5834 0505 8445 8862 8592 </t>
  </si>
  <si>
    <t>FBLE4BHIUT6U</t>
  </si>
  <si>
    <t xml:space="preserve">5555 7114 4793 2950 4780 </t>
  </si>
  <si>
    <t>FB08KPOO05AK</t>
  </si>
  <si>
    <t xml:space="preserve">7161 0642 2488 4360 6709 </t>
  </si>
  <si>
    <t>FB8AYZQK1DXW</t>
  </si>
  <si>
    <t xml:space="preserve">3873 5363 2353 6094 4377 </t>
  </si>
  <si>
    <t>FBRLST7Z2QPM</t>
  </si>
  <si>
    <t xml:space="preserve">2211 5273 2660 9092 5799 </t>
  </si>
  <si>
    <t>FBNXG8SHR0V6</t>
  </si>
  <si>
    <t xml:space="preserve">0748 8158 5792 0723 7214 </t>
  </si>
  <si>
    <t>FBVODZOIKRGW</t>
  </si>
  <si>
    <t>FB0PU9M5EZWM</t>
  </si>
  <si>
    <t xml:space="preserve">4732 8535 1714 1698 7377 </t>
  </si>
  <si>
    <t>FBZ8EA4OUPKL</t>
  </si>
  <si>
    <t>FBRLTMB3F8AV</t>
  </si>
  <si>
    <t>FB2HZG6041BG</t>
  </si>
  <si>
    <t>FB54ORQD946V</t>
  </si>
  <si>
    <t>FBOCIL0C6LOW</t>
  </si>
  <si>
    <t xml:space="preserve">4763 3414 6343 8229 2557 </t>
  </si>
  <si>
    <t>FB7I7C4GV6TR</t>
  </si>
  <si>
    <t xml:space="preserve">7274 1238 9267 7688 3386 </t>
  </si>
  <si>
    <t>FBTWNGKKSXJ0</t>
  </si>
  <si>
    <t>FBJ0E7AR34U6</t>
  </si>
  <si>
    <t>FBOWG1VS24Q0</t>
  </si>
  <si>
    <t>FBW5B9V2U6YW</t>
  </si>
  <si>
    <t>FB1JV5M14Q3O</t>
  </si>
  <si>
    <t>FB8ZVACGNZTQ</t>
  </si>
  <si>
    <t>FBAUUCULQZ4Q</t>
  </si>
  <si>
    <t>FB1XEGTA5NM3</t>
  </si>
  <si>
    <t>FBAZOKOGRUKU</t>
  </si>
  <si>
    <t>FBT93XXMZYW6</t>
  </si>
  <si>
    <t>FBSFCFHMC0A4</t>
  </si>
  <si>
    <t>FBSIV9VDRK2Y</t>
  </si>
  <si>
    <t>FBQEVIYDE18O</t>
  </si>
  <si>
    <t>FB4SK5XRXMCD</t>
  </si>
  <si>
    <t>Block A, Apt. no. A4. Alcove Homes Estate 17-19 Ishola Street, Adekunle Yaba, Lagos</t>
  </si>
  <si>
    <t>FBVATG7RIPKR</t>
  </si>
  <si>
    <t>FB0176BZ8PK8</t>
  </si>
  <si>
    <t>FBD507POVSKH</t>
  </si>
  <si>
    <t xml:space="preserve">2569 8321 9637 6723 2172 </t>
  </si>
  <si>
    <t>FB0YF0MM8RCG</t>
  </si>
  <si>
    <t xml:space="preserve">2575 0908 8260 4659 6517 </t>
  </si>
  <si>
    <t>FB8AFSDENK3V</t>
  </si>
  <si>
    <t>FBEQV6920W8Y</t>
  </si>
  <si>
    <t>FB6IAXV23ET7</t>
  </si>
  <si>
    <t>FBAGUE8H5O8X</t>
  </si>
  <si>
    <t xml:space="preserve">0061 9873 0871 9935 0129 </t>
  </si>
  <si>
    <t>FB16F9FTBEAR</t>
  </si>
  <si>
    <t>FBN5SA1TUTQR</t>
  </si>
  <si>
    <t>FBYK86P8WG9R</t>
  </si>
  <si>
    <t>FBSMVHDOWVNZ</t>
  </si>
  <si>
    <t xml:space="preserve">6700 4117 8920 7334 8830 </t>
  </si>
  <si>
    <t>FB0PIL51R29F</t>
  </si>
  <si>
    <t>FBRQLTSIN09B</t>
  </si>
  <si>
    <t xml:space="preserve">4831 1003 2741 5368 5835 </t>
  </si>
  <si>
    <t>FB16KASUTQH6</t>
  </si>
  <si>
    <t>FB9IGKJSXTCR</t>
  </si>
  <si>
    <t xml:space="preserve">1761 3495 1275 0367 8737 </t>
  </si>
  <si>
    <t>FBC9HBV61OEQ</t>
  </si>
  <si>
    <t>FBYWJLXF38R3</t>
  </si>
  <si>
    <t xml:space="preserve">6166 8587 4449 0028 2417 </t>
  </si>
  <si>
    <t>FBM2FRRD65EY</t>
  </si>
  <si>
    <t>FBUZRB1RXJPV</t>
  </si>
  <si>
    <t xml:space="preserve">1649 7382 3311 1085 9426 </t>
  </si>
  <si>
    <t>FB7I5RXEWN6H</t>
  </si>
  <si>
    <t>FBOSXYS3I0G7</t>
  </si>
  <si>
    <t xml:space="preserve">0526 5917 2800 8502 7423 </t>
  </si>
  <si>
    <t>FB9A7AZ9SDC0</t>
  </si>
  <si>
    <t xml:space="preserve">5549 4393 6722 3748 3670 </t>
  </si>
  <si>
    <t>FB1LEKXBFCJ6</t>
  </si>
  <si>
    <t>FBYWVRLYRB03</t>
  </si>
  <si>
    <t xml:space="preserve">2172 7619 5848 9729 2803 </t>
  </si>
  <si>
    <t>FBACOE4QWENW</t>
  </si>
  <si>
    <t xml:space="preserve">6461 1670 8041 7162 3976 </t>
  </si>
  <si>
    <t>FBLKELOVFG4G</t>
  </si>
  <si>
    <t xml:space="preserve">4888 6018 0913 9682 7267 </t>
  </si>
  <si>
    <t>FB6KACCVF5JR</t>
  </si>
  <si>
    <t xml:space="preserve">2667 7688 0886 5790 6697 </t>
  </si>
  <si>
    <t>FBJ1WKO8W30H</t>
  </si>
  <si>
    <t xml:space="preserve">6361 8951 0557 3171 1979 </t>
  </si>
  <si>
    <t>FBV62GWGEX5D</t>
  </si>
  <si>
    <t xml:space="preserve">6967 9946 4373 1617 1604 </t>
  </si>
  <si>
    <t>FBR4VBCT8JZJ</t>
  </si>
  <si>
    <t>Block A, Apt. no. A3. Alcove Homes Estate 17-19 Ishola Street, Adekunle Yaba, Lagos</t>
  </si>
  <si>
    <t xml:space="preserve">4974 8675 1888 6907 3253 </t>
  </si>
  <si>
    <t>FB5P45GYMOQ8</t>
  </si>
  <si>
    <t xml:space="preserve">4492 1093 1173 1262 0723 </t>
  </si>
  <si>
    <t>FBM0EY7KXVRF</t>
  </si>
  <si>
    <t>FBXPMQM8SJ1L</t>
  </si>
  <si>
    <t xml:space="preserve">0110 3244 2083 6647 4981 </t>
  </si>
  <si>
    <t>FBU5DEQIL3WS</t>
  </si>
  <si>
    <t xml:space="preserve">5538 1774 0183 6805 0736 </t>
  </si>
  <si>
    <t>FBITDES9OHLO</t>
  </si>
  <si>
    <t>FBSQPJ92CGQX</t>
  </si>
  <si>
    <t xml:space="preserve">0327 5958 3974 4165 2936 </t>
  </si>
  <si>
    <t>FBAMM839LE3A</t>
  </si>
  <si>
    <t>FBPHJ301454Q</t>
  </si>
  <si>
    <t xml:space="preserve">4079 5837 1246 8078 8240 </t>
  </si>
  <si>
    <t>FB3G08754BY9</t>
  </si>
  <si>
    <t xml:space="preserve">2914 8310 5226 1471 3038 </t>
  </si>
  <si>
    <t>FBVO612YZ4RO</t>
  </si>
  <si>
    <t xml:space="preserve">7044 8137 7090 1645 1968 </t>
  </si>
  <si>
    <t>FBG7CODSAAOW</t>
  </si>
  <si>
    <t xml:space="preserve">5318 9314 0822 5461 2592 </t>
  </si>
  <si>
    <t>FBOEC42KBD32</t>
  </si>
  <si>
    <t xml:space="preserve">5740 1649 7008 5008 8905 </t>
  </si>
  <si>
    <t>FB5P9MP2WW9H</t>
  </si>
  <si>
    <t xml:space="preserve">2991 6995 8910 5453 3520 </t>
  </si>
  <si>
    <t>FBG6MVEKW8HJ</t>
  </si>
  <si>
    <t xml:space="preserve">0906 9859 7583 7883 7107 </t>
  </si>
  <si>
    <t>FBTK1AQSAZGW</t>
  </si>
  <si>
    <t xml:space="preserve">3447 5139 9608 8088 3246 </t>
  </si>
  <si>
    <t>FBRXNOMM84DV</t>
  </si>
  <si>
    <t xml:space="preserve">5300 4664 4433 5374 5009 </t>
  </si>
  <si>
    <t>FBO8NHV7BVSD</t>
  </si>
  <si>
    <t xml:space="preserve">6213 4709 4275 0945 7775 </t>
  </si>
  <si>
    <t>FB2WGT7282OM</t>
  </si>
  <si>
    <t xml:space="preserve">3128 3374 4119 8769 5819 </t>
  </si>
  <si>
    <t>FBEZTNSO1V1P</t>
  </si>
  <si>
    <t>FBOR4CQWSYCT</t>
  </si>
  <si>
    <t xml:space="preserve">1769 7528 4023 7460 3300 </t>
  </si>
  <si>
    <t>FBGRTT8F3F5U</t>
  </si>
  <si>
    <t>FB85IOJTN6IL</t>
  </si>
  <si>
    <t>FB8P97VS30M5</t>
  </si>
  <si>
    <t xml:space="preserve">3738 2190 6689 9829 9341 </t>
  </si>
  <si>
    <t>FBRI1TBQ6IRO</t>
  </si>
  <si>
    <t xml:space="preserve">5712 5216 9598 6948 5658 </t>
  </si>
  <si>
    <t>FBW9780LSIHT</t>
  </si>
  <si>
    <t xml:space="preserve">2913 5839 8530 5320 5948 </t>
  </si>
  <si>
    <t>FB491MT30QHI</t>
  </si>
  <si>
    <t>FBEQND0GM9SL</t>
  </si>
  <si>
    <t xml:space="preserve">4587 2982 9895 5168 0640 </t>
  </si>
  <si>
    <t>FB7EHEPP9MTZ</t>
  </si>
  <si>
    <t xml:space="preserve">6920 5748 8380 7511 9389 </t>
  </si>
  <si>
    <t>FBQL1BNUJI3H</t>
  </si>
  <si>
    <t xml:space="preserve">1526 0345 2975 9293 4051 </t>
  </si>
  <si>
    <t>FBZBN7CCTIYD</t>
  </si>
  <si>
    <t xml:space="preserve">3869 9470 0944 2486 7644 </t>
  </si>
  <si>
    <t>FBQ7PP80GXDO</t>
  </si>
  <si>
    <t xml:space="preserve">3456 8457 6467 0095 7141 </t>
  </si>
  <si>
    <t>FBNK30TN3AR0</t>
  </si>
  <si>
    <t xml:space="preserve">5073 8176 9953 6643 5838 </t>
  </si>
  <si>
    <t>FBS2ZV9SNB7P</t>
  </si>
  <si>
    <t xml:space="preserve">2240 8298 2254 9576 5693 </t>
  </si>
  <si>
    <t>FBQJ2XZ3R9OS</t>
  </si>
  <si>
    <t>FBCJFDMS8RAJ</t>
  </si>
  <si>
    <t xml:space="preserve">2380 9359 4883 2658 0937 </t>
  </si>
  <si>
    <t>FBC6V64UX4QV</t>
  </si>
  <si>
    <t xml:space="preserve">6050 1036 7018 2741 4492 </t>
  </si>
  <si>
    <t>FBF4RY4T3REQ</t>
  </si>
  <si>
    <t xml:space="preserve">4479 7396 2644 8840 0784 </t>
  </si>
  <si>
    <t>FB2Q5V9CRMSZ</t>
  </si>
  <si>
    <t xml:space="preserve">6232 2233 7228 9323 2987 </t>
  </si>
  <si>
    <t>FB9JJ4CJBFMI</t>
  </si>
  <si>
    <t xml:space="preserve">4304 9869 4484 0439 3661 </t>
  </si>
  <si>
    <t>FB9R4IDBD042</t>
  </si>
  <si>
    <t xml:space="preserve">3960 4534 1215 8153 7189 </t>
  </si>
  <si>
    <t>FBRBEIYRE9SY</t>
  </si>
  <si>
    <t xml:space="preserve">3641 6608 2966 1647 7117 </t>
  </si>
  <si>
    <t>FBJKHP8UGKNK</t>
  </si>
  <si>
    <t xml:space="preserve">5340 8472 6203 0790 9802 </t>
  </si>
  <si>
    <t>FBID4N5R0PM3</t>
  </si>
  <si>
    <t xml:space="preserve">5901 6692 7294 3498 3856 </t>
  </si>
  <si>
    <t>FBP337YVDN0Q</t>
  </si>
  <si>
    <t xml:space="preserve">5027 4433 8328 8199 4047 </t>
  </si>
  <si>
    <t>FBJ7GTYMS6P3</t>
  </si>
  <si>
    <t xml:space="preserve">3747 0675 0612 2347 6827 </t>
  </si>
  <si>
    <t>FBWR0G5E2NET</t>
  </si>
  <si>
    <t xml:space="preserve">1770 4236 0053 4238 2043 </t>
  </si>
  <si>
    <t>FBLZHFRNPS25</t>
  </si>
  <si>
    <t xml:space="preserve">0437 9874 0288 9345 7833 </t>
  </si>
  <si>
    <t>FBINXSMS6VP9</t>
  </si>
  <si>
    <t>FB4GH610RI3H</t>
  </si>
  <si>
    <t xml:space="preserve">1229 3798 0176 6648 7128 </t>
  </si>
  <si>
    <t>FB3RKFOTVERR</t>
  </si>
  <si>
    <t xml:space="preserve">1851 2926 7984 2338 2255 </t>
  </si>
  <si>
    <t>FBZJYZ7G0PKI</t>
  </si>
  <si>
    <t xml:space="preserve">7017 4319 5933 9417 3548 </t>
  </si>
  <si>
    <t>FBA59YAS3PA0</t>
  </si>
  <si>
    <t xml:space="preserve">3772 6551 5179 3099 3304 </t>
  </si>
  <si>
    <t>FBOQMVBACJOZ</t>
  </si>
  <si>
    <t xml:space="preserve">4724 0651 5059 6842 4892 </t>
  </si>
  <si>
    <t>FBXGKXHCKTLR</t>
  </si>
  <si>
    <t xml:space="preserve">6631 0463 5556 1830 5116 </t>
  </si>
  <si>
    <t>FBXACMSVUI69</t>
  </si>
  <si>
    <t>FB1PL5GR6E07</t>
  </si>
  <si>
    <t xml:space="preserve">5679 0319 6821 0187 8670 </t>
  </si>
  <si>
    <t>FB2EPYZ6EA0X</t>
  </si>
  <si>
    <t>FBBXU6STQBX7</t>
  </si>
  <si>
    <t>FBUF0S496DJF</t>
  </si>
  <si>
    <t xml:space="preserve">4220 3840 9810 1096 9430 </t>
  </si>
  <si>
    <t>FBRN9ZOGRXUY</t>
  </si>
  <si>
    <t xml:space="preserve">4855 2344 2784 2704 4506 </t>
  </si>
  <si>
    <t>FBGBA5PUWT49</t>
  </si>
  <si>
    <t>FB32YD6M5MHR</t>
  </si>
  <si>
    <t xml:space="preserve">3591 8406 0241 7867 3356 </t>
  </si>
  <si>
    <t>FB9NP11TE4ZB</t>
  </si>
  <si>
    <t>FBRDJPHOYW7Q</t>
  </si>
  <si>
    <t>FB2PNCP30RIG</t>
  </si>
  <si>
    <t>FBWDJZ9QHZVU</t>
  </si>
  <si>
    <t>FB5JR2VYHA6N</t>
  </si>
  <si>
    <t>FBD4XU8C8DL7</t>
  </si>
  <si>
    <t xml:space="preserve">6086 1775 1958 7507 0931 </t>
  </si>
  <si>
    <t>FB92B0LCJS9J</t>
  </si>
  <si>
    <t>FBRF9NK4VW4M</t>
  </si>
  <si>
    <t>FBM74DJ58RQ0</t>
  </si>
  <si>
    <t>FBQBLP6P4KWQ</t>
  </si>
  <si>
    <t>FB3YP4RDCLAG</t>
  </si>
  <si>
    <t>FBX0FJEV2WBN</t>
  </si>
  <si>
    <t>FBZ5LJJJ976E</t>
  </si>
  <si>
    <t>FBOAUMMVPG9F</t>
  </si>
  <si>
    <t>FBD5IJ2J6RMT</t>
  </si>
  <si>
    <t>FBL9E72EZJIZ</t>
  </si>
  <si>
    <t>FB8XK6WH3S9B</t>
  </si>
  <si>
    <t>FBAM969HVFOC</t>
  </si>
  <si>
    <t>FBE7R6PST1VN</t>
  </si>
  <si>
    <t>FB5QFAJ83KPH</t>
  </si>
  <si>
    <t xml:space="preserve">1146 3059 9167 0520 6391 </t>
  </si>
  <si>
    <t>FBI8UXA0LIFX</t>
  </si>
  <si>
    <t xml:space="preserve">4579 4961 7614 7790 4074 </t>
  </si>
  <si>
    <t>FB5V5YFEX7GN</t>
  </si>
  <si>
    <t>FBOZN5NLZZE5</t>
  </si>
  <si>
    <t xml:space="preserve">1740 9013 7670 1186 8793 </t>
  </si>
  <si>
    <t>FBHMUWZ96ISL</t>
  </si>
  <si>
    <t xml:space="preserve">0975 3546 9880 9394 9340 </t>
  </si>
  <si>
    <t>FBYNOI142TIH</t>
  </si>
  <si>
    <t>FBH4RMEI5MKH</t>
  </si>
  <si>
    <t xml:space="preserve">0644 0280 4881 8919 2705 </t>
  </si>
  <si>
    <t>FBDGSVBZDS5J</t>
  </si>
  <si>
    <t xml:space="preserve">0319 7197 8160 3343 7630 </t>
  </si>
  <si>
    <t>FBN5ABVCJMI1</t>
  </si>
  <si>
    <t>FBVBPXBVNFMD</t>
  </si>
  <si>
    <t>FBK6F351ABF0</t>
  </si>
  <si>
    <t xml:space="preserve">1695 8202 5981 6318 9969 </t>
  </si>
  <si>
    <t>FBWXNR2NL519</t>
  </si>
  <si>
    <t xml:space="preserve">1682 0522 5805 5723 9504 </t>
  </si>
  <si>
    <t>FBFT91HCSYGV</t>
  </si>
  <si>
    <t>FBQ5GBS1EGS5</t>
  </si>
  <si>
    <t>FBA8COV68A4S</t>
  </si>
  <si>
    <t>FBNPH01KGUGY</t>
  </si>
  <si>
    <t>FB7OKDWU3Z9W</t>
  </si>
  <si>
    <t>FBY6JQ7G1F29</t>
  </si>
  <si>
    <t>FBK4LFC9QZBM</t>
  </si>
  <si>
    <t>FBFGW2XT24XF</t>
  </si>
  <si>
    <t xml:space="preserve">3540 8392 1949 7035 8841 </t>
  </si>
  <si>
    <t>FBXHN2MYZLET</t>
  </si>
  <si>
    <t>FBFCOHJN6X3J</t>
  </si>
  <si>
    <t>FBKG028QLQAV</t>
  </si>
  <si>
    <t xml:space="preserve">1612 3227 0641 7103 1711 </t>
  </si>
  <si>
    <t>FB91BOOGUWA8</t>
  </si>
  <si>
    <t>FBEJDBA0BHUW</t>
  </si>
  <si>
    <t>FBW19XXMCKQP</t>
  </si>
  <si>
    <t xml:space="preserve">4356 4370 7130 9455 7277 </t>
  </si>
  <si>
    <t>FBGYICYHA46M</t>
  </si>
  <si>
    <t>FBTVFLDCHQNC</t>
  </si>
  <si>
    <t xml:space="preserve">2885 7881 3277 6448 8460 </t>
  </si>
  <si>
    <t>FBKSJQRW3RFM</t>
  </si>
  <si>
    <t>FB300R2SYCG3</t>
  </si>
  <si>
    <t>FBBSKSA5PL02</t>
  </si>
  <si>
    <t xml:space="preserve">7376 1762 2739 1764 3606 </t>
  </si>
  <si>
    <t>FBFGXWI59ZE9</t>
  </si>
  <si>
    <t xml:space="preserve">3174 9855 9135 5445 8750 </t>
  </si>
  <si>
    <t>FBMAJ6P13BNL</t>
  </si>
  <si>
    <t xml:space="preserve">2851 1546 7871 0549 0419 </t>
  </si>
  <si>
    <t>FBPGCNIGY4QH</t>
  </si>
  <si>
    <t>FB9JSWBF83VY</t>
  </si>
  <si>
    <t xml:space="preserve">6639 6666 0725 8282 6659 </t>
  </si>
  <si>
    <t>FB5AYB7ONB9I</t>
  </si>
  <si>
    <t xml:space="preserve">3236 0101 3789 4409 0113 </t>
  </si>
  <si>
    <t>FBIBTQNJ6EUH</t>
  </si>
  <si>
    <t xml:space="preserve">2383 8690 0164 4927 9554 </t>
  </si>
  <si>
    <t>FBR2FBIRGSVP</t>
  </si>
  <si>
    <t xml:space="preserve">2708 2417 7718 7684 7481 </t>
  </si>
  <si>
    <t>FBRIMSKR77KL</t>
  </si>
  <si>
    <t xml:space="preserve">6908 3912 1392 7194 7034 </t>
  </si>
  <si>
    <t>FB82Q5OTIBE7</t>
  </si>
  <si>
    <t xml:space="preserve">3386 4729 5547 5832 9566 </t>
  </si>
  <si>
    <t>FBWS3BW4DBLI</t>
  </si>
  <si>
    <t xml:space="preserve">0000 5338 3035 7008 5831 </t>
  </si>
  <si>
    <t>FB79YHTXCJAI</t>
  </si>
  <si>
    <t xml:space="preserve">3781 2594 6754 2689 4502 </t>
  </si>
  <si>
    <t>FBO0T5IL3GCN</t>
  </si>
  <si>
    <t xml:space="preserve">2313 3317 4050 1128 5809 </t>
  </si>
  <si>
    <t>FBPGHMDSNI7T</t>
  </si>
  <si>
    <t xml:space="preserve">1284 9512 3373 7941 1414 </t>
  </si>
  <si>
    <t>FBKE4GBFRXHR</t>
  </si>
  <si>
    <t xml:space="preserve">0380 6165 1877 7866 8491 </t>
  </si>
  <si>
    <t>FBXBHQCOEE4G</t>
  </si>
  <si>
    <t>FB3IVNO8YB50</t>
  </si>
  <si>
    <t xml:space="preserve">4578 2020 4548 1522 1378 </t>
  </si>
  <si>
    <t>FB1BUCX6F0RC</t>
  </si>
  <si>
    <t xml:space="preserve">2392 5011 3574 1066 5844 </t>
  </si>
  <si>
    <t>FBCIADAALSOC</t>
  </si>
  <si>
    <t>FBIV18BJL6ZL</t>
  </si>
  <si>
    <t xml:space="preserve">3273 3027 8895 5279 7256 </t>
  </si>
  <si>
    <t>FBX8MDE0IN3D</t>
  </si>
  <si>
    <t xml:space="preserve">1607 6975 2619 6684 7543 </t>
  </si>
  <si>
    <t>FBHR0AC3DF8T</t>
  </si>
  <si>
    <t xml:space="preserve">2080 9811 5242 2725 9756 </t>
  </si>
  <si>
    <t>FBT8C1HR607J</t>
  </si>
  <si>
    <t xml:space="preserve">4964 9956 5546 2915 1432 </t>
  </si>
  <si>
    <t>FB4N62VJASIS</t>
  </si>
  <si>
    <t xml:space="preserve">4700 6140 6189 9690 4219 </t>
  </si>
  <si>
    <t>FB2VKIFMOBQC</t>
  </si>
  <si>
    <t xml:space="preserve">0120 2933 9673 8206 1465 </t>
  </si>
  <si>
    <t>FB22VI3XB56Z</t>
  </si>
  <si>
    <t xml:space="preserve">0571 9641 4274 0932 2910 </t>
  </si>
  <si>
    <t>FBNU3VZRZBWP</t>
  </si>
  <si>
    <t xml:space="preserve">7373 2672 9639 7859 7016 </t>
  </si>
  <si>
    <t>FBTCFURM9TOM</t>
  </si>
  <si>
    <t xml:space="preserve">2694 1395 9592 6340 3944 </t>
  </si>
  <si>
    <t>FBHFSWY4CL4J</t>
  </si>
  <si>
    <t xml:space="preserve">6150 8645 7494 8824 5858 </t>
  </si>
  <si>
    <t>FB9VVK3YAG7Y</t>
  </si>
  <si>
    <t xml:space="preserve">4270 9600 0443 3913 4820 </t>
  </si>
  <si>
    <t>FB2ECMJXBITF</t>
  </si>
  <si>
    <t xml:space="preserve">2202 4815 2934 2284 3443 </t>
  </si>
  <si>
    <t>FBGNS1OF8TBA</t>
  </si>
  <si>
    <t xml:space="preserve">7126 2203 8964 4607 7682 </t>
  </si>
  <si>
    <t>FBIOQN1PH3P6</t>
  </si>
  <si>
    <t xml:space="preserve">7309 6582 5650 7177 7496 </t>
  </si>
  <si>
    <t>FB70Z4YRTP9M</t>
  </si>
  <si>
    <t>FBC2T89R7WSR</t>
  </si>
  <si>
    <t xml:space="preserve">2166 9935 5594 8361 2493 </t>
  </si>
  <si>
    <t>FB9OETYABVBN</t>
  </si>
  <si>
    <t xml:space="preserve">7120 2283 6104 7439 9943 </t>
  </si>
  <si>
    <t>FBCQ5V7C4QB6</t>
  </si>
  <si>
    <t xml:space="preserve">3266 0792 1714 4797 1972 </t>
  </si>
  <si>
    <t>FB7U0CPWSYY5</t>
  </si>
  <si>
    <t xml:space="preserve">2608 5143 9374 8973 8666 </t>
  </si>
  <si>
    <t>FBVZ8JN34Q28</t>
  </si>
  <si>
    <t xml:space="preserve">1202 4566 8475 7746 1517 </t>
  </si>
  <si>
    <t>FBD4J6TQ1B0H</t>
  </si>
  <si>
    <t xml:space="preserve">2302 0366 9233 1977 3019 </t>
  </si>
  <si>
    <t>FBAEYEOCCSOK</t>
  </si>
  <si>
    <t xml:space="preserve">0908 1052 0710 6117 3252 </t>
  </si>
  <si>
    <t>FBJBR7QKZ05R</t>
  </si>
  <si>
    <t xml:space="preserve">7038 2904 3853 6662 8201 </t>
  </si>
  <si>
    <t>FBXYBZ8D07BG</t>
  </si>
  <si>
    <t xml:space="preserve">2378 1362 3740 0142 3847 </t>
  </si>
  <si>
    <t>FBC5OWO77F8M</t>
  </si>
  <si>
    <t xml:space="preserve">2062 2801 5126 4222 5157 </t>
  </si>
  <si>
    <t>FBVTA0C7OFFL</t>
  </si>
  <si>
    <t xml:space="preserve">2648 1527 7351 9239 6489 </t>
  </si>
  <si>
    <t>FB08XHMIQT4A</t>
  </si>
  <si>
    <t xml:space="preserve">6301 1156 5440 2451 5110 </t>
  </si>
  <si>
    <t>FBS86SS6FADZ</t>
  </si>
  <si>
    <t xml:space="preserve">0217 9245 5732 7074 7239 </t>
  </si>
  <si>
    <t>FB1IPPXIS074</t>
  </si>
  <si>
    <t xml:space="preserve">2103 1849 9524 0380 5896 </t>
  </si>
  <si>
    <t>FBTXVQ0I9N6T</t>
  </si>
  <si>
    <t xml:space="preserve">6950 7053 4419 7217 1823 </t>
  </si>
  <si>
    <t>FBFU3UIJGBG1</t>
  </si>
  <si>
    <t xml:space="preserve">0118 2491 4890 9014 7933 </t>
  </si>
  <si>
    <t>FBVGIDKANNLG</t>
  </si>
  <si>
    <t xml:space="preserve">6303 9351 5982 2785 9338 </t>
  </si>
  <si>
    <t>FB8S8FCLV405</t>
  </si>
  <si>
    <t xml:space="preserve">5750 8751 3170 7819 5741 </t>
  </si>
  <si>
    <t>FB00V38PWFCY</t>
  </si>
  <si>
    <t>FB4DOZ9ZMFQQ</t>
  </si>
  <si>
    <t xml:space="preserve">7303 3531 6838 4723 6966 </t>
  </si>
  <si>
    <t>FBOFFNU9ABE5</t>
  </si>
  <si>
    <t xml:space="preserve">6906 6870 8638 2166 3484 </t>
  </si>
  <si>
    <t>FB2MS7NIV97E</t>
  </si>
  <si>
    <t xml:space="preserve">5035 5925 8074 1250 9068 </t>
  </si>
  <si>
    <t>FB1OXS8HN02Q</t>
  </si>
  <si>
    <t xml:space="preserve">6686 5949 4882 6749 0767 </t>
  </si>
  <si>
    <t>FBN1MBXVGSUF</t>
  </si>
  <si>
    <t>FBORALBVI9CJ</t>
  </si>
  <si>
    <t>FBO43YHXBR3V</t>
  </si>
  <si>
    <t xml:space="preserve">4621 7618 0023 6068 8773 </t>
  </si>
  <si>
    <t>FBXGBVFIJZY6</t>
  </si>
  <si>
    <t>FBJ3TR4434UK</t>
  </si>
  <si>
    <t xml:space="preserve">7349 7558 7575 1990 3253 </t>
  </si>
  <si>
    <t>FB9I1A0I4CQX</t>
  </si>
  <si>
    <t xml:space="preserve">6765 0505 7145 5441 1036 </t>
  </si>
  <si>
    <t>FBZ0MPT2VGC5</t>
  </si>
  <si>
    <t xml:space="preserve">1647 2891 1735 1080 7473 </t>
  </si>
  <si>
    <t>FBX23VA1A6N1</t>
  </si>
  <si>
    <t>FBSGKVH7YDLR</t>
  </si>
  <si>
    <t xml:space="preserve">2941 6320 5669 2069 9863 </t>
  </si>
  <si>
    <t>FBI8653JG2Z6</t>
  </si>
  <si>
    <t xml:space="preserve">0114 7362 7394 5353 3487 </t>
  </si>
  <si>
    <t>FBB3LHJTGMAV</t>
  </si>
  <si>
    <t xml:space="preserve">6303 1680 7339 8667 4417 </t>
  </si>
  <si>
    <t>FBJVDVI9986S</t>
  </si>
  <si>
    <t xml:space="preserve">0163 8886 2062 1479 5441 </t>
  </si>
  <si>
    <t>FB1973KSWHZS</t>
  </si>
  <si>
    <t xml:space="preserve">3220 3390 9786 8034 9189 </t>
  </si>
  <si>
    <t>FBS3MNDK99Y3</t>
  </si>
  <si>
    <t xml:space="preserve">5069 7814 0587 7605 9092 </t>
  </si>
  <si>
    <t>FB1MG4HIQEN2</t>
  </si>
  <si>
    <t xml:space="preserve">3189 1450 1373 2802 9172 </t>
  </si>
  <si>
    <t>FBAQ87FRJ2G3</t>
  </si>
  <si>
    <t xml:space="preserve">3176 1141 8909 5348 3647 </t>
  </si>
  <si>
    <t>FBK4LE8I7O09</t>
  </si>
  <si>
    <t xml:space="preserve">5965 0150 1286 4267 1619 </t>
  </si>
  <si>
    <t>FB4VYA2XHKL3</t>
  </si>
  <si>
    <t xml:space="preserve">1013 9337 6940 3956 1789 </t>
  </si>
  <si>
    <t>FBBC88OMCS9K</t>
  </si>
  <si>
    <t xml:space="preserve">0529 5656 8025 0441 5930 </t>
  </si>
  <si>
    <t>FB3FQP01KTIV</t>
  </si>
  <si>
    <t xml:space="preserve">0460 8094 9082 9786 9522 </t>
  </si>
  <si>
    <t>FBUZ1DWEU4S2</t>
  </si>
  <si>
    <t xml:space="preserve">0407 4798 4141 1252 3687 </t>
  </si>
  <si>
    <t>FBDYNGR8FWC5</t>
  </si>
  <si>
    <t xml:space="preserve">2028 5097 5655 3471 4094 </t>
  </si>
  <si>
    <t>FBHGYUT8KRAT</t>
  </si>
  <si>
    <t xml:space="preserve">2274 7568 9589 7842 1493 </t>
  </si>
  <si>
    <t>FB94ATSSXPJ9</t>
  </si>
  <si>
    <t xml:space="preserve">4662 2675 1826 4757 4163 </t>
  </si>
  <si>
    <t>FBCAR0QEVNCH</t>
  </si>
  <si>
    <t xml:space="preserve">5499 8754 5525 2783 7321 </t>
  </si>
  <si>
    <t>FBFHE0RT346P</t>
  </si>
  <si>
    <t>FB6CXSXFEJDN</t>
  </si>
  <si>
    <t>Terrace Area - Construction</t>
  </si>
  <si>
    <t xml:space="preserve">2306 3498 8113 2816 4276 </t>
  </si>
  <si>
    <t>FB4AQWLOXNE5</t>
  </si>
  <si>
    <t xml:space="preserve">4176 5218 9442 3978 8823 </t>
  </si>
  <si>
    <t>FBLSEFQTYUHY</t>
  </si>
  <si>
    <t xml:space="preserve">0786 1324 7887 1729 3296 </t>
  </si>
  <si>
    <t>FB341W5AOE0W</t>
  </si>
  <si>
    <t xml:space="preserve">4051 5495 4824 3937 5167 </t>
  </si>
  <si>
    <t>FB0WNC7XU6RA</t>
  </si>
  <si>
    <t>FBGMV82FHBXH</t>
  </si>
  <si>
    <t>FBS4R3ANWJM7</t>
  </si>
  <si>
    <t xml:space="preserve">1274 6381 3716 2692 2044 </t>
  </si>
  <si>
    <t>FBBC1VHO5EI3</t>
  </si>
  <si>
    <t xml:space="preserve">1980 4750 0176 3916 5878 </t>
  </si>
  <si>
    <t>FB8OIL2HJEPQ</t>
  </si>
  <si>
    <t xml:space="preserve">7208 3722 4065 6977 4513 </t>
  </si>
  <si>
    <t>FBFDLOODDCXY</t>
  </si>
  <si>
    <t>FB7K30IPHNUM</t>
  </si>
  <si>
    <t xml:space="preserve">2079 9738 8483 6091 9310 </t>
  </si>
  <si>
    <t>FBWBBLBCQSZD</t>
  </si>
  <si>
    <t xml:space="preserve">3334 4272 6134 9288 7847 </t>
  </si>
  <si>
    <t>FB88RN9HWJXQ</t>
  </si>
  <si>
    <t>FBF2TND92RV8</t>
  </si>
  <si>
    <t>FBBHEME0JJJ3</t>
  </si>
  <si>
    <t xml:space="preserve">4679 0247 0613 3921 4158 </t>
  </si>
  <si>
    <t>FBR5ZVC48QNT</t>
  </si>
  <si>
    <t xml:space="preserve">3652 9329 0154 2209 1350 </t>
  </si>
  <si>
    <t>FBTIIVLKVWM6</t>
  </si>
  <si>
    <t xml:space="preserve">1150 4175 8779 7255 8845 </t>
  </si>
  <si>
    <t>FBC7FJOL9FSJ</t>
  </si>
  <si>
    <t xml:space="preserve">1190 8374 1658 2387 6962 </t>
  </si>
  <si>
    <t>FBPI665CQN3F</t>
  </si>
  <si>
    <t>FB6GBS9KQT7Y</t>
  </si>
  <si>
    <t xml:space="preserve">3168 4696 4906 2246 7283 </t>
  </si>
  <si>
    <t>FBKF7BW06OJL</t>
  </si>
  <si>
    <t xml:space="preserve">5574 7254 4279 6565 8281 </t>
  </si>
  <si>
    <t>FB6EMAYELDX3</t>
  </si>
  <si>
    <t xml:space="preserve">6515 8057 8781 7403 8227 </t>
  </si>
  <si>
    <t>FBDFJ6V5YGKT</t>
  </si>
  <si>
    <t xml:space="preserve">3614 0767 3591 8342 0585 </t>
  </si>
  <si>
    <t>FBD9PZXLNPBW</t>
  </si>
  <si>
    <t xml:space="preserve">3349 7708 2762 2344 9324 </t>
  </si>
  <si>
    <t>FB6SWM36EYR1</t>
  </si>
  <si>
    <t xml:space="preserve">4793 0218 3032 8966 9539 </t>
  </si>
  <si>
    <t>FB2L37HYOFOV</t>
  </si>
  <si>
    <t xml:space="preserve">1695 5005 7530 8916 6281 </t>
  </si>
  <si>
    <t>FBV1PBSM4Q7O</t>
  </si>
  <si>
    <t xml:space="preserve">3909 3633 3344 1397 5183 </t>
  </si>
  <si>
    <t>FBISDUR56TTB</t>
  </si>
  <si>
    <t xml:space="preserve">3455 4033 4624 7089 9394 </t>
  </si>
  <si>
    <t>FBAYNKL6VL4B</t>
  </si>
  <si>
    <t xml:space="preserve">1304 2056 6043 9268 3579 </t>
  </si>
  <si>
    <t>FBJGC0EI2KGY</t>
  </si>
  <si>
    <t>FBXUWLEL1LRY</t>
  </si>
  <si>
    <t xml:space="preserve">1546 0514 9081 3208 1305 </t>
  </si>
  <si>
    <t>FB3T17T7LL2S</t>
  </si>
  <si>
    <t>FBS0QT8TFWHK</t>
  </si>
  <si>
    <t>FBH1OJ0HKL3L</t>
  </si>
  <si>
    <t xml:space="preserve">6550 5389 1121 3916 2117 </t>
  </si>
  <si>
    <t>FBMS5UNM0PQM</t>
  </si>
  <si>
    <t>FBCS9E3LJ7CA</t>
  </si>
  <si>
    <t xml:space="preserve">5156 6600 2205 0446 0040 </t>
  </si>
  <si>
    <t>FB5XSCHPGOB0</t>
  </si>
  <si>
    <t xml:space="preserve">0941 2495 2260 8727 5073 </t>
  </si>
  <si>
    <t>FBOMTBZMD904</t>
  </si>
  <si>
    <t>FBUQBHCRMRTZ</t>
  </si>
  <si>
    <t xml:space="preserve">2910 4418 8382 3456 9178 </t>
  </si>
  <si>
    <t>FBG2EV8Z4HEN</t>
  </si>
  <si>
    <t xml:space="preserve">4412 6697 2564 0926 3529 </t>
  </si>
  <si>
    <t>FBIMZI273TRU</t>
  </si>
  <si>
    <t xml:space="preserve">0429 6431 4160 5960 7502 </t>
  </si>
  <si>
    <t>FBIO47NEY0M8</t>
  </si>
  <si>
    <t xml:space="preserve">7203 2893 6971 4646 9747 </t>
  </si>
  <si>
    <t>FBAT1C4XYQUD</t>
  </si>
  <si>
    <t xml:space="preserve">0384 9544 6746 8809 6649 </t>
  </si>
  <si>
    <t>FB0LWL5TL0KW</t>
  </si>
  <si>
    <t xml:space="preserve">5670 8628 3336 1279 1415 </t>
  </si>
  <si>
    <t>FB04V8HXA117</t>
  </si>
  <si>
    <t xml:space="preserve">6992 1902 5700 1494 0550 </t>
  </si>
  <si>
    <t>FBMLA7E0RG2X</t>
  </si>
  <si>
    <t>FBRSX9L8WR28</t>
  </si>
  <si>
    <t xml:space="preserve">1954 1697 1456 5633 4102 </t>
  </si>
  <si>
    <t>FB6SLJ6FORVC</t>
  </si>
  <si>
    <t xml:space="preserve">1820 0603 7468 7823 9497 </t>
  </si>
  <si>
    <t>FBDPLAO5LYP6</t>
  </si>
  <si>
    <t>FBZE216TQ3JR</t>
  </si>
  <si>
    <t xml:space="preserve">1653 1880 0265 3620 8730 </t>
  </si>
  <si>
    <t>FBDA6MIQ8FBQ</t>
  </si>
  <si>
    <t xml:space="preserve">6328 2408 1498 8727 9154 </t>
  </si>
  <si>
    <t>FBHXDQY2AF67</t>
  </si>
  <si>
    <t xml:space="preserve">4785 9889 6499 0615 8494 </t>
  </si>
  <si>
    <t>FB7HZ8A2VYRS</t>
  </si>
  <si>
    <t xml:space="preserve">1754 5674 5916 5720 6200 </t>
  </si>
  <si>
    <t>FBHYE14W10A9</t>
  </si>
  <si>
    <t>FB70PVCPEQZV</t>
  </si>
  <si>
    <t xml:space="preserve">2952 0540 2514 4208 5292 </t>
  </si>
  <si>
    <t>FB15P1WTGQVL</t>
  </si>
  <si>
    <t xml:space="preserve">4706 9674 1327 1224 3802 </t>
  </si>
  <si>
    <t>FBCCNZ0PEYHE</t>
  </si>
  <si>
    <t xml:space="preserve">0450 7854 9065 8187 3568 </t>
  </si>
  <si>
    <t>FBFN9WAYDABA</t>
  </si>
  <si>
    <t xml:space="preserve">1617 9745 4488 7091 2125 </t>
  </si>
  <si>
    <t>FB9GJ3TT8DDN</t>
  </si>
  <si>
    <t xml:space="preserve">1584 6927 0989 7490 4809 </t>
  </si>
  <si>
    <t>FBR8KZCHHKDX</t>
  </si>
  <si>
    <t xml:space="preserve">1366 2017 7120 2008 9281 </t>
  </si>
  <si>
    <t>FB7FA0L8DR3X</t>
  </si>
  <si>
    <t xml:space="preserve">4921 1304 9884 5447 6888 </t>
  </si>
  <si>
    <t>FBYEKY39VMU2</t>
  </si>
  <si>
    <t xml:space="preserve">0045 4084 4328 6821 4804 </t>
  </si>
  <si>
    <t>FBXXN842DQHC</t>
  </si>
  <si>
    <t xml:space="preserve">6876 4954 1942 9706 4682 </t>
  </si>
  <si>
    <t>FBABVJED85NY</t>
  </si>
  <si>
    <t xml:space="preserve">7240 8756 7804 8928 9365 </t>
  </si>
  <si>
    <t>FBQ9X2KVGUL7</t>
  </si>
  <si>
    <t xml:space="preserve">3245 6384 5712 1958 6886 </t>
  </si>
  <si>
    <t>FBEJYABFO56Z</t>
  </si>
  <si>
    <t xml:space="preserve">6980 5840 7516 4395 6064 </t>
  </si>
  <si>
    <t>FBD4LRNGHKC1</t>
  </si>
  <si>
    <t xml:space="preserve">4686 1202 4025 4255 9410 </t>
  </si>
  <si>
    <t>FBK6UUNJSWYH</t>
  </si>
  <si>
    <t xml:space="preserve">7200 8822 0252 4314 5616 </t>
  </si>
  <si>
    <t>FB8E37Z3O7MB</t>
  </si>
  <si>
    <t xml:space="preserve">5854 7339 6375 2866 0989 </t>
  </si>
  <si>
    <t>FBLG8NSDZF4G</t>
  </si>
  <si>
    <t xml:space="preserve">6809 5048 7351 7222 3961 </t>
  </si>
  <si>
    <t>FBPP2SV44JJW</t>
  </si>
  <si>
    <t xml:space="preserve">3040 6854 8271 7637 5089 </t>
  </si>
  <si>
    <t>FBSOO0OV8WBZ</t>
  </si>
  <si>
    <t xml:space="preserve">5571 4598 0752 2359 6074 </t>
  </si>
  <si>
    <t>FBEGATHN901I</t>
  </si>
  <si>
    <t xml:space="preserve">1625 5858 4165 2506 0717 </t>
  </si>
  <si>
    <t>FB21BFIOP3RO</t>
  </si>
  <si>
    <t xml:space="preserve">3803 3603 0985 2527 6227 </t>
  </si>
  <si>
    <t>FBHQSK0EO87U</t>
  </si>
  <si>
    <t xml:space="preserve">4988 2284 2178 8816 9779 </t>
  </si>
  <si>
    <t>FBOJLL5T6SBF</t>
  </si>
  <si>
    <t xml:space="preserve">3376 0022 2313 9564 3458 </t>
  </si>
  <si>
    <t>FBVO007JLKWY</t>
  </si>
  <si>
    <t xml:space="preserve">7315 8712 8285 8125 5962 </t>
  </si>
  <si>
    <t>FBIH8RI0KDQM</t>
  </si>
  <si>
    <t xml:space="preserve">4951 3014 9927 7054 4709 </t>
  </si>
  <si>
    <t>FBQ7DP71X5K7</t>
  </si>
  <si>
    <t xml:space="preserve">3611 7839 0736 3354 5303 </t>
  </si>
  <si>
    <t>FB2TFU83FM1F</t>
  </si>
  <si>
    <t xml:space="preserve">0300 7890 7742 2709 5723 </t>
  </si>
  <si>
    <t>FBRMFN7ZOJQZ</t>
  </si>
  <si>
    <t xml:space="preserve">2453 0816 7817 1582 7055 </t>
  </si>
  <si>
    <t>FB76KQZ55DTS</t>
  </si>
  <si>
    <t xml:space="preserve">6341 8527 2175 0037 7441 </t>
  </si>
  <si>
    <t>FBBFN6MUWRD2</t>
  </si>
  <si>
    <t xml:space="preserve">6824 3661 1066 8419 5310 </t>
  </si>
  <si>
    <t>FBZJRQC1BV4E</t>
  </si>
  <si>
    <t xml:space="preserve">6330 3554 8074 8874 9052 </t>
  </si>
  <si>
    <t>FBD99A82VOMV</t>
  </si>
  <si>
    <t xml:space="preserve">5021 5125 7719 3853 1197 </t>
  </si>
  <si>
    <t>FBGYJQNFI9YO</t>
  </si>
  <si>
    <t xml:space="preserve">7290 6143 0381 9783 9590 </t>
  </si>
  <si>
    <t>FB3IHRPB4366</t>
  </si>
  <si>
    <t xml:space="preserve">1147 6069 6646 1348 6495 </t>
  </si>
  <si>
    <t>FBYL77PQ9O4K</t>
  </si>
  <si>
    <t xml:space="preserve">4460 0237 1043 7812 7833 </t>
  </si>
  <si>
    <t>FBU11497C8MO</t>
  </si>
  <si>
    <t xml:space="preserve">4460 3774 3616 7662 6483 </t>
  </si>
  <si>
    <t>FBX99Q2CAGC2</t>
  </si>
  <si>
    <t xml:space="preserve">3105 2874 4554 3835 2623 </t>
  </si>
  <si>
    <t>FBOZ7EUMRCE4</t>
  </si>
  <si>
    <t xml:space="preserve">3967 7127 9423 2082 6572 </t>
  </si>
  <si>
    <t>FBBEV2J0GN3K</t>
  </si>
  <si>
    <t xml:space="preserve">5124 5390 5155 3964 0045 </t>
  </si>
  <si>
    <t>FB9BQ1OHK0GZ</t>
  </si>
  <si>
    <t xml:space="preserve">6377 0175 1442 6143 1470 </t>
  </si>
  <si>
    <t>FBWIZGY5PLJQ</t>
  </si>
  <si>
    <t xml:space="preserve">3719 0306 2376 9010 0805 </t>
  </si>
  <si>
    <t>FBZZ8HOTV44M</t>
  </si>
  <si>
    <t xml:space="preserve">4101 9749 6059 0687 1108 </t>
  </si>
  <si>
    <t>FBD05VCQPFCH</t>
  </si>
  <si>
    <t xml:space="preserve">1986 4873 2880 5961 7453 </t>
  </si>
  <si>
    <t>FBRDP7W7QOO4</t>
  </si>
  <si>
    <t xml:space="preserve">6979 7896 3136 3152 9852 </t>
  </si>
  <si>
    <t>FBMGYTN3TSDJ</t>
  </si>
  <si>
    <t xml:space="preserve">3003 2187 9490 3253 7086 </t>
  </si>
  <si>
    <t>FBPQMLQEUHVH</t>
  </si>
  <si>
    <t xml:space="preserve">4637 2539 0318 2653 0391 </t>
  </si>
  <si>
    <t>FBVDC928HAWJ</t>
  </si>
  <si>
    <t xml:space="preserve">1275 5890 7530 1647 1614 </t>
  </si>
  <si>
    <t>FBRM2MC46MC2</t>
  </si>
  <si>
    <t>FBGEAFA2XZ9V</t>
  </si>
  <si>
    <t xml:space="preserve">6264 9492 7062 2003 9198 </t>
  </si>
  <si>
    <t>FBYCCIJEIXSG</t>
  </si>
  <si>
    <t xml:space="preserve">0910 5119 5994 1624 4669 </t>
  </si>
  <si>
    <t>FBAQQ1V7ZMOJ</t>
  </si>
  <si>
    <t xml:space="preserve">2033 8033 6312 2517 6447 </t>
  </si>
  <si>
    <t>FBWUMXGHOBS1</t>
  </si>
  <si>
    <t xml:space="preserve">5323 4018 2992 6201 2802 </t>
  </si>
  <si>
    <t>FB65GSATOOV9</t>
  </si>
  <si>
    <t xml:space="preserve">3584 9935 4005 6200 2795 </t>
  </si>
  <si>
    <t>FB7VPMQ5CUGD</t>
  </si>
  <si>
    <t xml:space="preserve">1532 1430 1837 4439 5204 </t>
  </si>
  <si>
    <t>FBHD1OQ3HJW0</t>
  </si>
  <si>
    <t>FBHRI16L5YRV</t>
  </si>
  <si>
    <t xml:space="preserve">4957 0603 6633 8599 0121 </t>
  </si>
  <si>
    <t>FBDRN37Q3SZ0</t>
  </si>
  <si>
    <t>FB64LIGXEV8G</t>
  </si>
  <si>
    <t xml:space="preserve">4891 7322 2090 6915 9727 </t>
  </si>
  <si>
    <t>FBZRO6MER71C</t>
  </si>
  <si>
    <t xml:space="preserve">6230 6762 9698 6434 0658 </t>
  </si>
  <si>
    <t>FBGFZO2SL908</t>
  </si>
  <si>
    <t xml:space="preserve">6277 0597 0277 3450 8531 </t>
  </si>
  <si>
    <t>FBFFB66H0QSK</t>
  </si>
  <si>
    <t xml:space="preserve">1352 3514 2611 2438 0344 </t>
  </si>
  <si>
    <t>FBH21RH9D8XV</t>
  </si>
  <si>
    <t xml:space="preserve">2670 5756 7748 1679 1949 </t>
  </si>
  <si>
    <t>FB2QUQ320NGO</t>
  </si>
  <si>
    <t xml:space="preserve">7305 9107 8586 7997 1278 </t>
  </si>
  <si>
    <t>FBVZTLHT8Y5F</t>
  </si>
  <si>
    <t xml:space="preserve">1832 9196 2665 4756 3528 </t>
  </si>
  <si>
    <t>FB86C2JFD0BS</t>
  </si>
  <si>
    <t xml:space="preserve">5786 5945 5085 7407 3230 </t>
  </si>
  <si>
    <t>FBMFYC8228Q4</t>
  </si>
  <si>
    <t xml:space="preserve">4200 6557 3259 7858 3446 </t>
  </si>
  <si>
    <t>FB4B52FN2JF8</t>
  </si>
  <si>
    <t xml:space="preserve">6854 5510 0874 9283 5852 </t>
  </si>
  <si>
    <t>FBIRYR82UXEZ</t>
  </si>
  <si>
    <t xml:space="preserve">2635 1335 9484 1612 2065 </t>
  </si>
  <si>
    <t>FBPZDQ2EOTW8</t>
  </si>
  <si>
    <t xml:space="preserve">3978 8654 3122 9892 0733 </t>
  </si>
  <si>
    <t>FBJP75Z4RQEP</t>
  </si>
  <si>
    <t>FBNOBZJ6TYXK</t>
  </si>
  <si>
    <t xml:space="preserve">2717 1382 5008 9966 3076 </t>
  </si>
  <si>
    <t>FB0Z2Q0LANUA</t>
  </si>
  <si>
    <t>FB5NS4OPIKNA</t>
  </si>
  <si>
    <t xml:space="preserve">3699 5284 7811 4979 6419 </t>
  </si>
  <si>
    <t>FBUFV4FYBI3P</t>
  </si>
  <si>
    <t xml:space="preserve">5272 4652 7909 8956 2737 </t>
  </si>
  <si>
    <t>FBQ1SW07K6LK</t>
  </si>
  <si>
    <t>FBTU81G9S8NN</t>
  </si>
  <si>
    <t xml:space="preserve">3931 5388 9087 5415 2633 </t>
  </si>
  <si>
    <t>FBCOVLSN6870</t>
  </si>
  <si>
    <t xml:space="preserve">2120 0140 5380 2366 4980 </t>
  </si>
  <si>
    <t>FBYVC5WMMC8Q</t>
  </si>
  <si>
    <t xml:space="preserve">5009 5354 7349 7739 0065 </t>
  </si>
  <si>
    <t>FBWYUC0XICQ5</t>
  </si>
  <si>
    <t xml:space="preserve">2496 3927 3375 7719 8826 </t>
  </si>
  <si>
    <t>FB3JZOWS0M2T</t>
  </si>
  <si>
    <t>FBFCSELA3V5G</t>
  </si>
  <si>
    <t xml:space="preserve">2896 4902 9904 6211 7832 </t>
  </si>
  <si>
    <t>FBRJNX22CWEW</t>
  </si>
  <si>
    <t xml:space="preserve">0083 0667 9582 6663 4943 </t>
  </si>
  <si>
    <t>FBBJ6O9PR4OP</t>
  </si>
  <si>
    <t xml:space="preserve">1413 9230 0460 4785 8301 </t>
  </si>
  <si>
    <t>FBMKLE42WJV1</t>
  </si>
  <si>
    <t xml:space="preserve">3470 6379 9934 1625 2396 </t>
  </si>
  <si>
    <t>FBIE0Z9KOV2H</t>
  </si>
  <si>
    <t xml:space="preserve">2541 0499 6836 2662 2938 </t>
  </si>
  <si>
    <t>FB23CGKLK1LN</t>
  </si>
  <si>
    <t xml:space="preserve">2776 5110 7901 0638 9887 </t>
  </si>
  <si>
    <t>FBM8LMLU2NHB</t>
  </si>
  <si>
    <t xml:space="preserve">6453 4289 6174 9982 7368 </t>
  </si>
  <si>
    <t>FBUMM9NXCEAH</t>
  </si>
  <si>
    <t xml:space="preserve">4933 4768 5731 6558 1590 </t>
  </si>
  <si>
    <t>FBS7BUQM7YSK</t>
  </si>
  <si>
    <t>FBH8BP9OD69Q</t>
  </si>
  <si>
    <t xml:space="preserve">1830 0620 6748 9804 3044 </t>
  </si>
  <si>
    <t>FB837ESXW8MB</t>
  </si>
  <si>
    <t xml:space="preserve">5795 9736 3929 3558 9366 </t>
  </si>
  <si>
    <t>FBRBKEIDB1JF</t>
  </si>
  <si>
    <t xml:space="preserve">3084 0417 7870 0767 4080 </t>
  </si>
  <si>
    <t>FBTW7PSML2ZP</t>
  </si>
  <si>
    <t>FBGABERJFL8C</t>
  </si>
  <si>
    <t xml:space="preserve">7160 8857 4682 5638 5410 </t>
  </si>
  <si>
    <t>FBZ87KGN8YHZ</t>
  </si>
  <si>
    <t xml:space="preserve">1876 2506 6274 9087 4479 </t>
  </si>
  <si>
    <t>FBFTOEHRK6GB</t>
  </si>
  <si>
    <t xml:space="preserve">4105 6822 8809 5844 5687 </t>
  </si>
  <si>
    <t>FBYFBF4YKH4G</t>
  </si>
  <si>
    <t xml:space="preserve">1882 8449 5206 6246 8398 </t>
  </si>
  <si>
    <t>FB1SWOAVUTQH</t>
  </si>
  <si>
    <t xml:space="preserve">1168 7730 8134 2825 5007 </t>
  </si>
  <si>
    <t>FBDKK7TKCDRH</t>
  </si>
  <si>
    <t xml:space="preserve">6416 6207 0090 8369 7008 </t>
  </si>
  <si>
    <t>FBTSOBR202NW</t>
  </si>
  <si>
    <t>FBWPU3KYSZE7</t>
  </si>
  <si>
    <t xml:space="preserve">1663 3502 6313 5249 6152 </t>
  </si>
  <si>
    <t>FBCZP1SOPEFP</t>
  </si>
  <si>
    <t>FBLCLBXKLXUW</t>
  </si>
  <si>
    <t xml:space="preserve">0149 5240 4510 6156 1038 </t>
  </si>
  <si>
    <t>FBDL1MCGA1UY</t>
  </si>
  <si>
    <t xml:space="preserve">0922 8928 0394 1119 3665 </t>
  </si>
  <si>
    <t>FB35EGFLVD9M</t>
  </si>
  <si>
    <t>FB1AWIUXZUJW</t>
  </si>
  <si>
    <t>FB64M1FSBJEO</t>
  </si>
  <si>
    <t xml:space="preserve">2235 4719 2241 1061 9623 </t>
  </si>
  <si>
    <t>FBKRPXDA3ZA5</t>
  </si>
  <si>
    <t xml:space="preserve">1867 0091 2041 9771 3238 </t>
  </si>
  <si>
    <t>FBLNDC2W8LBB</t>
  </si>
  <si>
    <t>FBSG3OYRXEZ7</t>
  </si>
  <si>
    <t xml:space="preserve">4179 1279 9935 3629 3480 </t>
  </si>
  <si>
    <t>FBV0AKI5C026</t>
  </si>
  <si>
    <t>FBRG1JRRZIC9</t>
  </si>
  <si>
    <t>FB9848J31XYM</t>
  </si>
  <si>
    <t xml:space="preserve">3045 8544 1314 0811 0347 </t>
  </si>
  <si>
    <t>FB82T55B7EO5</t>
  </si>
  <si>
    <t xml:space="preserve">4772 3872 0364 6434 0790 </t>
  </si>
  <si>
    <t>FB5KF3HJC28P</t>
  </si>
  <si>
    <t xml:space="preserve">5859 6968 3652 0577 0274 </t>
  </si>
  <si>
    <t>FBVE4J42181K</t>
  </si>
  <si>
    <t xml:space="preserve">0639 2830 2613 8429 6906 </t>
  </si>
  <si>
    <t>FBRLLM9DZFMA</t>
  </si>
  <si>
    <t xml:space="preserve">5965 5852 5368 9200 8335 </t>
  </si>
  <si>
    <t>FBA7H3QX004T</t>
  </si>
  <si>
    <t xml:space="preserve">5592 7229 5413 0561 0403 </t>
  </si>
  <si>
    <t>FBLA6MO0HK76</t>
  </si>
  <si>
    <t xml:space="preserve">0996 4216 9196 1726 4519 </t>
  </si>
  <si>
    <t>FBK97PPS26OG</t>
  </si>
  <si>
    <t xml:space="preserve">2679 4987 0182 0302 7620 </t>
  </si>
  <si>
    <t>FBRI6HGGKQMB</t>
  </si>
  <si>
    <t xml:space="preserve">7066 3160 4497 6806 7865 </t>
  </si>
  <si>
    <t>FBS4UW4CAF8D</t>
  </si>
  <si>
    <t>FB0BSO6FS6LU</t>
  </si>
  <si>
    <t xml:space="preserve">1129 0456 1058 7982 8450 </t>
  </si>
  <si>
    <t>FBXBIJM0YM3B</t>
  </si>
  <si>
    <t xml:space="preserve">3535 8599 0999 8466 2754 </t>
  </si>
  <si>
    <t>FBZTCNE2YAWM</t>
  </si>
  <si>
    <t xml:space="preserve">3218 8142 8547 2357 3498 </t>
  </si>
  <si>
    <t>FBCRKPOSREB7</t>
  </si>
  <si>
    <t xml:space="preserve">1604 9989 6668 5886 6743 </t>
  </si>
  <si>
    <t>FBE6KLCH0Q0M</t>
  </si>
  <si>
    <t xml:space="preserve">3788 4290 3900 4973 1026 </t>
  </si>
  <si>
    <t>FB2TWP1SRAT2</t>
  </si>
  <si>
    <t>FB6RUVH420W0</t>
  </si>
  <si>
    <t xml:space="preserve">3380 0760 5228 5489 3265 </t>
  </si>
  <si>
    <t>FBDXDDBTRGVY</t>
  </si>
  <si>
    <t>FBO7OUJ3ZK64</t>
  </si>
  <si>
    <t xml:space="preserve">1379 0278 5980 7228 5545 </t>
  </si>
  <si>
    <t>FB9DFJVAZV1A</t>
  </si>
  <si>
    <t>FBR4W8SWMWIS</t>
  </si>
  <si>
    <t>FB9HXBIZ29Z3</t>
  </si>
  <si>
    <t xml:space="preserve">6877 4631 6323 3816 5161 </t>
  </si>
  <si>
    <t>FBZ9CYMIJAV0</t>
  </si>
  <si>
    <t xml:space="preserve">6586 5222 0250 6209 8145 </t>
  </si>
  <si>
    <t>FBZPPSSQ6NJM</t>
  </si>
  <si>
    <t xml:space="preserve">3200 0561 0471 7850 6735 </t>
  </si>
  <si>
    <t>FBD4OOZ0STTK</t>
  </si>
  <si>
    <t xml:space="preserve">1001 9957 3057 2998 3994 </t>
  </si>
  <si>
    <t>FBW0TEYGT7N4</t>
  </si>
  <si>
    <t xml:space="preserve">2600 4090 3653 6491 5087 </t>
  </si>
  <si>
    <t>FBG4MWEZTHQS</t>
  </si>
  <si>
    <t xml:space="preserve">2413 3472 8987 7994 3164 </t>
  </si>
  <si>
    <t>FB6EYZRCU3ZT</t>
  </si>
  <si>
    <t xml:space="preserve">4196 1082 8145 5691 8775 </t>
  </si>
  <si>
    <t>FBT0LS38NSV5</t>
  </si>
  <si>
    <t xml:space="preserve">3627 3499 7436 8380 7619 </t>
  </si>
  <si>
    <t>FBJYTAFDD8TC</t>
  </si>
  <si>
    <t xml:space="preserve">1636 1111 6340 3877 6732 </t>
  </si>
  <si>
    <t>FBSMU6370QZ5</t>
  </si>
  <si>
    <t xml:space="preserve">5676 4073 5637 6156 0285 </t>
  </si>
  <si>
    <t>FB4WBH4GRHGQ</t>
  </si>
  <si>
    <t xml:space="preserve">6447 6197 7678 4435 6820 </t>
  </si>
  <si>
    <t>FBBV3LF2SQI1</t>
  </si>
  <si>
    <t xml:space="preserve">4141 9803 5975 9851 3437 </t>
  </si>
  <si>
    <t>FBLOHEVCDPMG</t>
  </si>
  <si>
    <t xml:space="preserve">2369 4067 3205 8878 8827 </t>
  </si>
  <si>
    <t>FB7BPOQAHG1G</t>
  </si>
  <si>
    <t xml:space="preserve">4570 3086 6728 6028 8390 </t>
  </si>
  <si>
    <t>FBJDNR1QL43P</t>
  </si>
  <si>
    <t xml:space="preserve">2126 2396 5055 3295 8091 </t>
  </si>
  <si>
    <t>FB0HOKYCVYO3</t>
  </si>
  <si>
    <t xml:space="preserve">7137 5149 0943 1669 6108 </t>
  </si>
  <si>
    <t>FBZQIHR6CJBZ</t>
  </si>
  <si>
    <t xml:space="preserve">4132 4117 6795 2327 3300 </t>
  </si>
  <si>
    <t>FBU4VBEEHAYC</t>
  </si>
  <si>
    <t xml:space="preserve">5344 2973 6239 3901 0426 </t>
  </si>
  <si>
    <t>FB45SC2KD4FL</t>
  </si>
  <si>
    <t xml:space="preserve">6839 5272 1562 6889 4959 </t>
  </si>
  <si>
    <t>FBJPINYPYO9S</t>
  </si>
  <si>
    <t xml:space="preserve">1246 7026 0782 6703 6428 </t>
  </si>
  <si>
    <t>FBVWFMW91KF3</t>
  </si>
  <si>
    <t xml:space="preserve">5005 8960 8421 0853 0105 </t>
  </si>
  <si>
    <t>FBWYXRKWP65N</t>
  </si>
  <si>
    <t xml:space="preserve">3333 8302 8102 0514 1981 </t>
  </si>
  <si>
    <t>FBANKKJZU6E4</t>
  </si>
  <si>
    <t xml:space="preserve">5054 8389 6360 7659 8518 </t>
  </si>
  <si>
    <t>FBAWA83S123Y</t>
  </si>
  <si>
    <t xml:space="preserve">3385 6786 0159 1290 2548 </t>
  </si>
  <si>
    <t>FB3WHWS44DKN</t>
  </si>
  <si>
    <t xml:space="preserve">0392 4447 4118 2794 4852 </t>
  </si>
  <si>
    <t>FB1K7FFSD2IE</t>
  </si>
  <si>
    <t xml:space="preserve">3716 8916 7813 7831 7286 </t>
  </si>
  <si>
    <t>FBJOJ7POJMDI</t>
  </si>
  <si>
    <t xml:space="preserve">3906 6843 1725 5306 4210 </t>
  </si>
  <si>
    <t>FBYLBIPJ1OZR</t>
  </si>
  <si>
    <t xml:space="preserve">1097 7622 5270 1698 2083 </t>
  </si>
  <si>
    <t>FB9BJU95YP4D</t>
  </si>
  <si>
    <t xml:space="preserve">5834 4539 0384 2652 3190 </t>
  </si>
  <si>
    <t>FBAITBWJEJ0N</t>
  </si>
  <si>
    <t xml:space="preserve">4872 5901 2982 4488 4539 </t>
  </si>
  <si>
    <t>FBPE1L1G9B94</t>
  </si>
  <si>
    <t xml:space="preserve">0190 3309 0873 7923 4317 </t>
  </si>
  <si>
    <t>FBG7TJVS54PP</t>
  </si>
  <si>
    <t xml:space="preserve">1313 9474 5860 4504 5182 </t>
  </si>
  <si>
    <t>FBB7QN4JXFXF</t>
  </si>
  <si>
    <t xml:space="preserve">1205 6790 9557 6459 7189 </t>
  </si>
  <si>
    <t>FBXGUKAKC6GG</t>
  </si>
  <si>
    <t xml:space="preserve">1498 2498 0811 3773 3670 </t>
  </si>
  <si>
    <t>FBR2SY94AIHY</t>
  </si>
  <si>
    <t xml:space="preserve">7220 3531 0025 4573 2314 </t>
  </si>
  <si>
    <t>FBQC8JMYFM0M</t>
  </si>
  <si>
    <t>FBMFLFKA9UBG</t>
  </si>
  <si>
    <t xml:space="preserve">6335 7699 0437 2601 6035 </t>
  </si>
  <si>
    <t>FBRVUZ48LCPK</t>
  </si>
  <si>
    <t xml:space="preserve">4679 0338 9000 7207 6670 </t>
  </si>
  <si>
    <t>FBYGX7ODWD4A</t>
  </si>
  <si>
    <t xml:space="preserve">6049 1354 6702 9290 1011 </t>
  </si>
  <si>
    <t>FB1087ZQTVS3</t>
  </si>
  <si>
    <t xml:space="preserve">5695 1238 5533 5266 6412 </t>
  </si>
  <si>
    <t>FBMRGQDZNRGK</t>
  </si>
  <si>
    <t xml:space="preserve">1752 7309 5386 4302 0172 </t>
  </si>
  <si>
    <t>FBRFGJNDR5P7</t>
  </si>
  <si>
    <t xml:space="preserve">2401 4426 8406 1371 8639 </t>
  </si>
  <si>
    <t>FB9KAOGRLEGQ</t>
  </si>
  <si>
    <t xml:space="preserve">1890 5401 5735 1757 4854 </t>
  </si>
  <si>
    <t>FB2QNAJM82OF</t>
  </si>
  <si>
    <t xml:space="preserve">2128 5602 6551 3265 0090 </t>
  </si>
  <si>
    <t>FB54T79SQLVS</t>
  </si>
  <si>
    <t xml:space="preserve">4454 2331 3497 9703 6719 </t>
  </si>
  <si>
    <t>FBIULKX1PLIX</t>
  </si>
  <si>
    <t xml:space="preserve">1345 5502 5402 5688 9998 </t>
  </si>
  <si>
    <t>FB45GV4G28WZ</t>
  </si>
  <si>
    <t xml:space="preserve">0277 7763 6138 5991 4290 </t>
  </si>
  <si>
    <t>FBNG19R9PUVN</t>
  </si>
  <si>
    <t xml:space="preserve">5885 6718 1738 6467 1710 </t>
  </si>
  <si>
    <t>FBHRT7KIZPZ1</t>
  </si>
  <si>
    <t xml:space="preserve">2209 8713 7062 0940 8523 </t>
  </si>
  <si>
    <t>FBQKC6KNJE0M</t>
  </si>
  <si>
    <t xml:space="preserve">1714 6574 5788 0019 2713 </t>
  </si>
  <si>
    <t>FB7DL5FBKMCX</t>
  </si>
  <si>
    <t xml:space="preserve">1370 4012 9353 8525 6127 </t>
  </si>
  <si>
    <t>FB2VDU78HREM</t>
  </si>
  <si>
    <t>Ante room annual rental charge (March 2024 -February 2025)</t>
  </si>
  <si>
    <t xml:space="preserve">3241 9663 9080 6749 6208 </t>
  </si>
  <si>
    <t>FBZPVDDZU7I1</t>
  </si>
  <si>
    <t xml:space="preserve">3676 6420 2611 5335 4713 </t>
  </si>
  <si>
    <t>FBZU0YVYJU30</t>
  </si>
  <si>
    <t xml:space="preserve">2758 6796 6372 6915 2446 </t>
  </si>
  <si>
    <t>FBL54QBGSI48</t>
  </si>
  <si>
    <t xml:space="preserve">3448 1531 9743 2426 8494 </t>
  </si>
  <si>
    <t>FBRFYC51J8LV</t>
  </si>
  <si>
    <t xml:space="preserve">3387 4890 4874 0413 1020 </t>
  </si>
  <si>
    <t>FBSLXSLHAPBR</t>
  </si>
  <si>
    <t xml:space="preserve">1324 1912 5077 3468 2398 </t>
  </si>
  <si>
    <t>FBWYZZN9ICZ2</t>
  </si>
  <si>
    <t xml:space="preserve">0456 9520 1577 7012 1151 </t>
  </si>
  <si>
    <t>FBLXBG6LBPQ1</t>
  </si>
  <si>
    <t xml:space="preserve">5615 6144 8902 0302 1044 </t>
  </si>
  <si>
    <t>FBTS9UYGKCVJ</t>
  </si>
  <si>
    <t>FBIQYE7RHD3P</t>
  </si>
  <si>
    <t xml:space="preserve">1904 8648 0427 2214 7111 </t>
  </si>
  <si>
    <t>FBDSUB96IF0X</t>
  </si>
  <si>
    <t>FBDVF2XBPUL4</t>
  </si>
  <si>
    <t xml:space="preserve">3023 0660 9191 6291 8051 </t>
  </si>
  <si>
    <t>FB9VR1KCRK0S</t>
  </si>
  <si>
    <t xml:space="preserve">2626 2504 6522 8374 1823 </t>
  </si>
  <si>
    <t>FBUJCY22BQLO</t>
  </si>
  <si>
    <t xml:space="preserve">1004 4552 3990 1372 0427 </t>
  </si>
  <si>
    <t>FBTQW5W4G6UX</t>
  </si>
  <si>
    <t>FBI15GVZ0MMV</t>
  </si>
  <si>
    <t xml:space="preserve">4471 9214 3476 8483 2692 </t>
  </si>
  <si>
    <t>FBGAGJUQKB8D</t>
  </si>
  <si>
    <t xml:space="preserve">6807 7887 7895 5370 5097 </t>
  </si>
  <si>
    <t>FBV8PHR4A9ZB</t>
  </si>
  <si>
    <t xml:space="preserve">6648 8076 2394 1361 8462 </t>
  </si>
  <si>
    <t>FBJ613SNXKU1</t>
  </si>
  <si>
    <t>FBX1TXJDU4GZ</t>
  </si>
  <si>
    <t xml:space="preserve">1880 6988 7861 5874 7590 </t>
  </si>
  <si>
    <t>FBCHL9NCK421</t>
  </si>
  <si>
    <t xml:space="preserve">5141 2612 0434 6713 0654 </t>
  </si>
  <si>
    <t>FBI2LHJP2OR8</t>
  </si>
  <si>
    <t xml:space="preserve">5005 9430 1843 4061 6278 </t>
  </si>
  <si>
    <t>FBHBQMK2X8HD</t>
  </si>
  <si>
    <t xml:space="preserve">3679 8244 9198 0481 8858 </t>
  </si>
  <si>
    <t>FBGMONZJX1QO</t>
  </si>
  <si>
    <t xml:space="preserve">7374 1024 5772 4373 4642 </t>
  </si>
  <si>
    <t>FBWCFR8SF7N5</t>
  </si>
  <si>
    <t xml:space="preserve">6671 3925 2747 7811 2439 </t>
  </si>
  <si>
    <t>FB68CG0Z416R</t>
  </si>
  <si>
    <t>FB7T5XCNDAN3</t>
  </si>
  <si>
    <t xml:space="preserve">6614 6837 1906 9315 0833 </t>
  </si>
  <si>
    <t>FBLVFAYK3SUB</t>
  </si>
  <si>
    <t xml:space="preserve">2149 9482 5685 0453 5467 </t>
  </si>
  <si>
    <t>FB0O735G4PKO</t>
  </si>
  <si>
    <t>Obstruction of main gate</t>
  </si>
  <si>
    <t>FB15W1PEZWXS</t>
  </si>
  <si>
    <t xml:space="preserve">2894 7896 5616 6176 2984 </t>
  </si>
  <si>
    <t>FBXWRYRQ1Z3O</t>
  </si>
  <si>
    <t xml:space="preserve">5241 0882 7408 6036 7460 </t>
  </si>
  <si>
    <t>FB63EJD14RG1</t>
  </si>
  <si>
    <t>FBHURJOZBF5U</t>
  </si>
  <si>
    <t xml:space="preserve">0119 9915 9861 5576 4571 </t>
  </si>
  <si>
    <t>FBCLQNTWGB7G</t>
  </si>
  <si>
    <t>FBWBIQ1EN31Q</t>
  </si>
  <si>
    <t>FBC3ED525AAY</t>
  </si>
  <si>
    <t xml:space="preserve">1642 6075 3083 7640 9986 </t>
  </si>
  <si>
    <t>FBTQA0Q68WJP</t>
  </si>
  <si>
    <t xml:space="preserve">3251 4949 2194 2682 2304 </t>
  </si>
  <si>
    <t>FBPSU2696MCI</t>
  </si>
  <si>
    <t xml:space="preserve">4533 4222 4674 7092 7885 </t>
  </si>
  <si>
    <t>FB5QQPBM8RBJ</t>
  </si>
  <si>
    <t>FBX1GYNEDU3C</t>
  </si>
  <si>
    <t xml:space="preserve">0966 0032 9137 5180 7809 </t>
  </si>
  <si>
    <t>FBAMY6YWE02N</t>
  </si>
  <si>
    <t xml:space="preserve">7137 1327 5773 2395 0381 </t>
  </si>
  <si>
    <t>FBW71RZPE56I</t>
  </si>
  <si>
    <t xml:space="preserve">5973 6059 6810 9953 6865 </t>
  </si>
  <si>
    <t>FBZO8QV19DAB</t>
  </si>
  <si>
    <t>FB27DJ683MWW</t>
  </si>
  <si>
    <t xml:space="preserve">6788 2083 8876 9896 4204 </t>
  </si>
  <si>
    <t>FBABTBO9F2MQ</t>
  </si>
  <si>
    <t>FBBLF03MJZ6I</t>
  </si>
  <si>
    <t>FB2SK97F2EMC</t>
  </si>
  <si>
    <t>FBUHZBOPKUWM</t>
  </si>
  <si>
    <t xml:space="preserve">4323 7082 2764 0848 8044 </t>
  </si>
  <si>
    <t>FB6C1HD6TRE7</t>
  </si>
  <si>
    <t xml:space="preserve">3859 1693 9428 2644 9688 </t>
  </si>
  <si>
    <t>FBHB4SLTWN89</t>
  </si>
  <si>
    <t xml:space="preserve">4158 7277 6487 5728 5980 </t>
  </si>
  <si>
    <t>FB4JJZX9I0MA</t>
  </si>
  <si>
    <t xml:space="preserve">4223 4599 1326 8558 7375 </t>
  </si>
  <si>
    <t>FB1VXLXRTIQ6</t>
  </si>
  <si>
    <t>FB13TB1ESG3K</t>
  </si>
  <si>
    <t>FB9P9IBW3HBD</t>
  </si>
  <si>
    <t xml:space="preserve">4243 0790 8651 7113 2588 </t>
  </si>
  <si>
    <t>FBY16Q020EO8</t>
  </si>
  <si>
    <t xml:space="preserve">1425 8395 9161 6424 1532 </t>
  </si>
  <si>
    <t>FB9EF471DH14</t>
  </si>
  <si>
    <t xml:space="preserve">4929 2154 3155 9722 1627 </t>
  </si>
  <si>
    <t>FBYK06ZBS9C8</t>
  </si>
  <si>
    <t>FBZYWBKH3WE5</t>
  </si>
  <si>
    <t>FBZSWAKLV81G</t>
  </si>
  <si>
    <t>FBMSMZ8BWER8</t>
  </si>
  <si>
    <t xml:space="preserve">3593 2719 4156 1318 9145 </t>
  </si>
  <si>
    <t>FBJ7R5EXJJYU</t>
  </si>
  <si>
    <t>FBFSEJ3W85QL</t>
  </si>
  <si>
    <t xml:space="preserve">3042 7979 1174 4209 0822 </t>
  </si>
  <si>
    <t>FBEVVHUNFFI9</t>
  </si>
  <si>
    <t xml:space="preserve">0202 1304 8827 7008 7622 </t>
  </si>
  <si>
    <t>FBAPSLLSRXGC</t>
  </si>
  <si>
    <t xml:space="preserve">5116 5829 3300 9643 3408 </t>
  </si>
  <si>
    <t>FB68PZ75KVSL</t>
  </si>
  <si>
    <t xml:space="preserve">4430 3246 5342 5393 0360 </t>
  </si>
  <si>
    <t>FBO19NLGFEUY</t>
  </si>
  <si>
    <t xml:space="preserve">4899 4158 3193 0301 0655 </t>
  </si>
  <si>
    <t>FBKYJ1TU1QT6</t>
  </si>
  <si>
    <t xml:space="preserve">0762 5679 1762 2752 9016 </t>
  </si>
  <si>
    <t>FBX4RLJW88JR</t>
  </si>
  <si>
    <t xml:space="preserve">6575 5544 2440 1159 0069 </t>
  </si>
  <si>
    <t>FBEV5L5Q7P6Y</t>
  </si>
  <si>
    <t xml:space="preserve">0849 8099 6077 3566 1908 </t>
  </si>
  <si>
    <t>FBEQYJCPBS5N</t>
  </si>
  <si>
    <t xml:space="preserve">7158 0874 2262 1043 6884 </t>
  </si>
  <si>
    <t>FBAGDU36H54E</t>
  </si>
  <si>
    <t xml:space="preserve">1177 7386 9785 4962 7954 </t>
  </si>
  <si>
    <t>FBN6LHOBUUHO</t>
  </si>
  <si>
    <t xml:space="preserve">6129 7293 2371 1727 3279 </t>
  </si>
  <si>
    <t>FB5TDNKT5UL9</t>
  </si>
  <si>
    <t xml:space="preserve">1118 1837 1479 5976 2047 </t>
  </si>
  <si>
    <t>FBZN9PFH8BN0</t>
  </si>
  <si>
    <t xml:space="preserve">4098 6902 3316 9935 2288 </t>
  </si>
  <si>
    <t>FBVBA7RT83Q3</t>
  </si>
  <si>
    <t>FBI6INMN5NRM</t>
  </si>
  <si>
    <t xml:space="preserve">1106 5468 5512 8675 3744 </t>
  </si>
  <si>
    <t>FB1KULTL6HBT</t>
  </si>
  <si>
    <t xml:space="preserve">5795 5246 4013 9320 5077 </t>
  </si>
  <si>
    <t>FBFUCOCWT24F</t>
  </si>
  <si>
    <t xml:space="preserve">1455 0530 0610 8405 4951 </t>
  </si>
  <si>
    <t>FBLCV17HMD1Q</t>
  </si>
  <si>
    <t xml:space="preserve">2809 8251 2008 1384 8906 </t>
  </si>
  <si>
    <t>FBUBTNB4M20X</t>
  </si>
  <si>
    <t xml:space="preserve">1405 2515 4707 1547 6656 </t>
  </si>
  <si>
    <t>FB8POUN43WT9</t>
  </si>
  <si>
    <t>FB8PZ452GZWX</t>
  </si>
  <si>
    <t>FBMB88TGCG7U</t>
  </si>
  <si>
    <t xml:space="preserve">1328 0402 3779 2638 8017 </t>
  </si>
  <si>
    <t>FBCEG6CL947V</t>
  </si>
  <si>
    <t xml:space="preserve">6484 6544 3887 5529 4554 </t>
  </si>
  <si>
    <t>FBZEJLBA9SG4</t>
  </si>
  <si>
    <t xml:space="preserve">6974 2372 0088 7597 1581 </t>
  </si>
  <si>
    <t>FBNF3CA6S1NQ</t>
  </si>
  <si>
    <t xml:space="preserve">1061 8416 7355 8686 1737 </t>
  </si>
  <si>
    <t>FBMHFU8YOBBJ</t>
  </si>
  <si>
    <t xml:space="preserve">5639 0285 1638 1442 5390 </t>
  </si>
  <si>
    <t>FB128U5ZPDPS</t>
  </si>
  <si>
    <t xml:space="preserve">3897 9893 9793 3570 4886 </t>
  </si>
  <si>
    <t>FBN8BHQLVN6E</t>
  </si>
  <si>
    <t>FBZ85IWFBUDA</t>
  </si>
  <si>
    <t xml:space="preserve">0987 1071 5986 9223 6500 </t>
  </si>
  <si>
    <t>FBK0U8M8S32I</t>
  </si>
  <si>
    <t xml:space="preserve">0563 2009 2784 9585 2297 </t>
  </si>
  <si>
    <t>FB053HW9MMTJ</t>
  </si>
  <si>
    <t xml:space="preserve">5434 0375 4370 2773 6645 </t>
  </si>
  <si>
    <t>FBKXIABZ44P7</t>
  </si>
  <si>
    <t xml:space="preserve">2219 8277 7621 8195 2455 </t>
  </si>
  <si>
    <t>FBBDAPXISRJA</t>
  </si>
  <si>
    <t xml:space="preserve">5183 8400 4973 3247 2047 </t>
  </si>
  <si>
    <t>FB1KKWN6XT9U</t>
  </si>
  <si>
    <t xml:space="preserve">0743 3025 7922 6925 2748 </t>
  </si>
  <si>
    <t>FBGDHIGTMGVA</t>
  </si>
  <si>
    <t xml:space="preserve">3951 2236 2472 4942 3450 </t>
  </si>
  <si>
    <t>FBG8U5F9VI7C</t>
  </si>
  <si>
    <t xml:space="preserve">5744 0222 7124 3330 7438 </t>
  </si>
  <si>
    <t>FBW5UVMHYMOP</t>
  </si>
  <si>
    <t xml:space="preserve">0266 9905 9491 5167 3025 </t>
  </si>
  <si>
    <t>FBAEJJI26T4D</t>
  </si>
  <si>
    <t>FBNSQN85G3WT</t>
  </si>
  <si>
    <t xml:space="preserve">2194 7075 2005 3658 2441 </t>
  </si>
  <si>
    <t>FBN9K222C8MQ</t>
  </si>
  <si>
    <t xml:space="preserve">3838 6439 5757 6997 3352 </t>
  </si>
  <si>
    <t>FBCJJN446049</t>
  </si>
  <si>
    <t xml:space="preserve">5826 9080 5787 7834 7189 </t>
  </si>
  <si>
    <t>FBOK9NC9QPDS</t>
  </si>
  <si>
    <t xml:space="preserve">0436 9144 9058 4925 3604 </t>
  </si>
  <si>
    <t>FBAERX46TQSD</t>
  </si>
  <si>
    <t>FBLOD8RN4BD6</t>
  </si>
  <si>
    <t xml:space="preserve">3935 2228 6697 2795 6770 </t>
  </si>
  <si>
    <t>FBP05SVPP8KM</t>
  </si>
  <si>
    <t>FB0YP7KZMA0W</t>
  </si>
  <si>
    <t xml:space="preserve">5978 9341 3412 7320 1165 </t>
  </si>
  <si>
    <t>FBA5ZFL9QQC5</t>
  </si>
  <si>
    <t>FBBA2R6TG4TS</t>
  </si>
  <si>
    <t>FBJ68QNTVNJN</t>
  </si>
  <si>
    <t xml:space="preserve">4265 2200 9294 2677 7827 </t>
  </si>
  <si>
    <t>FBPIAKUIMAWN</t>
  </si>
  <si>
    <t xml:space="preserve">3649 7969 3132 5279 5654 </t>
  </si>
  <si>
    <t>FB8497YHPGX4</t>
  </si>
  <si>
    <t xml:space="preserve">1756 8196 1991 4218 0659 </t>
  </si>
  <si>
    <t>FB4YBB07NGWX</t>
  </si>
  <si>
    <t xml:space="preserve">1946 1957 0157 9136 3562 </t>
  </si>
  <si>
    <t>FB1Z07YNE8PN</t>
  </si>
  <si>
    <t xml:space="preserve">4893 8384 4140 8434 3151 </t>
  </si>
  <si>
    <t>FBO21HH9RYTU</t>
  </si>
  <si>
    <t xml:space="preserve">3165 3855 1588 0964 6048 </t>
  </si>
  <si>
    <t>FB2X9SLAKEUD</t>
  </si>
  <si>
    <t>FBK7VMGSBEIT</t>
  </si>
  <si>
    <t xml:space="preserve">6581 8304 9990 9481 1778 </t>
  </si>
  <si>
    <t>FBRJ2EXWYETD</t>
  </si>
  <si>
    <t xml:space="preserve">4465 8831 4029 4794 4343 </t>
  </si>
  <si>
    <t>FB0HIIE39URS</t>
  </si>
  <si>
    <t xml:space="preserve">2428 9507 0833 4840 5851 </t>
  </si>
  <si>
    <t>FBOXMZ117WDY</t>
  </si>
  <si>
    <t xml:space="preserve">4115 4532 7556 4925 2666 </t>
  </si>
  <si>
    <t>FBJEZP8QIQ1Q</t>
  </si>
  <si>
    <t xml:space="preserve">0526 4063 0396 6841 3016 </t>
  </si>
  <si>
    <t>FB03YFILXA9P</t>
  </si>
  <si>
    <t xml:space="preserve">6253 0977 4683 8520 1092 </t>
  </si>
  <si>
    <t>FBJUJ8KSDHWJ</t>
  </si>
  <si>
    <t xml:space="preserve">1477 1272 3679 1106 5201 </t>
  </si>
  <si>
    <t>FB8LJ90J7YIK</t>
  </si>
  <si>
    <t xml:space="preserve">7122 6355 4112 0560 1936 </t>
  </si>
  <si>
    <t>FB91DD06CKNP</t>
  </si>
  <si>
    <t xml:space="preserve">4561 9315 7715 9808 6890 </t>
  </si>
  <si>
    <t>FBHPZCTJEZ8X</t>
  </si>
  <si>
    <t xml:space="preserve">3165 2984 0208 3092 6506 </t>
  </si>
  <si>
    <t>FBG8H6AJ17OB</t>
  </si>
  <si>
    <t xml:space="preserve">6332 1018 2539 5283 4857 </t>
  </si>
  <si>
    <t>FBSMJKIEPMSO</t>
  </si>
  <si>
    <t xml:space="preserve">5175 5610 1804 0901 5455 </t>
  </si>
  <si>
    <t>FBDQUT23JU76</t>
  </si>
  <si>
    <t xml:space="preserve">7057 5665 2534 7587 6404 </t>
  </si>
  <si>
    <t>FB4SNTM79AE4</t>
  </si>
  <si>
    <t xml:space="preserve">3187 9966 0497 0035 9549 </t>
  </si>
  <si>
    <t>FB0CKD6549WI</t>
  </si>
  <si>
    <t xml:space="preserve">5103 3800 7593 6144 2307 </t>
  </si>
  <si>
    <t>FB7OMCKWHWZC</t>
  </si>
  <si>
    <t>FBOGR8AVAS8D</t>
  </si>
  <si>
    <t xml:space="preserve">4674 7796 3788 1791 8352 </t>
  </si>
  <si>
    <t>FBOLBMW3LTW5</t>
  </si>
  <si>
    <t xml:space="preserve">6209 7939 8356 7351 2249 </t>
  </si>
  <si>
    <t>FB1WQOL0HCBY</t>
  </si>
  <si>
    <t xml:space="preserve">0940 8898 4976 0041 9469 </t>
  </si>
  <si>
    <t>FBFUOM5BX8CB</t>
  </si>
  <si>
    <t xml:space="preserve">5460 5044 9115 5804 4798 </t>
  </si>
  <si>
    <t>FBU9W6760VW6</t>
  </si>
  <si>
    <t xml:space="preserve">4291 8900 2226 2766 6632 </t>
  </si>
  <si>
    <t>FBC2ACVG0RQE</t>
  </si>
  <si>
    <t xml:space="preserve">1647 0612 5720 6815 3530 </t>
  </si>
  <si>
    <t>FBVIGHSR2JUK</t>
  </si>
  <si>
    <t xml:space="preserve">2117 0359 6106 0433 1627 </t>
  </si>
  <si>
    <t>FB11IWJ33HR4</t>
  </si>
  <si>
    <t xml:space="preserve">4901 3436 6038 1375 7285 </t>
  </si>
  <si>
    <t>FBFSUC5XCRRK</t>
  </si>
  <si>
    <t>FBYXT26OWJ7U</t>
  </si>
  <si>
    <t xml:space="preserve">6275 2937 5261 6160 7599 </t>
  </si>
  <si>
    <t>FBGTFGKAOXUN</t>
  </si>
  <si>
    <t xml:space="preserve">3748 1873 7143 0506 9355 </t>
  </si>
  <si>
    <t>FB9Q6BZ7BDL6</t>
  </si>
  <si>
    <t xml:space="preserve">4152 2072 6567 7291 7110 </t>
  </si>
  <si>
    <t>FB6AVGNBZM2W</t>
  </si>
  <si>
    <t xml:space="preserve">2911 2519 8631 6709 7916 </t>
  </si>
  <si>
    <t>FB2E5YHWU9YB</t>
  </si>
  <si>
    <t xml:space="preserve">1865 8703 3244 2944 7648 </t>
  </si>
  <si>
    <t>FBOOJ5CQDI7I</t>
  </si>
  <si>
    <t xml:space="preserve">4165 1573 1593 4122 7280 </t>
  </si>
  <si>
    <t>FBXMV1G4PROB</t>
  </si>
  <si>
    <t xml:space="preserve">1103 6227 8325 1969 7467 </t>
  </si>
  <si>
    <t>FBDC5EEACGFP</t>
  </si>
  <si>
    <t xml:space="preserve">1116 5524 3070 9959 1505 </t>
  </si>
  <si>
    <t>FBUDW9V8D0WI</t>
  </si>
  <si>
    <t xml:space="preserve">4899 5959 7531 4972 8534 </t>
  </si>
  <si>
    <t>FBNK8ZYBYR23</t>
  </si>
  <si>
    <t xml:space="preserve">6462 2378 6789 6562 3727 </t>
  </si>
  <si>
    <t>FBQBXMF3ISKO</t>
  </si>
  <si>
    <t xml:space="preserve">1456 6211 0060 1970 7693 </t>
  </si>
  <si>
    <t>FB0D36Z7AE6P</t>
  </si>
  <si>
    <t xml:space="preserve">2698 8751 5191 8688 9949 </t>
  </si>
  <si>
    <t>FB6DZZUSSYV6</t>
  </si>
  <si>
    <t xml:space="preserve">4536 9721 7352 9933 6325 </t>
  </si>
  <si>
    <t>FBLZXIUG24FY</t>
  </si>
  <si>
    <t xml:space="preserve">6949 0443 8199 3272 2818 </t>
  </si>
  <si>
    <t>FB8E0VKZX4FV</t>
  </si>
  <si>
    <t xml:space="preserve">6136 4159 9981 2731 7419 </t>
  </si>
  <si>
    <t>FBTVV1SV0YX7</t>
  </si>
  <si>
    <t xml:space="preserve">4469 7981 4353 9712 2785 </t>
  </si>
  <si>
    <t>FBJTUANBNP4R</t>
  </si>
  <si>
    <t>FB3Q1VWEQOC1</t>
  </si>
  <si>
    <t xml:space="preserve">2296 0860 4149 8813 9237 </t>
  </si>
  <si>
    <t>FBZL5PK3HIIW</t>
  </si>
  <si>
    <t xml:space="preserve">1343 0185 9651 1523 4809 </t>
  </si>
  <si>
    <t>FBH8LQ47AKNT</t>
  </si>
  <si>
    <t xml:space="preserve">5602 0270 9379 0751 4034 </t>
  </si>
  <si>
    <t>FBWNDF9KXRLM</t>
  </si>
  <si>
    <t xml:space="preserve">2049 0308 5168 3002 4108 </t>
  </si>
  <si>
    <t>FB4J34WM4SU1</t>
  </si>
  <si>
    <t xml:space="preserve">0941 7958 5727 4230 4767 </t>
  </si>
  <si>
    <t>FB2WS7KWDHEK</t>
  </si>
  <si>
    <t xml:space="preserve">3450 3822 2640 8627 8896 </t>
  </si>
  <si>
    <t>FB3INBJVKQ50</t>
  </si>
  <si>
    <t>FBCET6S9ADB5</t>
  </si>
  <si>
    <t xml:space="preserve">2440 8881 2235 6428 0646 </t>
  </si>
  <si>
    <t>FB1LS97XTEB4</t>
  </si>
  <si>
    <t>FBT60NH4SIQB</t>
  </si>
  <si>
    <t>FBAIANHB9XYT</t>
  </si>
  <si>
    <t>FBOMDY3LZ45K</t>
  </si>
  <si>
    <t>FBK5DANHEDUA</t>
  </si>
  <si>
    <t xml:space="preserve">6960 5776 2772 3023 0301 </t>
  </si>
  <si>
    <t>FB9AQOKZVXGT</t>
  </si>
  <si>
    <t>FB7UI6JR2R10</t>
  </si>
  <si>
    <t>FBI9Y93MIN33</t>
  </si>
  <si>
    <t xml:space="preserve">3883 7954 4541 4882 6711 </t>
  </si>
  <si>
    <t>FBPNXYXZ3FPM</t>
  </si>
  <si>
    <t xml:space="preserve">5014 4518 0032 0330 9852 </t>
  </si>
  <si>
    <t>FB7Q9CIYX8Q1</t>
  </si>
  <si>
    <t xml:space="preserve">3604 0750 2588 0595 7847 </t>
  </si>
  <si>
    <t>FBX2PC8FUM70</t>
  </si>
  <si>
    <t xml:space="preserve">4453 9651 8028 4902 0557 </t>
  </si>
  <si>
    <t>FBYVR9NPRIH7</t>
  </si>
  <si>
    <t xml:space="preserve">2298 9219 9771 3257 2033 </t>
  </si>
  <si>
    <t>FBZ0C8N7HVAX</t>
  </si>
  <si>
    <t xml:space="preserve">5151 8262 3119 2115 0290 </t>
  </si>
  <si>
    <t>FB8EHQG0BYIW</t>
  </si>
  <si>
    <t xml:space="preserve">7149 0694 7574 0068 0188 </t>
  </si>
  <si>
    <t>FBG917RYUQKN</t>
  </si>
  <si>
    <t>FBFNTTEUMCEG</t>
  </si>
  <si>
    <t xml:space="preserve">0402 8223 0832 9518 1768 </t>
  </si>
  <si>
    <t>FB6DVLRCGNDV</t>
  </si>
  <si>
    <t xml:space="preserve">2395 5259 8918 7865 9004 </t>
  </si>
  <si>
    <t>FBAJ52EWPS3A</t>
  </si>
  <si>
    <t xml:space="preserve">6246 1000 8246 6370 7917 </t>
  </si>
  <si>
    <t>FBSS1A07J6L8</t>
  </si>
  <si>
    <t xml:space="preserve">2351 0687 5875 7428 4157 </t>
  </si>
  <si>
    <t>FB8QZR79NTB7</t>
  </si>
  <si>
    <t>FB8N2V8KOU8L</t>
  </si>
  <si>
    <t xml:space="preserve">2875 6146 2784 1592 1615 </t>
  </si>
  <si>
    <t>FB6GFV70HEE7</t>
  </si>
  <si>
    <t>FBVJMH73TJS7</t>
  </si>
  <si>
    <t>FB21QLPTCW7R</t>
  </si>
  <si>
    <t xml:space="preserve">2082 6810 0470 7400 2708 </t>
  </si>
  <si>
    <t>FB8383VTMZNQ</t>
  </si>
  <si>
    <t xml:space="preserve">1830 7789 5970 8292 7292 </t>
  </si>
  <si>
    <t>FB14G2TYIJZ3</t>
  </si>
  <si>
    <t>FB9VUM0UESUI</t>
  </si>
  <si>
    <t>FBWY35ZATMNX</t>
  </si>
  <si>
    <t>FBFDCWSU4QWT</t>
  </si>
  <si>
    <t>FBT1TUBD7XKG</t>
  </si>
  <si>
    <t xml:space="preserve">3153 4601 7803 3675 0227 </t>
  </si>
  <si>
    <t>FBCNCTT9EE5Z</t>
  </si>
  <si>
    <t xml:space="preserve">4669 7570 4846 1722 8651 </t>
  </si>
  <si>
    <t>FBG0LDMNAF28</t>
  </si>
  <si>
    <t xml:space="preserve">5448 3500 0032 4534 1551 </t>
  </si>
  <si>
    <t>FBKD3XT1QZI9</t>
  </si>
  <si>
    <t xml:space="preserve">0922 3058 9477 8569 7020 </t>
  </si>
  <si>
    <t>FBXLMWZQZPLO</t>
  </si>
  <si>
    <t xml:space="preserve">1304 6527 3727 5478 0828 </t>
  </si>
  <si>
    <t>FB93IOT9S0GD</t>
  </si>
  <si>
    <t xml:space="preserve">1560 0261 2446 1021 1497 </t>
  </si>
  <si>
    <t>FBU459LMOT19</t>
  </si>
  <si>
    <t xml:space="preserve">6318 1357 5659 3191 9596 </t>
  </si>
  <si>
    <t>FBZY64BMDGRS</t>
  </si>
  <si>
    <t xml:space="preserve">0139 7575 7728 6193 6057 </t>
  </si>
  <si>
    <t>FB91O46GFUSJ</t>
  </si>
  <si>
    <t xml:space="preserve">7208 9710 3629 9408 1154 </t>
  </si>
  <si>
    <t>FBR05R0MMAN3</t>
  </si>
  <si>
    <t xml:space="preserve">1116 3881 4874 3844 3691 </t>
  </si>
  <si>
    <t>FBNYU78JZB30</t>
  </si>
  <si>
    <t xml:space="preserve">0474 9617 7791 3999 6728 </t>
  </si>
  <si>
    <t>FB83MNXR5ILO</t>
  </si>
  <si>
    <t xml:space="preserve">2572 0890 9581 6341 1373 </t>
  </si>
  <si>
    <t>FBLCRCG9I6P4</t>
  </si>
  <si>
    <t xml:space="preserve">1833 6587 0902 5185 9546 </t>
  </si>
  <si>
    <t>FBF9DF31JKZM</t>
  </si>
  <si>
    <t xml:space="preserve">4386 3821 2897 5642 0212 </t>
  </si>
  <si>
    <t>FB896JYVG5DU</t>
  </si>
  <si>
    <t xml:space="preserve">7120 2917 0639 1162 8264 </t>
  </si>
  <si>
    <t>FBKYIY8CJBPW</t>
  </si>
  <si>
    <t xml:space="preserve">5465 8219 2540 3331 5454 </t>
  </si>
  <si>
    <t>FBEOIQMGIFZY</t>
  </si>
  <si>
    <t xml:space="preserve">4978 7445 5546 8014 2840 </t>
  </si>
  <si>
    <t>FBZJAR8DPY5K</t>
  </si>
  <si>
    <t xml:space="preserve">2008 3573 5897 3595 9954 </t>
  </si>
  <si>
    <t>FBMPO98HERWZ</t>
  </si>
  <si>
    <t xml:space="preserve">6707 1355 2786 5493 5967 </t>
  </si>
  <si>
    <t>FBANF2HJ63CY</t>
  </si>
  <si>
    <t xml:space="preserve">5656 8977 5611 5314 3110 </t>
  </si>
  <si>
    <t>FBM5B9EQ45M2</t>
  </si>
  <si>
    <t xml:space="preserve">3475 7704 4886 1418 5116 </t>
  </si>
  <si>
    <t>FBH30GIYNNVH</t>
  </si>
  <si>
    <t xml:space="preserve">5381 4645 3684 7538 1914 </t>
  </si>
  <si>
    <t>FB8BZHDY2VDS</t>
  </si>
  <si>
    <t xml:space="preserve">3414 3546 2065 1229 1347 </t>
  </si>
  <si>
    <t>FBXLO33GRQ3P</t>
  </si>
  <si>
    <t>FBI91NWVE9JX</t>
  </si>
  <si>
    <t xml:space="preserve">0652 8367 8794 5036 1087 </t>
  </si>
  <si>
    <t>FBUAR1XYCHE7</t>
  </si>
  <si>
    <t xml:space="preserve">0921 5624 0688 6356 3865 </t>
  </si>
  <si>
    <t>FBZND8VV5CQT</t>
  </si>
  <si>
    <t xml:space="preserve">6844 9951 7596 4362 5143 </t>
  </si>
  <si>
    <t>FB938DMCKXVU</t>
  </si>
  <si>
    <t xml:space="preserve">5371 7864 9193 6764 7458 </t>
  </si>
  <si>
    <t>FBT3JUSOH6IQ</t>
  </si>
  <si>
    <t xml:space="preserve">2928 9790 0008 2803 4245 </t>
  </si>
  <si>
    <t>FB388B80D2BE</t>
  </si>
  <si>
    <t xml:space="preserve">4748 2717 3687 5082 0408 </t>
  </si>
  <si>
    <t>FBYOF98XNH24</t>
  </si>
  <si>
    <t xml:space="preserve">4982 3904 5952 1423 9095 </t>
  </si>
  <si>
    <t>FBRT1LABJIK9</t>
  </si>
  <si>
    <t xml:space="preserve">3821 0108 7523 9977 6516 </t>
  </si>
  <si>
    <t>FB5D7OJ5QBZP</t>
  </si>
  <si>
    <t xml:space="preserve">1422 3359 1132 4632 5466 </t>
  </si>
  <si>
    <t>FBSCVLC512E2</t>
  </si>
  <si>
    <t>FB2ZVJU1TQW5</t>
  </si>
  <si>
    <t xml:space="preserve">5421 4352 1952 1515 9863 </t>
  </si>
  <si>
    <t>FB9SCYE97TED</t>
  </si>
  <si>
    <t xml:space="preserve">0899 1834 7464 8296 0106 </t>
  </si>
  <si>
    <t>FBG7X77ADPUF</t>
  </si>
  <si>
    <t xml:space="preserve">3910 1147 3119 7321 1209 </t>
  </si>
  <si>
    <t>FBKX7OE2BS5R</t>
  </si>
  <si>
    <t xml:space="preserve">7101 9882 8890 4649 6898 </t>
  </si>
  <si>
    <t>FB4QLORGWDIV</t>
  </si>
  <si>
    <t xml:space="preserve">0438 2818 0936 8319 2728 </t>
  </si>
  <si>
    <t>FB4QFSR8FY8S</t>
  </si>
  <si>
    <t xml:space="preserve">5720 1671 9921 3390 0040 </t>
  </si>
  <si>
    <t>FBTNIIYGRU9M</t>
  </si>
  <si>
    <t xml:space="preserve">5567 8734 6821 5390 2377 </t>
  </si>
  <si>
    <t>FBSXTV1MYW8R</t>
  </si>
  <si>
    <t xml:space="preserve">2027 2998 3140 7072 0970 </t>
  </si>
  <si>
    <t>FBKK8T96J759</t>
  </si>
  <si>
    <t xml:space="preserve">4060 8434 2492 3949 9716 </t>
  </si>
  <si>
    <t>FB24FXX6SJSQ</t>
  </si>
  <si>
    <t>FBIDXAVAAWNS</t>
  </si>
  <si>
    <t>FB71WSEKWUJL</t>
  </si>
  <si>
    <t xml:space="preserve">6823 6229 6680 6426 0075 </t>
  </si>
  <si>
    <t>FBO8WWOO6KYT</t>
  </si>
  <si>
    <t xml:space="preserve">0516 3524 2826 9821 7789 </t>
  </si>
  <si>
    <t>FBZNZED0726P</t>
  </si>
  <si>
    <t xml:space="preserve">1608 0836 6754 8572 4841 </t>
  </si>
  <si>
    <t>FBNC2PKWAF88</t>
  </si>
  <si>
    <t xml:space="preserve">0173 4997 4489 2678 1856 </t>
  </si>
  <si>
    <t>FBNIV6G5TKGQ</t>
  </si>
  <si>
    <t xml:space="preserve">2350 4627 3855 6723 6559 </t>
  </si>
  <si>
    <t>FBDCMEB1R7W0</t>
  </si>
  <si>
    <t xml:space="preserve">3903 9600 7887 8677 8148 </t>
  </si>
  <si>
    <t>FBSATFOELXRT</t>
  </si>
  <si>
    <t xml:space="preserve">4240 7189 1941 6847 7515 </t>
  </si>
  <si>
    <t>FBOKF8STFH6N</t>
  </si>
  <si>
    <t xml:space="preserve">2001 5461 4792 8980 4798 </t>
  </si>
  <si>
    <t>FBJIXN7PRJN3</t>
  </si>
  <si>
    <t xml:space="preserve">6821 8824 5445 1137 4692 </t>
  </si>
  <si>
    <t>FBO3JNMEDY9Q</t>
  </si>
  <si>
    <t xml:space="preserve">5718 6579 5081 7067 0267 </t>
  </si>
  <si>
    <t>FBO6Z23ZMRQM</t>
  </si>
  <si>
    <t xml:space="preserve">7067 8795 9131 7619 5592 </t>
  </si>
  <si>
    <t>FBCXCPJZ9LOS</t>
  </si>
  <si>
    <t xml:space="preserve">3548 2855 5838 0414 8017 </t>
  </si>
  <si>
    <t>FBL2M2VDBCKV</t>
  </si>
  <si>
    <t xml:space="preserve">3168 5261 5451 0828 4955 </t>
  </si>
  <si>
    <t>FBHEW435VGSC</t>
  </si>
  <si>
    <t xml:space="preserve">5913 4106 3501 0765 9701 </t>
  </si>
  <si>
    <t>FBHKAXMK1G27</t>
  </si>
  <si>
    <t xml:space="preserve">4468 1718 2657 6312 1664 </t>
  </si>
  <si>
    <t>FBSDZEP3AVAD</t>
  </si>
  <si>
    <t xml:space="preserve">4103 6692 3547 8282 1821 </t>
  </si>
  <si>
    <t>FBQEV2OC6SD1</t>
  </si>
  <si>
    <t xml:space="preserve">1013 6025 6219 2570 2523 </t>
  </si>
  <si>
    <t>FB1D39XAMLUQ</t>
  </si>
  <si>
    <t xml:space="preserve">6828 9612 3363 4137 0577 </t>
  </si>
  <si>
    <t>FB4C5E1QD57C</t>
  </si>
  <si>
    <t xml:space="preserve">0037 4184 1356 8110 2968 </t>
  </si>
  <si>
    <t>FBLK09HHI122</t>
  </si>
  <si>
    <t xml:space="preserve">3616 4754 8766 5681 4028 </t>
  </si>
  <si>
    <t>FBY4B84X1SEL</t>
  </si>
  <si>
    <t xml:space="preserve">1738 1194 6266 7380 8932 </t>
  </si>
  <si>
    <t>FBDFNJUMQJ0P</t>
  </si>
  <si>
    <t xml:space="preserve">7313 9670 7517 7143 8261 </t>
  </si>
  <si>
    <t>FBEZ0YSCPNU9</t>
  </si>
  <si>
    <t xml:space="preserve">7003 8756 5914 1191 5369 </t>
  </si>
  <si>
    <t>FBADULLKOI88</t>
  </si>
  <si>
    <t xml:space="preserve">4381 2863 8365 1948 5225 </t>
  </si>
  <si>
    <t>FBIAI3MG3F60</t>
  </si>
  <si>
    <t>FBLEOCJXX7S0</t>
  </si>
  <si>
    <t>FBD9ENODLOWR</t>
  </si>
  <si>
    <t xml:space="preserve">6572 4638 5693 6158 9121 </t>
  </si>
  <si>
    <t>FBTLPXF9WZZE</t>
  </si>
  <si>
    <t xml:space="preserve">5679 0949 9154 4749 1947 </t>
  </si>
  <si>
    <t>FBSJNC08NGG5</t>
  </si>
  <si>
    <t xml:space="preserve">3342 6808 6918 8839 3819 </t>
  </si>
  <si>
    <t>FBWW3M22FADM</t>
  </si>
  <si>
    <t xml:space="preserve">7086 6092 9789 1666 5662 </t>
  </si>
  <si>
    <t>FBJ3F7JH076S</t>
  </si>
  <si>
    <t xml:space="preserve">6140 5757 2632 1221 3943 </t>
  </si>
  <si>
    <t>FBRZ1XHCQNPA</t>
  </si>
  <si>
    <t xml:space="preserve">4671 0603 2913 1509 0219 </t>
  </si>
  <si>
    <t>FBYB1G8V0VAR</t>
  </si>
  <si>
    <t xml:space="preserve">2220 0322 9274 2760 6392 </t>
  </si>
  <si>
    <t>FB2V51NPCN44</t>
  </si>
  <si>
    <t xml:space="preserve">0706 2675 4906 0163 4779 </t>
  </si>
  <si>
    <t>FBMZEK9WBJ1E</t>
  </si>
  <si>
    <t xml:space="preserve">6732 4732 3420 3659 4250 </t>
  </si>
  <si>
    <t>FBC31YC9VTLU</t>
  </si>
  <si>
    <t xml:space="preserve">0955 8817 9490 0986 3347 </t>
  </si>
  <si>
    <t>FB89RYAVGM8O</t>
  </si>
  <si>
    <t xml:space="preserve">5190 7960 4507 4695 3776 </t>
  </si>
  <si>
    <t>FBZX9W0L362O</t>
  </si>
  <si>
    <t xml:space="preserve">2421 8670 5538 7615 0961 </t>
  </si>
  <si>
    <t>FBC7A913PVZ3</t>
  </si>
  <si>
    <t xml:space="preserve">5631 5891 2960 3914 9964 </t>
  </si>
  <si>
    <t>FBZJX2L69H0O</t>
  </si>
  <si>
    <t xml:space="preserve">0760 2227 5676 0737 9089 </t>
  </si>
  <si>
    <t>FBLSODDY54PR</t>
  </si>
  <si>
    <t xml:space="preserve">5183 9822 0429 1233 9056 </t>
  </si>
  <si>
    <t>FBW7LISQ8XO1</t>
  </si>
  <si>
    <t xml:space="preserve">0505 3098 0412 0872 9778 </t>
  </si>
  <si>
    <t>FB2EQBAV6LTC</t>
  </si>
  <si>
    <t xml:space="preserve">2846 4501 3651 9238 9209 </t>
  </si>
  <si>
    <t>FB4KOT0S207U</t>
  </si>
  <si>
    <t xml:space="preserve">3582 0502 7401 8775 4887 </t>
  </si>
  <si>
    <t>FB86PINKUPMJ</t>
  </si>
  <si>
    <t xml:space="preserve">5696 6450 8652 8564 3761 </t>
  </si>
  <si>
    <t>FBL5KKH1DBQH</t>
  </si>
  <si>
    <t xml:space="preserve">1172 8389 3913 2637 6699 </t>
  </si>
  <si>
    <t>FBPFEKCE9J6B</t>
  </si>
  <si>
    <t xml:space="preserve">6790 2873 4159 2776 7793 </t>
  </si>
  <si>
    <t>FBZFCP8RLGW9</t>
  </si>
  <si>
    <t xml:space="preserve">3100 5387 2284 9907 1192 </t>
  </si>
  <si>
    <t>FBR4ZTHNG6PI</t>
  </si>
  <si>
    <t xml:space="preserve">3184 0804 6399 3201 0538 </t>
  </si>
  <si>
    <t>FBUUXZ2BAOAS</t>
  </si>
  <si>
    <t>FBXO4FKGVL2O</t>
  </si>
  <si>
    <t xml:space="preserve">5133 9952 9323 4679 4025 </t>
  </si>
  <si>
    <t>FBO03001HTX9</t>
  </si>
  <si>
    <t xml:space="preserve">1611 7729 5028 7680 0089 </t>
  </si>
  <si>
    <t>FBZ6TZILRZ1W</t>
  </si>
  <si>
    <t xml:space="preserve">0391 7846 3219 5889 2691 </t>
  </si>
  <si>
    <t>FB7SASX5VYK1</t>
  </si>
  <si>
    <t>FB2M5U92MTG3</t>
  </si>
  <si>
    <t xml:space="preserve">2213 5905 7554 3064 2711 </t>
  </si>
  <si>
    <t>FBRT47B8FWWV</t>
  </si>
  <si>
    <t>FBVX0T6712Y2</t>
  </si>
  <si>
    <t xml:space="preserve">1890 8060 0696 7148 3205 </t>
  </si>
  <si>
    <t>FBOMOQ9SW63Q</t>
  </si>
  <si>
    <t xml:space="preserve">6801 0525 7549 5304 5852 </t>
  </si>
  <si>
    <t>FBLH614VRVIG</t>
  </si>
  <si>
    <t xml:space="preserve">2059 2535 4966 2090 3080 </t>
  </si>
  <si>
    <t>FBOSNZWVB9GW</t>
  </si>
  <si>
    <t>FBOHWW9TJ9P1</t>
  </si>
  <si>
    <t xml:space="preserve">5484 2062 0322 6828 8176 </t>
  </si>
  <si>
    <t>FBF1HH7XRIIX</t>
  </si>
  <si>
    <t xml:space="preserve">3217 4045 6591 6481 8015 </t>
  </si>
  <si>
    <t>FBN2M0RC8ZQO</t>
  </si>
  <si>
    <t xml:space="preserve">3608 4280 5919 8964 0080 </t>
  </si>
  <si>
    <t>FBGG6C9KD7SW</t>
  </si>
  <si>
    <t xml:space="preserve">4467 0025 1357 4399 7632 </t>
  </si>
  <si>
    <t>FBM2I7PE56C9</t>
  </si>
  <si>
    <t xml:space="preserve">0524 4300 5953 4231 1671 </t>
  </si>
  <si>
    <t>FBYC11FMXO58</t>
  </si>
  <si>
    <t xml:space="preserve">0510 0881 2741 6284 2135 </t>
  </si>
  <si>
    <t>FB1BWKSX8DU9</t>
  </si>
  <si>
    <t xml:space="preserve">3077 7269 9280 8243 6673 </t>
  </si>
  <si>
    <t>FB1U3RI91XR9</t>
  </si>
  <si>
    <t xml:space="preserve">4083 9580 0910 4554 2546 </t>
  </si>
  <si>
    <t>FBPV4N48SU3E</t>
  </si>
  <si>
    <t xml:space="preserve">1305 6971 8854 6158 3128 </t>
  </si>
  <si>
    <t>FB13VS4F3W2C</t>
  </si>
  <si>
    <t xml:space="preserve">1071 7109 9274 5901 6885 </t>
  </si>
  <si>
    <t>FBTIPWI2D0IC</t>
  </si>
  <si>
    <t xml:space="preserve">2350 2704 9393 9728 7478 </t>
  </si>
  <si>
    <t>FB31K59W4CVV</t>
  </si>
  <si>
    <t xml:space="preserve">4144 3485 1828 6428 9909 </t>
  </si>
  <si>
    <t>FBCF8ENFBP1T</t>
  </si>
  <si>
    <t xml:space="preserve">4129 1129 2683 7806 1852 </t>
  </si>
  <si>
    <t>FBRPNV6BG5H8</t>
  </si>
  <si>
    <t xml:space="preserve">0146 9471 7532 6194 4175 </t>
  </si>
  <si>
    <t>FB19I3A7OIBE</t>
  </si>
  <si>
    <t xml:space="preserve">3090 3546 3399 7947 4012 </t>
  </si>
  <si>
    <t>FBA4BO9MY0HN</t>
  </si>
  <si>
    <t xml:space="preserve">1710 8357 5055 5036 4952 </t>
  </si>
  <si>
    <t>FBYL3NPULDTL</t>
  </si>
  <si>
    <t xml:space="preserve">0038 0149 1328 1898 7088 </t>
  </si>
  <si>
    <t>FB8ES5C6CS1F</t>
  </si>
  <si>
    <t xml:space="preserve">1538 9084 5714 2001 6776 </t>
  </si>
  <si>
    <t>FB15PBR5L8IC</t>
  </si>
  <si>
    <t>FBFZWABHXKDH</t>
  </si>
  <si>
    <t xml:space="preserve">0772 9476 3165 0493 8837 </t>
  </si>
  <si>
    <t>FB420TZLAOTS</t>
  </si>
  <si>
    <t xml:space="preserve">1630 8514 0503 7478 0736 </t>
  </si>
  <si>
    <t>FBUMCCZDSXZM</t>
  </si>
  <si>
    <t xml:space="preserve">2263 3921 0405 4286 3707 </t>
  </si>
  <si>
    <t>FBB0CNC5EMLS</t>
  </si>
  <si>
    <t xml:space="preserve">4140 8110 4305 2272 8429 </t>
  </si>
  <si>
    <t>FBQWR9FC8WLN</t>
  </si>
  <si>
    <t xml:space="preserve">4575 9178 9602 0068 8433 </t>
  </si>
  <si>
    <t>FBUX0KMP8V4V</t>
  </si>
  <si>
    <t>FB1EVL01XPNI</t>
  </si>
  <si>
    <t>FBSKKIV0O2FG</t>
  </si>
  <si>
    <t>FBI71KZ28NHU</t>
  </si>
  <si>
    <t xml:space="preserve">0367 2344 8945 0037 9393 </t>
  </si>
  <si>
    <t>FB1PMLD6GQS2</t>
  </si>
  <si>
    <t>FBZ643R3UQQ3</t>
  </si>
  <si>
    <t>FBNJXC6QDIRJ</t>
  </si>
  <si>
    <t xml:space="preserve">4748 2841 7885 6823 4516 </t>
  </si>
  <si>
    <t>FBFOTA3HZ8HR</t>
  </si>
  <si>
    <t xml:space="preserve">3195 8625 6817 3350 5369 </t>
  </si>
  <si>
    <t>FBOGULVQ6CTI</t>
  </si>
  <si>
    <t xml:space="preserve">5308 0176 0679 1564 8253 </t>
  </si>
  <si>
    <t>FBLH7JJPUJHI</t>
  </si>
  <si>
    <t>FBUH35IMI1GN</t>
  </si>
  <si>
    <t xml:space="preserve">6198 6898 6107 0797 7858 </t>
  </si>
  <si>
    <t>FB8QQ9XU8OQH</t>
  </si>
  <si>
    <t xml:space="preserve">0462 9428 6443 8959 7674 </t>
  </si>
  <si>
    <t>FBA79IHVKUJ4</t>
  </si>
  <si>
    <t xml:space="preserve">2467 6328 0419 0248 4239 </t>
  </si>
  <si>
    <t>FB0QKQT2CC9W</t>
  </si>
  <si>
    <t xml:space="preserve">6816 0504 4098 5416 5789 </t>
  </si>
  <si>
    <t>FBD87MBLAF9G</t>
  </si>
  <si>
    <t xml:space="preserve">4162 4352 0448 5301 2807 </t>
  </si>
  <si>
    <t>FB5S4XRRYK4R</t>
  </si>
  <si>
    <t xml:space="preserve">0872 8202 2235 3907 4619 </t>
  </si>
  <si>
    <t>FB5TDXG3UFYZ</t>
  </si>
  <si>
    <t xml:space="preserve">4700 3961 7762 0537 0606 </t>
  </si>
  <si>
    <t>FBEM53SQTJ2H</t>
  </si>
  <si>
    <t xml:space="preserve">4910 5409 7640 6265 5689 </t>
  </si>
  <si>
    <t>FBLX7BFAH20Q</t>
  </si>
  <si>
    <t xml:space="preserve">3963 7018 0721 2371 7175 </t>
  </si>
  <si>
    <t>FBW28613C8RU</t>
  </si>
  <si>
    <t xml:space="preserve">1948 7401 1731 0616 5281 </t>
  </si>
  <si>
    <t>FBFUBUCDUHUP</t>
  </si>
  <si>
    <t xml:space="preserve">2863 5720 5220 1363 8673 </t>
  </si>
  <si>
    <t>FBLFXP00EZZE</t>
  </si>
  <si>
    <t xml:space="preserve">3277 3747 9193 6642 3224 </t>
  </si>
  <si>
    <t>FBDWGHE5R2GB</t>
  </si>
  <si>
    <t>FBCV802F3NLG</t>
  </si>
  <si>
    <t xml:space="preserve">2973 6056 4646 8602 9444 </t>
  </si>
  <si>
    <t>FBS3R128KPRY</t>
  </si>
  <si>
    <t xml:space="preserve">5011 5655 3725 1781 6819 </t>
  </si>
  <si>
    <t>FB808FWXK8ZP</t>
  </si>
  <si>
    <t xml:space="preserve">4462 8480 2987 6615 5854 </t>
  </si>
  <si>
    <t>FB8CIGTKJLFB</t>
  </si>
  <si>
    <t xml:space="preserve">0487 4434 0599 6310 9607 </t>
  </si>
  <si>
    <t>FBVQB59SG4XE</t>
  </si>
  <si>
    <t>FB9Q8IUNA2CX</t>
  </si>
  <si>
    <t xml:space="preserve">2671 8015 1177 2794 9816 </t>
  </si>
  <si>
    <t>FBRISKAPRSV2</t>
  </si>
  <si>
    <t xml:space="preserve">7042 5146 7593 0374 6889 </t>
  </si>
  <si>
    <t>FB488Q2ZU8J3</t>
  </si>
  <si>
    <t xml:space="preserve">3303 2887 9704 4161 5757 </t>
  </si>
  <si>
    <t>FBX1KHA11ZQ5</t>
  </si>
  <si>
    <t xml:space="preserve">0833 2044 8930 5119 2976 </t>
  </si>
  <si>
    <t>FB2DE0SO8WX4</t>
  </si>
  <si>
    <t xml:space="preserve">5053 0324 4335 5207 3124 </t>
  </si>
  <si>
    <t>FBGCWPJ7PQI1</t>
  </si>
  <si>
    <t xml:space="preserve">7243 9851 7811 3723 4289 </t>
  </si>
  <si>
    <t>FBJGLHH7MAVI</t>
  </si>
  <si>
    <t xml:space="preserve">4790 7091 0967 0035 4778 </t>
  </si>
  <si>
    <t>FB3LG4P7M7BD</t>
  </si>
  <si>
    <t xml:space="preserve">4947 5450 0024 7152 6750 </t>
  </si>
  <si>
    <t>FBHH1IV0ITQM</t>
  </si>
  <si>
    <t xml:space="preserve">6897 0503 7275 3764 2509 </t>
  </si>
  <si>
    <t>FBOJ9KZY17VL</t>
  </si>
  <si>
    <t xml:space="preserve">1625 6395 7690 0053 4479 </t>
  </si>
  <si>
    <t>FBU29RVWNZ0B</t>
  </si>
  <si>
    <t xml:space="preserve">6002 7887 6926 1527 4837 </t>
  </si>
  <si>
    <t>FBWYKJCC313Q</t>
  </si>
  <si>
    <t xml:space="preserve">4245 7417 9696 7042 9175 </t>
  </si>
  <si>
    <t>FBHT9UKTFS9L</t>
  </si>
  <si>
    <t>FB9R4ZLOEFSQ</t>
  </si>
  <si>
    <t xml:space="preserve">4660 2993 1540 4496 1609 </t>
  </si>
  <si>
    <t>FB2MW45PDQ7W</t>
  </si>
  <si>
    <t xml:space="preserve">5361 2195 2978 8027 6979 </t>
  </si>
  <si>
    <t>FB5CVZJHOSG4</t>
  </si>
  <si>
    <t xml:space="preserve">1981 7851 6103 4252 5753 </t>
  </si>
  <si>
    <t>FBX0D821J9T4</t>
  </si>
  <si>
    <t xml:space="preserve">1964 4588 9665 3228 5261 </t>
  </si>
  <si>
    <t>FB55PR03LUFZ</t>
  </si>
  <si>
    <t xml:space="preserve">0749 1797 3210 2983 3022 </t>
  </si>
  <si>
    <t>FB3D39ECFPXY</t>
  </si>
  <si>
    <t xml:space="preserve">2301 8293 2576 9090 1017 </t>
  </si>
  <si>
    <t>FBDFZ4TGAR9A</t>
  </si>
  <si>
    <t xml:space="preserve">1453 4765 1614 3490 8227 </t>
  </si>
  <si>
    <t>FBSZJITBK5C6</t>
  </si>
  <si>
    <t xml:space="preserve">4183 0809 2098 3200 8183 </t>
  </si>
  <si>
    <t>FB2PIQAFQ344</t>
  </si>
  <si>
    <t xml:space="preserve">4828 0154 8477 0229 2230 </t>
  </si>
  <si>
    <t>FB2PI3MTFAX7</t>
  </si>
  <si>
    <t xml:space="preserve">1618 7591 5917 7810 7330 </t>
  </si>
  <si>
    <t>FBRV6PY80YE3</t>
  </si>
  <si>
    <t xml:space="preserve">1209 6457 3264 7650 3538 </t>
  </si>
  <si>
    <t>FBE8KV99F8VY</t>
  </si>
  <si>
    <t>FBBBVECYHPD6</t>
  </si>
  <si>
    <t xml:space="preserve">4246 4203 9497 9034 5610 </t>
  </si>
  <si>
    <t>FB7NHLEQNL3I</t>
  </si>
  <si>
    <t>FBGRYICBQ0GD</t>
  </si>
  <si>
    <t>FB5M2XLU1A8G</t>
  </si>
  <si>
    <t xml:space="preserve">2413 1477 0474 6884 3183 </t>
  </si>
  <si>
    <t>FB7MWM2INZVW</t>
  </si>
  <si>
    <t xml:space="preserve">1604 6766 3314 2940 0158 </t>
  </si>
  <si>
    <t>FB6KWXUKDDTY</t>
  </si>
  <si>
    <t xml:space="preserve">1010 4095 9722 7219 1607 </t>
  </si>
  <si>
    <t>FBFMNRYMXRJA</t>
  </si>
  <si>
    <t xml:space="preserve">3466 2406 6891 0228 7107 </t>
  </si>
  <si>
    <t>FB1M0OAV6ZAM</t>
  </si>
  <si>
    <t>FBMZ1XZ7PRCT</t>
  </si>
  <si>
    <t xml:space="preserve">0882 3288 5141 0022 9651 </t>
  </si>
  <si>
    <t>FBBX57MOY5ZI</t>
  </si>
  <si>
    <t xml:space="preserve">6688 5526 2354 5688 1740 </t>
  </si>
  <si>
    <t>FBO7BRMAYC5P</t>
  </si>
  <si>
    <t xml:space="preserve">7375 6365 2941 8497 7314 </t>
  </si>
  <si>
    <t>FBLD7K2PHJK9</t>
  </si>
  <si>
    <t xml:space="preserve">7265 8053 8252 8416 3363 </t>
  </si>
  <si>
    <t>FBLSVK3HTKT0</t>
  </si>
  <si>
    <t xml:space="preserve">1529 4566 2784 4903 3747 </t>
  </si>
  <si>
    <t>FB6EQ1PAU5CM</t>
  </si>
  <si>
    <t xml:space="preserve">2946 1929 9343 6103 2052 </t>
  </si>
  <si>
    <t>FBIQJ7YRORI6</t>
  </si>
  <si>
    <t xml:space="preserve">6684 9996 5839 2707 2552 </t>
  </si>
  <si>
    <t>FBIJRPHD6V03</t>
  </si>
  <si>
    <t>FBCN66C5KNK5</t>
  </si>
  <si>
    <t xml:space="preserve">5763 8314 0167 3311 4784 </t>
  </si>
  <si>
    <t>FBFL158D72VB</t>
  </si>
  <si>
    <t xml:space="preserve">0399 8437 4931 0108 3534 </t>
  </si>
  <si>
    <t>FBW0PX7BGP2H</t>
  </si>
  <si>
    <t xml:space="preserve">6723 4963 3582 8569 7973 </t>
  </si>
  <si>
    <t>FBQVW8VC621C</t>
  </si>
  <si>
    <t xml:space="preserve">4423 1303 5293 0537 9278 </t>
  </si>
  <si>
    <t>FBO8DJN2GLRS</t>
  </si>
  <si>
    <t xml:space="preserve">5293 1048 1875 4106 5124 </t>
  </si>
  <si>
    <t>FBSBQCA6F2MH</t>
  </si>
  <si>
    <t>FBZI1WN8R236</t>
  </si>
  <si>
    <t xml:space="preserve">2891 3530 1762 9396 7295 </t>
  </si>
  <si>
    <t>FB2BNPJ5RITJ</t>
  </si>
  <si>
    <t>FBF5C50H7OTE</t>
  </si>
  <si>
    <t xml:space="preserve">2457 8638 6822 2303 8083 </t>
  </si>
  <si>
    <t>FBV2W1D7DUQG</t>
  </si>
  <si>
    <t xml:space="preserve">0252 6404 4549 9377 8607 </t>
  </si>
  <si>
    <t>FBCEEZOC249Y</t>
  </si>
  <si>
    <t xml:space="preserve">5180 0590 0484 5155 2565 </t>
  </si>
  <si>
    <t>FBKN4IN8UMLC</t>
  </si>
  <si>
    <t>FBPVBX00D8CD</t>
  </si>
  <si>
    <t>FBFGJPCMAFQ4</t>
  </si>
  <si>
    <t xml:space="preserve">0450 6120 5079 7668 4093 </t>
  </si>
  <si>
    <t>FBRQQJHWLRPP</t>
  </si>
  <si>
    <t xml:space="preserve">3168 5936 1437 9338 8547 </t>
  </si>
  <si>
    <t>FB43R58R4KUO</t>
  </si>
  <si>
    <t xml:space="preserve">7330 9894 2852 6260 1643 </t>
  </si>
  <si>
    <t>FBHU12G7WA6A</t>
  </si>
  <si>
    <t>FBHGGAUECN5M</t>
  </si>
  <si>
    <t>FBF5UC31Z71P</t>
  </si>
  <si>
    <t xml:space="preserve">1822 5283 9120 6548 0380 </t>
  </si>
  <si>
    <t>FB2I5WQTD1V1</t>
  </si>
  <si>
    <t xml:space="preserve">6874 7519 0993 7595 8690 </t>
  </si>
  <si>
    <t>FB1ZW668A2MU</t>
  </si>
  <si>
    <t xml:space="preserve">6302 6159 5160 3584 8516 </t>
  </si>
  <si>
    <t>FBTIKLKM3QJX</t>
  </si>
  <si>
    <t xml:space="preserve">2702 4544 3459 4045 8255 </t>
  </si>
  <si>
    <t>FBR5A4NH5XWT</t>
  </si>
  <si>
    <t>FBML2D5PMCLZ</t>
  </si>
  <si>
    <t xml:space="preserve">5400 4717 9000 0259 3397 </t>
  </si>
  <si>
    <t>FBBG1LCIV9PO</t>
  </si>
  <si>
    <t xml:space="preserve">5135 1796 7755 1269 6437 </t>
  </si>
  <si>
    <t>FBJ8RKFITJBZ</t>
  </si>
  <si>
    <t xml:space="preserve">5212 4683 1271 6016 4143 </t>
  </si>
  <si>
    <t>FBSGUAEKRYLH</t>
  </si>
  <si>
    <t xml:space="preserve">2741 4995 4828 1274 2583 </t>
  </si>
  <si>
    <t>FB8HQIRAS579</t>
  </si>
  <si>
    <t>FBL2IO8H0SZM</t>
  </si>
  <si>
    <t xml:space="preserve">4071 9581 1791 1969 2814 </t>
  </si>
  <si>
    <t>FBWPLY2CNG8B</t>
  </si>
  <si>
    <t>FBTDVUKYZQQK</t>
  </si>
  <si>
    <t xml:space="preserve">0368 7700 6277 8505 5032 </t>
  </si>
  <si>
    <t>FBI3XP5KMEA3</t>
  </si>
  <si>
    <t>FB61Q3Z0HQLC</t>
  </si>
  <si>
    <t xml:space="preserve">2447 0368 1750 7307 6695 </t>
  </si>
  <si>
    <t>FBTP0LZQBOGS</t>
  </si>
  <si>
    <t xml:space="preserve">2540 9934 9688 7689 9505 </t>
  </si>
  <si>
    <t>FBTGIUYN8UV9</t>
  </si>
  <si>
    <t xml:space="preserve">2495 9837 3556 7622 8453 </t>
  </si>
  <si>
    <t>FBNTHGETH16W</t>
  </si>
  <si>
    <t>FBLIP644K2DO</t>
  </si>
  <si>
    <t xml:space="preserve">1624 1043 4964 1337 2421 </t>
  </si>
  <si>
    <t>FBVHRC2KBXDO</t>
  </si>
  <si>
    <t>FB3RHVD9DXE9</t>
  </si>
  <si>
    <t xml:space="preserve">1489 7736 4806 6521 0666 </t>
  </si>
  <si>
    <t>FBLU3BHFKW4W</t>
  </si>
  <si>
    <t xml:space="preserve">1179 8815 0401 1447 3149 </t>
  </si>
  <si>
    <t>FBEE1PYC7WL0</t>
  </si>
  <si>
    <t xml:space="preserve">1012 9534 9213 5390 0375 </t>
  </si>
  <si>
    <t>FBS4L4W6DGD2</t>
  </si>
  <si>
    <t xml:space="preserve">3471 6898 3130 5465 1183 </t>
  </si>
  <si>
    <t>FBO851FYRHW6</t>
  </si>
  <si>
    <t xml:space="preserve">6407 2115 5504 9850 3048 </t>
  </si>
  <si>
    <t>FB6T2Y3WUMWN</t>
  </si>
  <si>
    <t xml:space="preserve">6763 5414 8562 6036 5643 </t>
  </si>
  <si>
    <t>FBJUA4U7T51J</t>
  </si>
  <si>
    <t xml:space="preserve">0905 5290 8958 9332 5278 </t>
  </si>
  <si>
    <t>FB0Z8QP0IXU4</t>
  </si>
  <si>
    <t xml:space="preserve">1697 3445 6029 6441 2348 </t>
  </si>
  <si>
    <t>FBBH30ALR34U</t>
  </si>
  <si>
    <t xml:space="preserve">6097 1923 7214 9341 2611 </t>
  </si>
  <si>
    <t>FB69EJKJIML0</t>
  </si>
  <si>
    <t xml:space="preserve">5131 7992 5191 3032 3615 </t>
  </si>
  <si>
    <t>FBKT90WVWEHD</t>
  </si>
  <si>
    <t xml:space="preserve">3972 9989 1128 5893 3962 </t>
  </si>
  <si>
    <t>FBUIO3FJO27J</t>
  </si>
  <si>
    <t xml:space="preserve">6068 4964 7635 4213 4643 </t>
  </si>
  <si>
    <t>FBS04PB73MV7</t>
  </si>
  <si>
    <t xml:space="preserve">6392 0487 5047 0462 7472 </t>
  </si>
  <si>
    <t>FBYIXXRU24R2</t>
  </si>
  <si>
    <t xml:space="preserve">4608 3829 9015 2297 1917 </t>
  </si>
  <si>
    <t>FBZKRW9DV7MD</t>
  </si>
  <si>
    <t xml:space="preserve">5900 1559 4556 9779 7413 </t>
  </si>
  <si>
    <t>FBSPM4CJAXAW</t>
  </si>
  <si>
    <t xml:space="preserve">1599 5505 5842 8747 4813 </t>
  </si>
  <si>
    <t>FBWF61UJ1KJA</t>
  </si>
  <si>
    <t xml:space="preserve">0010 8367 4066 0607 5801 </t>
  </si>
  <si>
    <t>FBHMHDTL6NE3</t>
  </si>
  <si>
    <t xml:space="preserve">4548 0359 4421 0867 6359 </t>
  </si>
  <si>
    <t>FBN3CL611EUH</t>
  </si>
  <si>
    <t xml:space="preserve">3353 8362 8228 3324 8515 </t>
  </si>
  <si>
    <t>FB7D5XBZ8PUO</t>
  </si>
  <si>
    <t xml:space="preserve">6246 7201 6992 9672 3108 </t>
  </si>
  <si>
    <t>FB3305XCFFRV</t>
  </si>
  <si>
    <t xml:space="preserve">5206 2897 2916 4553 6183 </t>
  </si>
  <si>
    <t>FBLDGRUEE497</t>
  </si>
  <si>
    <t>FBYH25Q5N8PY</t>
  </si>
  <si>
    <t xml:space="preserve">4597 8048 3939 5846 0793 </t>
  </si>
  <si>
    <t>FBWZE21VIEON</t>
  </si>
  <si>
    <t xml:space="preserve">1579 3483 8824 6455 4991 </t>
  </si>
  <si>
    <t>FBPUZBGYE4S1</t>
  </si>
  <si>
    <t xml:space="preserve">1126 5330 2351 6775 0001 </t>
  </si>
  <si>
    <t>FBS4ZNNUZ0DH</t>
  </si>
  <si>
    <t xml:space="preserve">6288 9068 2953 8885 5525 </t>
  </si>
  <si>
    <t>FBN3ZZGV0ZID</t>
  </si>
  <si>
    <t xml:space="preserve">1180 5980 0387 9403 1256 </t>
  </si>
  <si>
    <t>FB8E22UVU6QO</t>
  </si>
  <si>
    <t xml:space="preserve">3763 1766 9627 0033 3847 </t>
  </si>
  <si>
    <t>FB8AD92XALC8</t>
  </si>
  <si>
    <t>FBF0R38FNTMT</t>
  </si>
  <si>
    <t xml:space="preserve">3139 9875 7607 2062 7270 </t>
  </si>
  <si>
    <t>FBMH8GMKANQB</t>
  </si>
  <si>
    <t xml:space="preserve">3371 4859 5952 3740 9129 </t>
  </si>
  <si>
    <t>FBKFMKQELYJ7</t>
  </si>
  <si>
    <t xml:space="preserve">1453 5099 2814 3376 0155 </t>
  </si>
  <si>
    <t>FB16ULLGEONV</t>
  </si>
  <si>
    <t xml:space="preserve">4110 3586 7704 7688 3791 </t>
  </si>
  <si>
    <t>FBTOX5NWVADA</t>
  </si>
  <si>
    <t xml:space="preserve">6268 8318 1186 7665 5059 </t>
  </si>
  <si>
    <t>FBYGU5395MYM</t>
  </si>
  <si>
    <t xml:space="preserve">3016 7715 4080 6213 8789 </t>
  </si>
  <si>
    <t>FBRZN9NAG7L1</t>
  </si>
  <si>
    <t xml:space="preserve">6342 1753 0020 6145 1493 </t>
  </si>
  <si>
    <t>FBXFFP4R1NSL</t>
  </si>
  <si>
    <t>FBA0MJ3TU0BZ</t>
  </si>
  <si>
    <t xml:space="preserve">6668 6110 1833 1700 6088 </t>
  </si>
  <si>
    <t>FBCA0R2MZQ8J</t>
  </si>
  <si>
    <t xml:space="preserve">2523 5696 7861 1060 3778 </t>
  </si>
  <si>
    <t>FB9ZKAUEIM8R</t>
  </si>
  <si>
    <t xml:space="preserve">0849 5917 6882 2285 9195 </t>
  </si>
  <si>
    <t>FB2STRMV9F97</t>
  </si>
  <si>
    <t xml:space="preserve">5108 3589 8718 1848 0596 </t>
  </si>
  <si>
    <t>FBS26O2JLBAW</t>
  </si>
  <si>
    <t xml:space="preserve">5437 0445 4962 3454 5491 </t>
  </si>
  <si>
    <t>FBB0YJUDT87M</t>
  </si>
  <si>
    <t>FB6FW1K8S831</t>
  </si>
  <si>
    <t xml:space="preserve">3241 9134 9904 0143 8071 </t>
  </si>
  <si>
    <t>FBKJDA2K00SS</t>
  </si>
  <si>
    <t>FBTYSUFE03PW</t>
  </si>
  <si>
    <t>FBFEC5XR9R71</t>
  </si>
  <si>
    <t>FBC4R4O0239Z</t>
  </si>
  <si>
    <t xml:space="preserve">0885 1416 1953 1917 2126 </t>
  </si>
  <si>
    <t>FBX62WHNWRIL</t>
  </si>
  <si>
    <t xml:space="preserve">4565 1643 9238 2855 4873 </t>
  </si>
  <si>
    <t>FBK0ETWML4DP</t>
  </si>
  <si>
    <t>FB8PRK35HOBF</t>
  </si>
  <si>
    <t>FBWXBH1TT82X</t>
  </si>
  <si>
    <t xml:space="preserve">3023 0839 8754 5469 7322 </t>
  </si>
  <si>
    <t>FBT4STN1QIDX</t>
  </si>
  <si>
    <t xml:space="preserve">0528 4021 6780 7466 5865 </t>
  </si>
  <si>
    <t>FB77WL13ZOTF</t>
  </si>
  <si>
    <t xml:space="preserve">2754 7943 6280 1865 4588 </t>
  </si>
  <si>
    <t>FBS93HSO2MMO</t>
  </si>
  <si>
    <t>Service Charge</t>
  </si>
  <si>
    <t>FBHAUIPA6B6H</t>
  </si>
  <si>
    <t xml:space="preserve">2746 0136 3728 4140 7811 </t>
  </si>
  <si>
    <t>FB69I764WUD5</t>
  </si>
  <si>
    <t>FBGTR5598A2K</t>
  </si>
  <si>
    <t xml:space="preserve">4295 8023 8694 7796 3372 </t>
  </si>
  <si>
    <t>FBLB30F5RD48</t>
  </si>
  <si>
    <t xml:space="preserve">3944 2471 7915 3240 3279 </t>
  </si>
  <si>
    <t>FB9F5YAKQO8Z</t>
  </si>
  <si>
    <t>FBWTD3HVSL9N</t>
  </si>
  <si>
    <t>FBEVJQ495EMK</t>
  </si>
  <si>
    <t xml:space="preserve">3674 4914 1911 4365 6125 </t>
  </si>
  <si>
    <t>FB1VRZXBXW8I</t>
  </si>
  <si>
    <t xml:space="preserve">5294 5669 5167 1774 7517 </t>
  </si>
  <si>
    <t>FBC8W8C71EB9</t>
  </si>
  <si>
    <t>FBLPLGEELZKN</t>
  </si>
  <si>
    <t xml:space="preserve">1765 5135 6385 7250 4139 </t>
  </si>
  <si>
    <t>FBLI0G6D6XDQ</t>
  </si>
  <si>
    <t>FBNSYCKD856R</t>
  </si>
  <si>
    <t xml:space="preserve">4510 9935 8908 4651 0245 </t>
  </si>
  <si>
    <t>FBOEUIWD7WUT</t>
  </si>
  <si>
    <t xml:space="preserve">6041 9310 4900 4814 7644 </t>
  </si>
  <si>
    <t>FBQQBVER79L9</t>
  </si>
  <si>
    <t>FB8LJYBQIF7C</t>
  </si>
  <si>
    <t xml:space="preserve">3721 1772 6807 1719 2774 </t>
  </si>
  <si>
    <t>FBXIWJAUE6KY</t>
  </si>
  <si>
    <t>FBE1QBSVVR2P</t>
  </si>
  <si>
    <t xml:space="preserve">6022 7024 8595 3937 6246 </t>
  </si>
  <si>
    <t>FBGA62F6FWU1</t>
  </si>
  <si>
    <t xml:space="preserve">1823 8296 9274 0430 7280 </t>
  </si>
  <si>
    <t>FBG5FN7N7ZIB</t>
  </si>
  <si>
    <t xml:space="preserve">0031 8182 9745 7301 8248 </t>
  </si>
  <si>
    <t>FBJ2MQ0Y5026</t>
  </si>
  <si>
    <t xml:space="preserve">1646 5806 8665 2438 9238 </t>
  </si>
  <si>
    <t>FBI6TY9208WH</t>
  </si>
  <si>
    <t xml:space="preserve">1213 4182 0649 0680 6849 </t>
  </si>
  <si>
    <t>FBDVPJBN3P5B</t>
  </si>
  <si>
    <t xml:space="preserve">3494 8982 3576 4604 1041 </t>
  </si>
  <si>
    <t>FB6OHVKA8QTH</t>
  </si>
  <si>
    <t xml:space="preserve">1838 0321 5520 0363 4563 </t>
  </si>
  <si>
    <t>FBJEV5KFB5UC</t>
  </si>
  <si>
    <t xml:space="preserve">4692 1328 8215 9634 1189 </t>
  </si>
  <si>
    <t>FBFFZUBI1ZRF</t>
  </si>
  <si>
    <t xml:space="preserve">6003 6184 1697 0993 0950 </t>
  </si>
  <si>
    <t>FB0OBTTAI3KK</t>
  </si>
  <si>
    <t xml:space="preserve">5659 6171 8305 0765 5676 </t>
  </si>
  <si>
    <t>FBSNU8KKB1P8</t>
  </si>
  <si>
    <t xml:space="preserve">0130 7152 0445 0924 8027 </t>
  </si>
  <si>
    <t>FBRG3NWROA0N</t>
  </si>
  <si>
    <t xml:space="preserve">4797 4800 0809 5830 5011 </t>
  </si>
  <si>
    <t>FBNMC2GH7UID</t>
  </si>
  <si>
    <t xml:space="preserve">0913 6681 2836 1824 1442 </t>
  </si>
  <si>
    <t>FBLXSL2Y16KT</t>
  </si>
  <si>
    <t xml:space="preserve">4740 2119 7599 6038 2230 </t>
  </si>
  <si>
    <t>FB4P1A8E3HHQ</t>
  </si>
  <si>
    <t xml:space="preserve">4154 7530 4408 3806 6654 </t>
  </si>
  <si>
    <t>FBZ8OKR8GABF</t>
  </si>
  <si>
    <t xml:space="preserve">5302 4546 9202 5955 5057 </t>
  </si>
  <si>
    <t>FBK5MPBIXUJY</t>
  </si>
  <si>
    <t xml:space="preserve">5575 9342 3992 0542 7860 </t>
  </si>
  <si>
    <t>FBUMY3FCQS9V</t>
  </si>
  <si>
    <t xml:space="preserve">4625 4795 1781 0096 0905 </t>
  </si>
  <si>
    <t>FB7MG4C3S61Z</t>
  </si>
  <si>
    <t>FBM56BAGEE3X</t>
  </si>
  <si>
    <t xml:space="preserve">6015 4990 8238 8049 7202 </t>
  </si>
  <si>
    <t>FB2IEJ8G78UZ</t>
  </si>
  <si>
    <t xml:space="preserve">3319 1088 9429 2259 1550 </t>
  </si>
  <si>
    <t>FBVN57QSKOBT</t>
  </si>
  <si>
    <t xml:space="preserve">3087 3272 9300 3220 0716 </t>
  </si>
  <si>
    <t>FB2ZFVINZBMO</t>
  </si>
  <si>
    <t xml:space="preserve">5196 5081 3753 4917 8086 </t>
  </si>
  <si>
    <t>FB96K1ZYQCIA</t>
  </si>
  <si>
    <t xml:space="preserve">5199 6477 5122 0535 6179 </t>
  </si>
  <si>
    <t>FBJLAVJ7WRO4</t>
  </si>
  <si>
    <t xml:space="preserve">0954 6824 7967 2947 9770 </t>
  </si>
  <si>
    <t>FBHNEJHJZSPK</t>
  </si>
  <si>
    <t xml:space="preserve">5339 6290 9355 3640 1261 </t>
  </si>
  <si>
    <t>FBO5SYNZJVLQ</t>
  </si>
  <si>
    <t xml:space="preserve">6595 0682 9369 6931 6843 </t>
  </si>
  <si>
    <t>FB4UE12QFH8M</t>
  </si>
  <si>
    <t>FB5M9LBRQNC0</t>
  </si>
  <si>
    <t>FBZ8NIYZPIUS</t>
  </si>
  <si>
    <t xml:space="preserve">1285 8423 9977 2452 3629 </t>
  </si>
  <si>
    <t>FB0BK507X0S8</t>
  </si>
  <si>
    <t xml:space="preserve">7232 5208 4175 6334 2319 </t>
  </si>
  <si>
    <t>FBQ0CKS39ISE</t>
  </si>
  <si>
    <t xml:space="preserve">0336 0561 6500 2957 2702 </t>
  </si>
  <si>
    <t>FB4ST0BXXSO8</t>
  </si>
  <si>
    <t xml:space="preserve">1820 5109 0966 2580 4739 </t>
  </si>
  <si>
    <t>FBBOJP13HJ1Z</t>
  </si>
  <si>
    <t xml:space="preserve">2593 7278 3394 2817 1521 </t>
  </si>
  <si>
    <t>FBHE6T8O8O4W</t>
  </si>
  <si>
    <t xml:space="preserve">4376 9357 2642 5324 2978 </t>
  </si>
  <si>
    <t>FBS0UD5SR9FT</t>
  </si>
  <si>
    <t xml:space="preserve">7170 9947 5046 6851 2104 </t>
  </si>
  <si>
    <t>FB0HBJJ9MNIT</t>
  </si>
  <si>
    <t xml:space="preserve">0651 2530 8097 8587 0874 </t>
  </si>
  <si>
    <t>FBCCV4YZO149</t>
  </si>
  <si>
    <t xml:space="preserve">1699 3511 3783 2152 0832 </t>
  </si>
  <si>
    <t>FBZIETG0ZGB5</t>
  </si>
  <si>
    <t xml:space="preserve">3458 8675 7881 1812 0947 </t>
  </si>
  <si>
    <t>FB0AD5L4SAJ1</t>
  </si>
  <si>
    <t xml:space="preserve">7255 1947 3485 9780 2935 </t>
  </si>
  <si>
    <t>FBMEXNHOY1SB</t>
  </si>
  <si>
    <t xml:space="preserve">4748 2548 5340 6416 5358 </t>
  </si>
  <si>
    <t>FBYSZGWVDHMD</t>
  </si>
  <si>
    <t xml:space="preserve">3414 2152 0290 0403 9380 </t>
  </si>
  <si>
    <t>FB3A3YSXGERK</t>
  </si>
  <si>
    <t xml:space="preserve">5476 5772 7330 4696 6862 </t>
  </si>
  <si>
    <t>FBXDG158NALH</t>
  </si>
  <si>
    <t xml:space="preserve">1644 4225 8757 0841 1568 </t>
  </si>
  <si>
    <t>FBRSCDCRE0Y2</t>
  </si>
  <si>
    <t>FBX3F5VQMKMX</t>
  </si>
  <si>
    <t>FBRCYSLZJ8CJ</t>
  </si>
  <si>
    <t xml:space="preserve">0182 9471 2132 9340 4191 </t>
  </si>
  <si>
    <t>FBW8PGI9UEMB</t>
  </si>
  <si>
    <t xml:space="preserve">5775 7199 6198 1454 6245 </t>
  </si>
  <si>
    <t>FBT9YEH2225M</t>
  </si>
  <si>
    <t xml:space="preserve">3878 6126 2398 0413 0746 </t>
  </si>
  <si>
    <t>FBOTEONCR45D</t>
  </si>
  <si>
    <t xml:space="preserve">7069 5853 8879 9245 0363 </t>
  </si>
  <si>
    <t>FBM0KHDKIWCN</t>
  </si>
  <si>
    <t xml:space="preserve">2377 6638 2719 0594 9866 </t>
  </si>
  <si>
    <t>FBIETRL8ANO1</t>
  </si>
  <si>
    <t>FBE37RT5S25O</t>
  </si>
  <si>
    <t>FBNQIOQ9QP9S</t>
  </si>
  <si>
    <t>FB5BCVT9XXW4</t>
  </si>
  <si>
    <t xml:space="preserve">4453 9709 0360 6491 3265 </t>
  </si>
  <si>
    <t>FBL4SIVPQWQC</t>
  </si>
  <si>
    <t xml:space="preserve">1422 1431 2812 3851 6769 </t>
  </si>
  <si>
    <t>FB9DT5AIXWFK</t>
  </si>
  <si>
    <t xml:space="preserve">5417 0325 8147 8094 2270 </t>
  </si>
  <si>
    <t>FBVZQMDX5UPP</t>
  </si>
  <si>
    <t xml:space="preserve">5577 2480 1645 6165 5140 </t>
  </si>
  <si>
    <t>FBCQW66XXOCX</t>
  </si>
  <si>
    <t xml:space="preserve">0643 9903 0239 2892 8431 </t>
  </si>
  <si>
    <t>FBIUZ0QZQS8Z</t>
  </si>
  <si>
    <t>FB4LLM6IN50W</t>
  </si>
  <si>
    <t>FBVQ6KW7UN7R</t>
  </si>
  <si>
    <t xml:space="preserve">4292 7956 6804 3486 2886 </t>
  </si>
  <si>
    <t>FBRHSIJ8P0XY</t>
  </si>
  <si>
    <t>FBHMTSH4ED57</t>
  </si>
  <si>
    <t xml:space="preserve">4448 9326 8690 4476 6444 </t>
  </si>
  <si>
    <t>FBTESEBCGNPJ</t>
  </si>
  <si>
    <t>FB52CLMO075Q</t>
  </si>
  <si>
    <t>FB7A303OZ7FZ</t>
  </si>
  <si>
    <t>FBWHEE3PU981</t>
  </si>
  <si>
    <t>FBM7AEDLM7HK</t>
  </si>
  <si>
    <t xml:space="preserve">5646 3382 3670 7184 6173 </t>
  </si>
  <si>
    <t>FBDE1JY4JIRE</t>
  </si>
  <si>
    <t xml:space="preserve">0812 3175 3559 6425 0212 </t>
  </si>
  <si>
    <t>FBO0H578S01Y</t>
  </si>
  <si>
    <t xml:space="preserve">6874 9756 1111 2628 1767 </t>
  </si>
  <si>
    <t>FBHXY8E64ELJ</t>
  </si>
  <si>
    <t xml:space="preserve">2347 7389 3579 6040 1937 </t>
  </si>
  <si>
    <t>FBUMD2OWD0AX</t>
  </si>
  <si>
    <t>FBVRFV4UT1XZ</t>
  </si>
  <si>
    <t xml:space="preserve">2837 8371 9787 2446 3572 </t>
  </si>
  <si>
    <t>FBS762YJHB92</t>
  </si>
  <si>
    <t>FB5F4YTQF28S</t>
  </si>
  <si>
    <t>FBSF1KFREK6C</t>
  </si>
  <si>
    <t xml:space="preserve">5694 9513 6939 6945 8231 </t>
  </si>
  <si>
    <t>FB5AJBOUMEXY</t>
  </si>
  <si>
    <t xml:space="preserve">3657 5588 0990 7773 9128 </t>
  </si>
  <si>
    <t>FBTJURBASI3K</t>
  </si>
  <si>
    <t xml:space="preserve">3834 3550 7463 7363 7415 </t>
  </si>
  <si>
    <t>FB588GH1BNHX</t>
  </si>
  <si>
    <t xml:space="preserve">0371 6748 5218 3497 6986 </t>
  </si>
  <si>
    <t>FBEPQXHWWHRV</t>
  </si>
  <si>
    <t xml:space="preserve">5949 9743 1313 1134 6340 </t>
  </si>
  <si>
    <t>FBX7QZ97YW5N</t>
  </si>
  <si>
    <t>FBURSRGX8Q4X</t>
  </si>
  <si>
    <t xml:space="preserve">4410 2521 6435 3533 3861 </t>
  </si>
  <si>
    <t>FBA8K41BY8PL</t>
  </si>
  <si>
    <t>FB7V0WM6VCA8</t>
  </si>
  <si>
    <t xml:space="preserve">0911 1672 2678 3836 3423 </t>
  </si>
  <si>
    <t>FB6ETSFWP2AU</t>
  </si>
  <si>
    <t xml:space="preserve">1109 6396 6553 7808 4574 </t>
  </si>
  <si>
    <t>FBDU9VGX241K</t>
  </si>
  <si>
    <t xml:space="preserve">0419 3603 7540 1681 7345 </t>
  </si>
  <si>
    <t>FBG4MWEXADFN</t>
  </si>
  <si>
    <t xml:space="preserve">0084 6567 4306 5080 1735 </t>
  </si>
  <si>
    <t>FBSN4VE4H39H</t>
  </si>
  <si>
    <t>FBYXQYOL91YD</t>
  </si>
  <si>
    <t xml:space="preserve">1342 4077 6486 5367 8413 </t>
  </si>
  <si>
    <t>FBTZW5W6QOSG</t>
  </si>
  <si>
    <t xml:space="preserve">0469 7848 0575 4425 3881 </t>
  </si>
  <si>
    <t>FBJOV7170FY4</t>
  </si>
  <si>
    <t xml:space="preserve">0952 2967 1478 0459 4775 </t>
  </si>
  <si>
    <t>FB9HVR7MHQRD</t>
  </si>
  <si>
    <t xml:space="preserve">6804 2895 6322 8916 8625 </t>
  </si>
  <si>
    <t>FB9VLFFLSFRY</t>
  </si>
  <si>
    <t xml:space="preserve">5369 8044 3389 0655 9327 </t>
  </si>
  <si>
    <t>FBNER5BBI78Q</t>
  </si>
  <si>
    <t xml:space="preserve">5492 8796 5415 4321 2214 </t>
  </si>
  <si>
    <t>FB1V1X8433OF</t>
  </si>
  <si>
    <t xml:space="preserve">6156 5195 8111 0565 8648 </t>
  </si>
  <si>
    <t>FB337ACQJHB2</t>
  </si>
  <si>
    <t xml:space="preserve">7180 5085 3182 0277 7981 </t>
  </si>
  <si>
    <t>FB8AK0E96SU8</t>
  </si>
  <si>
    <t xml:space="preserve">2190 2709 4737 0282 5243 </t>
  </si>
  <si>
    <t>FB6ZB3G8TGZR</t>
  </si>
  <si>
    <t>FB43BB38TU47</t>
  </si>
  <si>
    <t xml:space="preserve">2799 4969 5198 7972 7952 </t>
  </si>
  <si>
    <t>FB6OJ7XIRGW9</t>
  </si>
  <si>
    <t>FBI2JJ0HCI3O</t>
  </si>
  <si>
    <t>FBEJOEQGC1DE</t>
  </si>
  <si>
    <t>FBYZ912XK77R</t>
  </si>
  <si>
    <t>FB1308O6A2XM</t>
  </si>
  <si>
    <t xml:space="preserve">7305 9780 6052 2279 6368 </t>
  </si>
  <si>
    <t>FBE6JP8GIPM3</t>
  </si>
  <si>
    <t xml:space="preserve">3068 6563 8227 5928 0862 </t>
  </si>
  <si>
    <t>FBEJZNM1SKLT</t>
  </si>
  <si>
    <t xml:space="preserve">0034 9594 4959 2515 2336 </t>
  </si>
  <si>
    <t>FB3QW638HYG1</t>
  </si>
  <si>
    <t>FB0RTX60IXBX</t>
  </si>
  <si>
    <t>FBHT20EHB4H6</t>
  </si>
  <si>
    <t>FB1QUKZJEB98</t>
  </si>
  <si>
    <t xml:space="preserve">3526 9927 4664 2030 5627 </t>
  </si>
  <si>
    <t>FBJ4DDISRHYC</t>
  </si>
  <si>
    <t xml:space="preserve">3822 0525 9297 6342 0056 </t>
  </si>
  <si>
    <t>FBO6H19ZP0LK</t>
  </si>
  <si>
    <t>FBGPF8KEHF2M</t>
  </si>
  <si>
    <t xml:space="preserve">5981 7617 3889 5751 9629 </t>
  </si>
  <si>
    <t>FB20FQAKV9UI</t>
  </si>
  <si>
    <t xml:space="preserve">6747 8832 0668 6589 1351 </t>
  </si>
  <si>
    <t>FBXBWICH8LAQ</t>
  </si>
  <si>
    <t>FBVPK7RDLOEI</t>
  </si>
  <si>
    <t xml:space="preserve">5195 4150 5235 4172 8609 </t>
  </si>
  <si>
    <t>FBXUB8UT7Z61</t>
  </si>
  <si>
    <t xml:space="preserve">6141 2937 5192 2139 6399 </t>
  </si>
  <si>
    <t>FB0Y6MK1WKSR</t>
  </si>
  <si>
    <t xml:space="preserve">4268 7420 5910 3421 3243 </t>
  </si>
  <si>
    <t>FBCESN2HIEL9</t>
  </si>
  <si>
    <t xml:space="preserve">3449 6691 9977 3426 0213 </t>
  </si>
  <si>
    <t>FB9CEQ2CL52M</t>
  </si>
  <si>
    <t>FB83EPZM5BGF</t>
  </si>
  <si>
    <t xml:space="preserve">1502 5537 3637 7452 5280 </t>
  </si>
  <si>
    <t>FB0DAH5B58LU</t>
  </si>
  <si>
    <t>FBZWBY2OZT9F</t>
  </si>
  <si>
    <t xml:space="preserve">1171 5286 4173 3400 5280 </t>
  </si>
  <si>
    <t>FBW7CPUUH2I1</t>
  </si>
  <si>
    <t>FBJP8CYMRKX3</t>
  </si>
  <si>
    <t xml:space="preserve">1805 4045 6763 6696 1614 </t>
  </si>
  <si>
    <t>FBFCDK7M98DQ</t>
  </si>
  <si>
    <t xml:space="preserve">3446 6037 9260 8339 9302 </t>
  </si>
  <si>
    <t>FBSQ2CO2IRP2</t>
  </si>
  <si>
    <t xml:space="preserve">1481 9068 3005 1342 8693 </t>
  </si>
  <si>
    <t>FBIUG35BP7HT</t>
  </si>
  <si>
    <t xml:space="preserve">1955 4821 7035 2914 4034 </t>
  </si>
  <si>
    <t>FBNCBJF57W9S</t>
  </si>
  <si>
    <t>5765 5477 1290 4259 1775</t>
  </si>
  <si>
    <t>FB4C7HC7XC56</t>
  </si>
  <si>
    <t>FBX3IRC19APV</t>
  </si>
  <si>
    <t xml:space="preserve">4171 2599 1916 0300 1098 </t>
  </si>
  <si>
    <t>Michelle Wilson</t>
  </si>
  <si>
    <t>Thomas Sanchez</t>
  </si>
  <si>
    <t>Karen Allen</t>
  </si>
  <si>
    <t>Sarah Wilson</t>
  </si>
  <si>
    <t>Security Utilities Common Area</t>
  </si>
  <si>
    <t>Massionette Area Construction</t>
  </si>
  <si>
    <t>Terrace Area Construction</t>
  </si>
  <si>
    <t>Joshua Harris</t>
  </si>
  <si>
    <t>Nancy Sanchez</t>
  </si>
  <si>
    <t>Donald Jones</t>
  </si>
  <si>
    <t>Richard Garcia</t>
  </si>
  <si>
    <t>Jennifer Robinson</t>
  </si>
  <si>
    <t>Karen Rodriguez</t>
  </si>
  <si>
    <t>Daniel Torres</t>
  </si>
  <si>
    <t>Betty Lopez</t>
  </si>
  <si>
    <t>Andrew Allen</t>
  </si>
  <si>
    <t>Paul Garcia</t>
  </si>
  <si>
    <t>Mary Hernandez</t>
  </si>
  <si>
    <t>Dorothy Thomas</t>
  </si>
  <si>
    <t>Donna Torres</t>
  </si>
  <si>
    <t>Lisa Clark</t>
  </si>
  <si>
    <t>Anthony Robinson</t>
  </si>
  <si>
    <t>Elizabeth Martin</t>
  </si>
  <si>
    <t>Susan Nguyen</t>
  </si>
  <si>
    <t>Emily Thomas</t>
  </si>
  <si>
    <t>Daniel Ramirez</t>
  </si>
  <si>
    <t>Robert Robinson</t>
  </si>
  <si>
    <t>Richard Allen</t>
  </si>
  <si>
    <t>Paul Perez</t>
  </si>
  <si>
    <t>Mark Rodriguez</t>
  </si>
  <si>
    <t>Paul Torres</t>
  </si>
  <si>
    <t>Patricia Williams</t>
  </si>
  <si>
    <t>Jennifer Lewis</t>
  </si>
  <si>
    <t>Robert Walker</t>
  </si>
  <si>
    <t>Barbara Ramirez</t>
  </si>
  <si>
    <t>Anthony Lopez</t>
  </si>
  <si>
    <t>James Clark</t>
  </si>
  <si>
    <t>Barbara Martinez</t>
  </si>
  <si>
    <t>Thomas &amp; Jane Jackson</t>
  </si>
  <si>
    <t>Michael Wright</t>
  </si>
  <si>
    <t>Full Name</t>
  </si>
  <si>
    <t>Access Fee</t>
  </si>
  <si>
    <t>Electricity Recharge</t>
  </si>
  <si>
    <t>Fixed Charge</t>
  </si>
  <si>
    <t>Water Bill</t>
  </si>
  <si>
    <t>Sinking Fund + Penalty</t>
  </si>
  <si>
    <t>Parking Infraction</t>
  </si>
  <si>
    <t>Sinking Fund</t>
  </si>
  <si>
    <t>Sinking Fund Penalty</t>
  </si>
  <si>
    <t>Water Bill Late Payment Charge</t>
  </si>
  <si>
    <t>Insurance Premium</t>
  </si>
  <si>
    <t>Insurance Premium Late Payment Charge</t>
  </si>
  <si>
    <t>2024-01-31 15:48:12.362234+00:00</t>
  </si>
  <si>
    <t>Water bill August -December 2023 late payment penalty</t>
  </si>
  <si>
    <t>2024-01-20 10:38:50.096132+00:00</t>
  </si>
  <si>
    <t>Water bill August -December 2023  Late payment penalty</t>
  </si>
  <si>
    <t>Dr. Ibikunle Koya</t>
  </si>
  <si>
    <t>Water bill August -December 2023</t>
  </si>
  <si>
    <t>Water bill August - December 2023</t>
  </si>
  <si>
    <t>2024-09-02 21:32:10.339090+00:00</t>
  </si>
  <si>
    <t>Supplementary Service charge Year 2023/2024 (Prorated)</t>
  </si>
  <si>
    <t>2024-08-29 23:25:05.925686+00:00</t>
  </si>
  <si>
    <t>Supplementary Service charge Year 2023/2024</t>
  </si>
  <si>
    <t>2024-08-30 07:13:04.836528+00:00</t>
  </si>
  <si>
    <t>2024-08-30 07:23:36.245542+00:00</t>
  </si>
  <si>
    <t>2024-08-30 07:53:33.414790+00:00</t>
  </si>
  <si>
    <t>2024-08-30 07:54:17.815566+00:00</t>
  </si>
  <si>
    <t>2024-08-31 06:38:06.560353+00:00</t>
  </si>
  <si>
    <t>2024-08-31 16:48:18.077709+00:00</t>
  </si>
  <si>
    <t>2024-08-31 17:31:30.547127+00:00</t>
  </si>
  <si>
    <t>2024-09-02 22:52:25.128978+00:00</t>
  </si>
  <si>
    <t>2024-09-03 19:15:30.575034+00:00</t>
  </si>
  <si>
    <t>2024-09-05 05:10:07.393095+00:00</t>
  </si>
  <si>
    <t>2024-09-05 14:25:38.219248+00:00</t>
  </si>
  <si>
    <t>2024-09-05 18:08:39.106166+00:00</t>
  </si>
  <si>
    <t>2024-09-07 07:08:32.294276+00:00</t>
  </si>
  <si>
    <t>2024-09-11 19:12:40.399415+00:00</t>
  </si>
  <si>
    <t>2024-09-14 11:24:15.088425+00:00</t>
  </si>
  <si>
    <t>House 5, 5th Avenue Gwarimpa Estate. Abuja FCT, Tel: 08145774497</t>
  </si>
  <si>
    <t>Cranleigh Investment Limited</t>
  </si>
  <si>
    <t>2024-09-19 14:46:17.370051+00:00</t>
  </si>
  <si>
    <t>2024-09-20 06:36:05.592757+00:00</t>
  </si>
  <si>
    <t>2024-09-23 08:08:30.635029+00:00</t>
  </si>
  <si>
    <t>2024-10-02 13:57:37.756609+00:00</t>
  </si>
  <si>
    <t>2024-10-05 19:35:00.320388+00:00</t>
  </si>
  <si>
    <t>2024-10-20 09:14:12.104497+00:00</t>
  </si>
  <si>
    <t>2024-10-22 18:14:21.084021+00:00</t>
  </si>
  <si>
    <t>2024-10-24 17:02:04.578570+00:00</t>
  </si>
  <si>
    <t>2024-10-24 22:17:21.952287+00:00</t>
  </si>
  <si>
    <t>2024-02-26 12:07:56.710346+00:00</t>
  </si>
  <si>
    <t>Supplementary Service charge Year 2022/0023</t>
  </si>
  <si>
    <t>2024-12-23 11:51:19.183782+00:00</t>
  </si>
  <si>
    <t>Sinking Fund Year 2024</t>
  </si>
  <si>
    <t>2024-02-01 05:27:19.997982+00:00</t>
  </si>
  <si>
    <t>sinking fund Year 2023 -Late payment penalty</t>
  </si>
  <si>
    <t>2024-02-01 13:05:02.753833+00:00</t>
  </si>
  <si>
    <t>Sinking fund Year 2023 late payment penalty</t>
  </si>
  <si>
    <t>2024-03-08 08:47:38.948316+00:00</t>
  </si>
  <si>
    <t>Sinking Fund Year 2021</t>
  </si>
  <si>
    <t>2024-03-26 14:40:12.148999+00:00</t>
  </si>
  <si>
    <t>Service charge Year 2022/2023</t>
  </si>
  <si>
    <t>Mrs. Omowunmi Adenuga</t>
  </si>
  <si>
    <t>2024-08-30 10:22:04.832069+00:00</t>
  </si>
  <si>
    <t>Service charge residual O/s</t>
  </si>
  <si>
    <t>2024-06-03 16:26:18.830107+00:00</t>
  </si>
  <si>
    <t>Service charge past due</t>
  </si>
  <si>
    <t>2024-06-13 13:39:45.946951+00:00</t>
  </si>
  <si>
    <t>2024-05-07 14:03:23.140021+00:00</t>
  </si>
  <si>
    <t>service charge part Quarter 3</t>
  </si>
  <si>
    <t>2024-07-30 12:13:22.290901+00:00</t>
  </si>
  <si>
    <t>Service Charge Outstanding June &amp; July 2024</t>
  </si>
  <si>
    <t>2024-02-12 13:44:25.918974+00:00</t>
  </si>
  <si>
    <t>Service Charge Outstanding</t>
  </si>
  <si>
    <t>2024-02-27 18:31:13.029341+00:00</t>
  </si>
  <si>
    <t>2024-07-15 07:39:20.595313+00:00</t>
  </si>
  <si>
    <t>2024-07-30 00:28:31.262986+00:00</t>
  </si>
  <si>
    <t>Service Charge outstanding</t>
  </si>
  <si>
    <t>2024-05-27 14:07:42.404416+00:00</t>
  </si>
  <si>
    <t>Service charge O/S</t>
  </si>
  <si>
    <t>2024-06-26 14:43:38.325229+00:00</t>
  </si>
  <si>
    <t>Service Charge O/S</t>
  </si>
  <si>
    <t>2024-07-29 08:22:59.291911+00:00</t>
  </si>
  <si>
    <t>Service charge o/s</t>
  </si>
  <si>
    <t>2024-08-27 05:41:18.776258+00:00</t>
  </si>
  <si>
    <t>2024-02-21 10:34:01.545320+00:00</t>
  </si>
  <si>
    <t>Service Charge Late payment penalty</t>
  </si>
  <si>
    <t>2024-02-22 13:43:40.799988+00:00</t>
  </si>
  <si>
    <t>Service Charge late payment penalty</t>
  </si>
  <si>
    <t>2024-08-02 07:55:57.085405+00:00</t>
  </si>
  <si>
    <t>Service Charge July 2024</t>
  </si>
  <si>
    <t>2024-08-02 13:01:40.097463+00:00</t>
  </si>
  <si>
    <t>Service charge July 2024</t>
  </si>
  <si>
    <t>2024-08-28 22:43:36.669264+00:00</t>
  </si>
  <si>
    <t>2024-02-20 15:28:56.487851+00:00</t>
  </si>
  <si>
    <t>Service Charge Jan 2024</t>
  </si>
  <si>
    <t>2024-09-30 11:59:39.696846+00:00</t>
  </si>
  <si>
    <t>Service Charge Half Year 2024/2025 Bal. payment</t>
  </si>
  <si>
    <t>2024-02-20 18:55:59.263585+00:00</t>
  </si>
  <si>
    <t>Service Charge Feb 2024 balance</t>
  </si>
  <si>
    <t>2024-01-11 14:25:59.443921+00:00</t>
  </si>
  <si>
    <t>Service Charge Debt</t>
  </si>
  <si>
    <t>2024-05-21 20:33:47.205647+00:00</t>
  </si>
  <si>
    <t>Service charge April 2024</t>
  </si>
  <si>
    <t>2024-05-31 15:38:31.988125+00:00</t>
  </si>
  <si>
    <t>Service Charge 4th Quarter 2023/2024</t>
  </si>
  <si>
    <t>2024-05-22 14:17:26.809145+00:00</t>
  </si>
  <si>
    <t>Service charge 3rd qtr 2023/2024 balance</t>
  </si>
  <si>
    <t>2024-02-26 11:12:38.600044+00:00</t>
  </si>
  <si>
    <t>Service charge (Third quarter Year 2023/2024)</t>
  </si>
  <si>
    <t>2024-04-25 12:58:24.657695+00:00</t>
  </si>
  <si>
    <t>Service charge</t>
  </si>
  <si>
    <t>2024-08-27 12:08:05.687472+00:00</t>
  </si>
  <si>
    <t>2024-06-26 12:12:57.537528+00:00</t>
  </si>
  <si>
    <t>Penalty - Infraction Article no. 16 of Alcove Homes Hand Book</t>
  </si>
  <si>
    <t>mikeitegboje@gmail.com</t>
  </si>
  <si>
    <t>Mr. Michael &amp; Mrs. Ajibike Itegboje</t>
  </si>
  <si>
    <t>2024-06-27 08:55:31.634961+00:00</t>
  </si>
  <si>
    <t>2024-06-27 14:36:17.762457+00:00</t>
  </si>
  <si>
    <t>2024-06-28 11:35:48.537208+00:00</t>
  </si>
  <si>
    <t>2024-10-11 14:49:13.310801+00:00</t>
  </si>
  <si>
    <t>2024-01-19 11:46:15.630828+00:00</t>
  </si>
  <si>
    <t>Parking penalty -Undesignated area, forceful removal of car clamps</t>
  </si>
  <si>
    <t>2024-06-26 10:33:34.048121+00:00</t>
  </si>
  <si>
    <t>Outstanding Service Charge Bill</t>
  </si>
  <si>
    <t>2024-06-05 18:47:04.535652+00:00</t>
  </si>
  <si>
    <t>2024-10-01 07:09:35.451852+00:00</t>
  </si>
  <si>
    <t>Monthly Water Bill | Outstanding (Sep 2024)</t>
  </si>
  <si>
    <t>2024-10-01 08:44:25.746932+00:00</t>
  </si>
  <si>
    <t>2024-10-02 13:32:41.080712+00:00</t>
  </si>
  <si>
    <t>2024-10-04 13:30:44.442999+00:00</t>
  </si>
  <si>
    <t>2024-10-09 11:59:27.682634+00:00</t>
  </si>
  <si>
    <t>2024-10-14 20:59:22.785410+00:00</t>
  </si>
  <si>
    <t>2024-10-24 10:18:39.638610+00:00</t>
  </si>
  <si>
    <t>2024-10-31 15:03:22.409878+00:00</t>
  </si>
  <si>
    <t>2024-11-01 08:24:35.506132+00:00</t>
  </si>
  <si>
    <t>Monthly Water Bill | Outstanding (Oct 2024)</t>
  </si>
  <si>
    <t>2024-11-01 21:47:21.188282+00:00</t>
  </si>
  <si>
    <t>2024-12-02 08:24:57.574415+00:00</t>
  </si>
  <si>
    <t>Monthly Water Bill | Outstanding (Nov 2024)</t>
  </si>
  <si>
    <t>2024-06-01 07:00:35.567412+00:00</t>
  </si>
  <si>
    <t>Monthly Water Bill | Outstanding (May 2024)</t>
  </si>
  <si>
    <t>2024-06-01 13:08:16.779541+00:00</t>
  </si>
  <si>
    <t>2024-06-05 10:16:05.372304+00:00</t>
  </si>
  <si>
    <t>2024-06-05 10:29:39.782239+00:00</t>
  </si>
  <si>
    <t>2024-04-02 06:10:59.900143+00:00</t>
  </si>
  <si>
    <t>Monthly Water Bill | Outstanding (Mar 2024)</t>
  </si>
  <si>
    <t>2024-07-05 18:20:37.579516+00:00</t>
  </si>
  <si>
    <t>Monthly Water Bill | Outstanding (Jun 2024)</t>
  </si>
  <si>
    <t>2024-08-04 16:34:05.826233+00:00</t>
  </si>
  <si>
    <t>Monthly Water Bill | Outstanding (Jul 2024)</t>
  </si>
  <si>
    <t>2024-02-01 08:39:38.917892+00:00</t>
  </si>
  <si>
    <t>Monthly Water Bill | Outstanding (Jan 2024)</t>
  </si>
  <si>
    <t>Monthly Water Bill | Outstanding (Aug 2024)</t>
  </si>
  <si>
    <t>2024-01-16 09:10:51.479427+00:00</t>
  </si>
  <si>
    <t>Monthly Water Bill</t>
  </si>
  <si>
    <t>Area</t>
  </si>
  <si>
    <t>2024-01-16 17:12:15.909679+00:00</t>
  </si>
  <si>
    <t>2024-01-17 12:59:02.748133+00:00</t>
  </si>
  <si>
    <t>2024-01-18 12:56:09.703008+00:00</t>
  </si>
  <si>
    <t>2024-01-20 12:02:53.374754+00:00</t>
  </si>
  <si>
    <t>2024-01-20 23:26:46.893096+00:00</t>
  </si>
  <si>
    <t>2024-01-22 10:27:06.826098+00:00</t>
  </si>
  <si>
    <t>2024-01-22 11:11:46.012950+00:00</t>
  </si>
  <si>
    <t>2024-01-22 12:00:18.655784+00:00</t>
  </si>
  <si>
    <t>2024-01-22 12:40:05.538897+00:00</t>
  </si>
  <si>
    <t>2024-01-22 17:25:06.625588+00:00</t>
  </si>
  <si>
    <t>2024-01-22 23:33:43.303811+00:00</t>
  </si>
  <si>
    <t>2024-01-23 07:45:17.136364+00:00</t>
  </si>
  <si>
    <t>2024-01-24 20:31:38.477307+00:00</t>
  </si>
  <si>
    <t>2024-01-25 08:50:56+00:00</t>
  </si>
  <si>
    <t>2024-01-26 18:45:00+00:00</t>
  </si>
  <si>
    <t>2024-01-27 08:57:14+00:00</t>
  </si>
  <si>
    <t>2024-01-29 14:39:33.516990+00:00</t>
  </si>
  <si>
    <t>2024-01-29 15:34:33.784479+00:00</t>
  </si>
  <si>
    <t>2024-01-31 17:47:39.087445+00:00</t>
  </si>
  <si>
    <t>2024-02-01 11:29:55.940204+00:00</t>
  </si>
  <si>
    <t>2024-02-02 06:59:03.030790+00:00</t>
  </si>
  <si>
    <t>2024-02-03 15:44:19.579043+00:00</t>
  </si>
  <si>
    <t>2024-02-04 21:33:32.944948+00:00</t>
  </si>
  <si>
    <t>2024-02-05 09:34:16.699687+00:00</t>
  </si>
  <si>
    <t>2024-02-09 13:28:27+00:00</t>
  </si>
  <si>
    <t>2024-02-10 22:40:21.980628+00:00</t>
  </si>
  <si>
    <t>2024-02-11 15:31:17.654691+00:00</t>
  </si>
  <si>
    <t>2024-02-12 13:20:07.902537+00:00</t>
  </si>
  <si>
    <t>2024-02-13 07:29:17.034218+00:00</t>
  </si>
  <si>
    <t>2024-02-14 20:56:34.722604+00:00</t>
  </si>
  <si>
    <t>2024-02-19 11:27:47.019414+00:00</t>
  </si>
  <si>
    <t>2024-02-21 08:47:24.902874+00:00</t>
  </si>
  <si>
    <t>2024-02-22 01:31:18.576230+00:00</t>
  </si>
  <si>
    <t>Richard</t>
  </si>
  <si>
    <t>2024-02-22 09:10:24.773920+00:00</t>
  </si>
  <si>
    <t>2024-02-22 11:00:38.981575+00:00</t>
  </si>
  <si>
    <t>2024-02-22 14:47:33.136923+00:00</t>
  </si>
  <si>
    <t>2024-02-23 12:08:25.310416+00:00</t>
  </si>
  <si>
    <t>2024-02-23 12:48:41.958404+00:00</t>
  </si>
  <si>
    <t>2024-02-23 19:37:02.182524+00:00</t>
  </si>
  <si>
    <t>2024-02-24 11:00:57.374192+00:00</t>
  </si>
  <si>
    <t>2024-02-25 09:12:05.660966+00:00</t>
  </si>
  <si>
    <t>2024-02-25 10:38:26.467558+00:00</t>
  </si>
  <si>
    <t>2024-02-25 11:28:02.910421+00:00</t>
  </si>
  <si>
    <t>2024-02-27 18:34:57.478427+00:00</t>
  </si>
  <si>
    <t>2024-03-01 12:07:56.535028+00:00</t>
  </si>
  <si>
    <t>2024-03-04 13:21:28.679718+00:00</t>
  </si>
  <si>
    <t>2024-03-04 13:30:13.945725+00:00</t>
  </si>
  <si>
    <t>2024-03-04 15:57:36.364656+00:00</t>
  </si>
  <si>
    <t>2024-03-04 17:23:40.541848+00:00</t>
  </si>
  <si>
    <t>2024-03-05 07:03:01.090619+00:00</t>
  </si>
  <si>
    <t>2024-03-06 08:35:55.378550+00:00</t>
  </si>
  <si>
    <t>2024-03-07 09:44:39.559118+00:00</t>
  </si>
  <si>
    <t>2024-03-08 13:50:39.242414+00:00</t>
  </si>
  <si>
    <t>2024-03-08 21:19:57.832091+00:00</t>
  </si>
  <si>
    <t>2024-03-09 20:36:09.444264+00:00</t>
  </si>
  <si>
    <t>2024-03-10 08:31:30.984023+00:00</t>
  </si>
  <si>
    <t>2024-03-13 08:37:06.798390+00:00</t>
  </si>
  <si>
    <t>2024-03-18 12:02:24.146159+00:00</t>
  </si>
  <si>
    <t>2024-03-18 18:14:58.481066+00:00</t>
  </si>
  <si>
    <t>2024-03-21 19:39:43.067852+00:00</t>
  </si>
  <si>
    <t>2024-03-24 22:55:47.632237+00:00</t>
  </si>
  <si>
    <t>2024-03-25 01:51:31.058235+00:00</t>
  </si>
  <si>
    <t>2024-03-25 18:01:18.041058+00:00</t>
  </si>
  <si>
    <t>2024-03-28 15:19:10.706430+00:00</t>
  </si>
  <si>
    <t>2024-03-30 10:48:03.216427+00:00</t>
  </si>
  <si>
    <t>2024-04-02 19:27:49.894444+00:00</t>
  </si>
  <si>
    <t>2024-04-03 14:31:21.494461+00:00</t>
  </si>
  <si>
    <t>2024-04-03 15:14:12.062420+00:00</t>
  </si>
  <si>
    <t>2024-04-03 16:58:58.595260+00:00</t>
  </si>
  <si>
    <t>2024-04-04 06:34:02.483305+00:00</t>
  </si>
  <si>
    <t>2024-04-05 10:46:07.278570+00:00</t>
  </si>
  <si>
    <t>2024-04-06 22:48:35.635748+00:00</t>
  </si>
  <si>
    <t>2024-04-06 23:07:29.088647+00:00</t>
  </si>
  <si>
    <t>2024-04-07 22:09:42.997556+00:00</t>
  </si>
  <si>
    <t>2024-04-08 06:03:48.033131+00:00</t>
  </si>
  <si>
    <t>2024-04-08 13:24:25.754358+00:00</t>
  </si>
  <si>
    <t>2024-04-09 08:53:57.133670+00:00</t>
  </si>
  <si>
    <t>2024-04-09 09:56:02.266034+00:00</t>
  </si>
  <si>
    <t>2024-04-10 20:58:55.130881+00:00</t>
  </si>
  <si>
    <t>2024-04-11 11:29:42.996747+00:00</t>
  </si>
  <si>
    <t>2024-04-12 13:10:54.566459+00:00</t>
  </si>
  <si>
    <t>2024-04-12 14:39:35.376849+00:00</t>
  </si>
  <si>
    <t>2024-04-13 10:39:04.651026+00:00</t>
  </si>
  <si>
    <t>2024-04-13 11:05:41.449419+00:00</t>
  </si>
  <si>
    <t>2024-04-13 12:25:32.850257+00:00</t>
  </si>
  <si>
    <t>2024-04-13 23:58:06.194739+00:00</t>
  </si>
  <si>
    <t>2024-04-15 23:35:00.798928+00:00</t>
  </si>
  <si>
    <t>2024-04-23 21:21:14.582744+00:00</t>
  </si>
  <si>
    <t>2024-04-24 21:59:06.054009+00:00</t>
  </si>
  <si>
    <t>2024-05-01 06:56:12.298312+00:00</t>
  </si>
  <si>
    <t>2024-05-01 13:16:12.851041+00:00</t>
  </si>
  <si>
    <t>2024-05-01 19:38:16.316871+00:00</t>
  </si>
  <si>
    <t>2024-05-02 06:46:53.339588+00:00</t>
  </si>
  <si>
    <t>2024-05-03 06:45:46.654928+00:00</t>
  </si>
  <si>
    <t>2024-05-03 19:54:45.352120+00:00</t>
  </si>
  <si>
    <t>2024-05-03 20:47:26.870823+00:00</t>
  </si>
  <si>
    <t>2024-05-04 10:52:51.425081+00:00</t>
  </si>
  <si>
    <t>2024-05-06 16:15:42.557819+00:00</t>
  </si>
  <si>
    <t>2024-05-06 22:43:28.201468+00:00</t>
  </si>
  <si>
    <t>2024-05-07 15:52:31.768995+00:00</t>
  </si>
  <si>
    <t>2024-05-08 06:38:55.144417+00:00</t>
  </si>
  <si>
    <t>2024-05-08 10:54:06.390836+00:00</t>
  </si>
  <si>
    <t>2024-05-08 14:08:32.404662+00:00</t>
  </si>
  <si>
    <t>2024-05-13 06:37:57.766933+00:00</t>
  </si>
  <si>
    <t>2024-05-14 09:29:26.520825+00:00</t>
  </si>
  <si>
    <t>2024-05-16 17:57:29.415270+00:00</t>
  </si>
  <si>
    <t>2024-05-20 06:23:04.202407+00:00</t>
  </si>
  <si>
    <t>2024-05-20 08:03:45.289850+00:00</t>
  </si>
  <si>
    <t>2024-05-20 21:36:28.691309+00:00</t>
  </si>
  <si>
    <t>2024-05-22 12:51:09.981913+00:00</t>
  </si>
  <si>
    <t>2024-05-24 10:47:38.669870+00:00</t>
  </si>
  <si>
    <t>2024-05-25 22:59:53.133469+00:00</t>
  </si>
  <si>
    <t>2024-05-29 18:29:30.922212+00:00</t>
  </si>
  <si>
    <t>2024-06-01 05:33:25.884118+00:00</t>
  </si>
  <si>
    <t>2024-06-01 12:08:42.233680+00:00</t>
  </si>
  <si>
    <t>2024-06-01 13:03:42.722824+00:00</t>
  </si>
  <si>
    <t>2024-06-01 14:10:31.595280+00:00</t>
  </si>
  <si>
    <t>2024-06-02 13:02:03.203665+00:00</t>
  </si>
  <si>
    <t>2024-06-03 10:19:10.466888+00:00</t>
  </si>
  <si>
    <t>2024-06-05 14:50:43.140524+00:00</t>
  </si>
  <si>
    <t>2024-06-05 15:53:55.622959+00:00</t>
  </si>
  <si>
    <t>2024-06-05 16:59:49.804849+00:00</t>
  </si>
  <si>
    <t>2024-06-05 19:56:44.555980+00:00</t>
  </si>
  <si>
    <t>2024-06-05 21:04:03.220992+00:00</t>
  </si>
  <si>
    <t>2024-06-05 21:30:22.234483+00:00</t>
  </si>
  <si>
    <t>2024-06-06 11:12:25.717380+00:00</t>
  </si>
  <si>
    <t>2024-06-07 05:26:44.840446+00:00</t>
  </si>
  <si>
    <t>2024-06-07 11:21:34.739029+00:00</t>
  </si>
  <si>
    <t>2024-06-16 08:49:27.907066+00:00</t>
  </si>
  <si>
    <t>2024-06-20 06:26:51.798463+00:00</t>
  </si>
  <si>
    <t>2024-06-21 10:10:57.300400+00:00</t>
  </si>
  <si>
    <t>2024-06-21 21:40:44.508385+00:00</t>
  </si>
  <si>
    <t>2024-06-26 12:04:10.268202+00:00</t>
  </si>
  <si>
    <t>2024-07-01 04:54:14.737540+00:00</t>
  </si>
  <si>
    <t>2024-07-01 04:55:23.564584+00:00</t>
  </si>
  <si>
    <t>2024-07-01 05:58:51.045111+00:00</t>
  </si>
  <si>
    <t>2024-07-01 06:28:12.271234+00:00</t>
  </si>
  <si>
    <t>2024-07-01 08:26:01.678064+00:00</t>
  </si>
  <si>
    <t>2024-07-01 20:13:22.762500+00:00</t>
  </si>
  <si>
    <t>2024-07-03 19:41:52.610470+00:00</t>
  </si>
  <si>
    <t>2024-07-04 06:46:21.832321+00:00</t>
  </si>
  <si>
    <t>2024-07-04 07:24:03.747102+00:00</t>
  </si>
  <si>
    <t>2024-07-04 09:30:33.674303+00:00</t>
  </si>
  <si>
    <t>2024-07-04 19:07:57.505239+00:00</t>
  </si>
  <si>
    <t>2024-07-04 22:37:37.857073+00:00</t>
  </si>
  <si>
    <t>2024-07-05 08:49:12.674060+00:00</t>
  </si>
  <si>
    <t>2024-07-05 09:00:41.437118+00:00</t>
  </si>
  <si>
    <t>2024-07-05 22:10:24.116950+00:00</t>
  </si>
  <si>
    <t>2024-07-08 15:21:55.185196+00:00</t>
  </si>
  <si>
    <t>2024-07-14 09:45:59.018286+00:00</t>
  </si>
  <si>
    <t>2024-07-15 16:11:12.451867+00:00</t>
  </si>
  <si>
    <t>2024-07-17 08:16:09.780083+00:00</t>
  </si>
  <si>
    <t>2024-07-22 20:19:42.279929+00:00</t>
  </si>
  <si>
    <t>2024-07-26 20:39:23.223909+00:00</t>
  </si>
  <si>
    <t>2024-07-27 08:56:10.809993+00:00</t>
  </si>
  <si>
    <t>2024-08-01 09:50:07.598652+00:00</t>
  </si>
  <si>
    <t>2024-08-02 11:38:18.195024+00:00</t>
  </si>
  <si>
    <t>2024-08-02 16:11:17.865068+00:00</t>
  </si>
  <si>
    <t>2024-08-02 18:29:57.395821+00:00</t>
  </si>
  <si>
    <t>2024-08-02 21:17:11.600602+00:00</t>
  </si>
  <si>
    <t>2024-08-03 13:37:05.330103+00:00</t>
  </si>
  <si>
    <t>2024-08-03 15:05:30.263948+00:00</t>
  </si>
  <si>
    <t>2024-08-06 06:23:36.317104+00:00</t>
  </si>
  <si>
    <t>2024-08-07 02:31:52.626715+00:00</t>
  </si>
  <si>
    <t>2024-08-07 15:43:10.927489+00:00</t>
  </si>
  <si>
    <t>2024-08-09 09:56:14.674875+00:00</t>
  </si>
  <si>
    <t>2024-08-11 11:48:41.812729+00:00</t>
  </si>
  <si>
    <t>2024-08-11 12:12:18.570590+00:00</t>
  </si>
  <si>
    <t>2024-08-13 15:55:50.503330+00:00</t>
  </si>
  <si>
    <t>2024-08-14 10:26:56.437201+00:00</t>
  </si>
  <si>
    <t>2024-08-21 09:04:31.303160+00:00</t>
  </si>
  <si>
    <t>2024-08-22 08:46:51.810460+00:00</t>
  </si>
  <si>
    <t>2024-08-22 11:23:38.155523+00:00</t>
  </si>
  <si>
    <t>2024-08-24 07:48:47.515691+00:00</t>
  </si>
  <si>
    <t>2024-08-26 13:24:53.885034+00:00</t>
  </si>
  <si>
    <t>2024-08-26 19:20:56.951429+00:00</t>
  </si>
  <si>
    <t>2024-08-28 08:48:34.285005+00:00</t>
  </si>
  <si>
    <t>2024-08-28 22:50:46.653078+00:00</t>
  </si>
  <si>
    <t>2024-09-01 08:27:36.052441+00:00</t>
  </si>
  <si>
    <t>2024-09-01 13:09:56.618004+00:00</t>
  </si>
  <si>
    <t>2024-09-01 16:21:14.368418+00:00</t>
  </si>
  <si>
    <t>2024-09-01 16:37:55.940093+00:00</t>
  </si>
  <si>
    <t>2024-09-02 07:27:57.777202+00:00</t>
  </si>
  <si>
    <t>2024-09-03 06:08:28.964439+00:00</t>
  </si>
  <si>
    <t>2024-09-03 08:59:13.602423+00:00</t>
  </si>
  <si>
    <t>2024-09-06 08:50:10.548339+00:00</t>
  </si>
  <si>
    <t>2024-09-08 07:13:47.277869+00:00</t>
  </si>
  <si>
    <t>2024-09-09 17:19:42.573445+00:00</t>
  </si>
  <si>
    <t>2024-09-10 08:52:42.949677+00:00</t>
  </si>
  <si>
    <t>2024-09-11 15:37:37.762271+00:00</t>
  </si>
  <si>
    <t>2024-09-12 11:42:21.788007+00:00</t>
  </si>
  <si>
    <t>2024-09-12 22:01:27.312861+00:00</t>
  </si>
  <si>
    <t>2024-09-15 12:21:49.975906+00:00</t>
  </si>
  <si>
    <t>2024-09-19 12:44:29.234373+00:00</t>
  </si>
  <si>
    <t>2024-09-20 14:51:41.766456+00:00</t>
  </si>
  <si>
    <t>2024-09-22 05:23:53.559665+00:00</t>
  </si>
  <si>
    <t>2024-09-23 20:04:26.128275+00:00</t>
  </si>
  <si>
    <t>2024-09-24 20:48:44.974963+00:00</t>
  </si>
  <si>
    <t>2024-09-26 19:10:41.597570+00:00</t>
  </si>
  <si>
    <t>2024-09-27 07:56:52.193119+00:00</t>
  </si>
  <si>
    <t>2024-09-27 08:21:21.140994+00:00</t>
  </si>
  <si>
    <t>2024-09-27 21:51:15.504760+00:00</t>
  </si>
  <si>
    <t>2024-09-28 02:47:45.003234+00:00</t>
  </si>
  <si>
    <t>2024-09-28 04:55:43.332862+00:00</t>
  </si>
  <si>
    <t>2024-09-28 08:16:19.454051+00:00</t>
  </si>
  <si>
    <t>2024-09-28 11:29:46.033705+00:00</t>
  </si>
  <si>
    <t>2024-09-28 12:26:25.146657+00:00</t>
  </si>
  <si>
    <t>2024-09-28 23:19:03.440735+00:00</t>
  </si>
  <si>
    <t>2024-09-29 07:54:24.159309+00:00</t>
  </si>
  <si>
    <t>2024-09-29 18:33:42.244057+00:00</t>
  </si>
  <si>
    <t>2024-09-29 19:08:25.982684+00:00</t>
  </si>
  <si>
    <t>2024-10-01 05:26:22.842603+00:00</t>
  </si>
  <si>
    <t>2024-10-01 09:14:26.435563+00:00</t>
  </si>
  <si>
    <t>2024-10-02 05:02:27.899112+00:00</t>
  </si>
  <si>
    <t>2024-10-02 07:00:23.084519+00:00</t>
  </si>
  <si>
    <t>2024-10-02 17:25:24.362008+00:00</t>
  </si>
  <si>
    <t>2024-10-04 12:05:58.754654+00:00</t>
  </si>
  <si>
    <t>2024-10-05 09:37:10.603284+00:00</t>
  </si>
  <si>
    <t>2024-10-05 19:40:34.144088+00:00</t>
  </si>
  <si>
    <t>2024-10-06 08:06:25.648551+00:00</t>
  </si>
  <si>
    <t>2024-10-07 19:05:33.734427+00:00</t>
  </si>
  <si>
    <t>2024-10-08 07:51:25.721201+00:00</t>
  </si>
  <si>
    <t>2024-10-08 19:31:34.866999+00:00</t>
  </si>
  <si>
    <t>2024-10-10 08:43:07.602833+00:00</t>
  </si>
  <si>
    <t>2024-10-11 07:25:57.485350+00:00</t>
  </si>
  <si>
    <t>2024-10-11 16:09:51.725054+00:00</t>
  </si>
  <si>
    <t>2024-10-19 07:32:17.807181+00:00</t>
  </si>
  <si>
    <t>2024-10-19 19:32:23.142780+00:00</t>
  </si>
  <si>
    <t>2024-10-20 15:40:10.164362+00:00</t>
  </si>
  <si>
    <t>2024-10-21 20:39:36.838234+00:00</t>
  </si>
  <si>
    <t>2024-10-22 09:26:55.948393+00:00</t>
  </si>
  <si>
    <t>2024-10-24 06:50:48.969608+00:00</t>
  </si>
  <si>
    <t>2024-10-27 21:51:21.782657+00:00</t>
  </si>
  <si>
    <t>2024-10-28 05:42:53.775101+00:00</t>
  </si>
  <si>
    <t>2024-10-30 20:06:44.303312+00:00</t>
  </si>
  <si>
    <t>2024-11-01 06:11:41.403518+00:00</t>
  </si>
  <si>
    <t>2024-11-01 10:16:29.117452+00:00</t>
  </si>
  <si>
    <t>2024-11-02 16:44:55.066803+00:00</t>
  </si>
  <si>
    <t>2024-11-02 21:36:19.014925+00:00</t>
  </si>
  <si>
    <t>2024-11-03 11:14:28.390757+00:00</t>
  </si>
  <si>
    <t>2024-11-03 20:29:51.656634+00:00</t>
  </si>
  <si>
    <t>2024-11-04 08:54:15.150864+00:00</t>
  </si>
  <si>
    <t>2024-11-04 22:20:41.317095+00:00</t>
  </si>
  <si>
    <t>2024-11-05 08:48:20.608290+00:00</t>
  </si>
  <si>
    <t>2024-11-05 09:46:15.998957+00:00</t>
  </si>
  <si>
    <t>2024-11-05 22:38:31.878288+00:00</t>
  </si>
  <si>
    <t>2024-11-06 00:53:11.160820+00:00</t>
  </si>
  <si>
    <t>2024-11-06 11:58:11.956970+00:00</t>
  </si>
  <si>
    <t>2024-11-07 08:35:37.423338+00:00</t>
  </si>
  <si>
    <t>2024-11-08 09:20:05.027276+00:00</t>
  </si>
  <si>
    <t>2024-11-09 13:42:55.524374+00:00</t>
  </si>
  <si>
    <t>2024-11-09 22:31:21.220645+00:00</t>
  </si>
  <si>
    <t>2024-11-10 06:15:58.337001+00:00</t>
  </si>
  <si>
    <t>2024-11-10 09:14:29.531044+00:00</t>
  </si>
  <si>
    <t>2024-11-11 17:04:57.698876+00:00</t>
  </si>
  <si>
    <t>2024-11-12 09:20:00.237713+00:00</t>
  </si>
  <si>
    <t>2024-11-14 22:10:46.895814+00:00</t>
  </si>
  <si>
    <t>2024-11-23 13:41:58.458126+00:00</t>
  </si>
  <si>
    <t>2024-11-24 01:32:14.491153+00:00</t>
  </si>
  <si>
    <t>2024-11-24 10:31:55.282201+00:00</t>
  </si>
  <si>
    <t>2024-11-24 20:55:13.308199+00:00</t>
  </si>
  <si>
    <t>2024-11-28 10:30:07.094373+00:00</t>
  </si>
  <si>
    <t>2024-11-28 22:16:22.143114+00:00</t>
  </si>
  <si>
    <t>2024-12-01 14:44:45.057710+00:00</t>
  </si>
  <si>
    <t>2024-12-01 16:34:09.235008+00:00</t>
  </si>
  <si>
    <t>2024-12-01 16:37:10.840668+00:00</t>
  </si>
  <si>
    <t>2024-12-01 21:19:23.030391+00:00</t>
  </si>
  <si>
    <t>2024-12-02 11:36:17.255935+00:00</t>
  </si>
  <si>
    <t>2024-12-03 09:29:37.706710+00:00</t>
  </si>
  <si>
    <t>2024-12-03 13:38:42.527956+00:00</t>
  </si>
  <si>
    <t>2024-12-03 20:11:11.352296+00:00</t>
  </si>
  <si>
    <t>2024-12-05 04:54:03.934659+00:00</t>
  </si>
  <si>
    <t>2024-12-05 20:37:07.887146+00:00</t>
  </si>
  <si>
    <t>2024-12-05 20:52:25.928914+00:00</t>
  </si>
  <si>
    <t>2024-12-06 06:06:09.604448+00:00</t>
  </si>
  <si>
    <t>2024-12-06 06:19:52.056975+00:00</t>
  </si>
  <si>
    <t>2024-12-09 20:35:14.333552+00:00</t>
  </si>
  <si>
    <t>2024-12-10 07:50:57.841284+00:00</t>
  </si>
  <si>
    <t>2024-12-16 08:48:35.259071+00:00</t>
  </si>
  <si>
    <t>2024-12-17 04:51:32.525211+00:00</t>
  </si>
  <si>
    <t>2024-12-23 14:15:11.823960+00:00</t>
  </si>
  <si>
    <t>2024-12-26 23:25:08.515890+00:00</t>
  </si>
  <si>
    <t>2024-12-30 08:36:22.144252+00:00</t>
  </si>
  <si>
    <t>2024-12-30 11:33:12.030526+00:00</t>
  </si>
  <si>
    <t>2024-09-20 13:21:46.116547+00:00</t>
  </si>
  <si>
    <t>Monthly Service Charge September 2024 -Balance</t>
  </si>
  <si>
    <t>2024-09-20 14:29:41.592305+00:00</t>
  </si>
  <si>
    <t>Monthly Service Charge September 2024</t>
  </si>
  <si>
    <t>2024-10-01 04:52:45.551382+00:00</t>
  </si>
  <si>
    <t>Monthly Service Charge | Outstanding (Sep 2024)</t>
  </si>
  <si>
    <t>2024-12-23 13:39:03.413926+00:00</t>
  </si>
  <si>
    <t>Monthly Service Charge | Outstanding (Oct 2024)</t>
  </si>
  <si>
    <t>2024-12-03 21:20:28.713642+00:00</t>
  </si>
  <si>
    <t>Monthly Service Charge | Outstanding (Nov 2024)</t>
  </si>
  <si>
    <t>2024-12-20 07:22:50.665319+00:00</t>
  </si>
  <si>
    <t>Monthly Service Charge | Outstanding (May 2024)</t>
  </si>
  <si>
    <t>2024-05-02 14:23:08.563833+00:00</t>
  </si>
  <si>
    <t>Monthly Service Charge | Outstanding (Mar 2024)</t>
  </si>
  <si>
    <t>Monthly Service Charge | Outstanding (Jul 2024)</t>
  </si>
  <si>
    <t>Monthly Service Charge | Outstanding (Feb 2024)</t>
  </si>
  <si>
    <t>Monthly Service Charge | Outstanding (Apr 2024)</t>
  </si>
  <si>
    <t>2024-05-06 20:08:15.651953+00:00</t>
  </si>
  <si>
    <t>Monthly Service Charge</t>
  </si>
  <si>
    <t>2024-01-19 20:51:59.650364+00:00</t>
  </si>
  <si>
    <t>2024-01-31 06:04:04.671073+00:00</t>
  </si>
  <si>
    <t>2024-02-05 14:20:50.531028+00:00</t>
  </si>
  <si>
    <t>2024-02-29 09:39:22.322239+00:00</t>
  </si>
  <si>
    <t>2024-03-08 20:25:08.961286+00:00</t>
  </si>
  <si>
    <t>2024-03-09 22:53:04.266722+00:00</t>
  </si>
  <si>
    <t>2024-03-18 16:02:36.181329+00:00</t>
  </si>
  <si>
    <t>2024-04-22 09:43:01.026168+00:00</t>
  </si>
  <si>
    <t>2024-04-27 09:44:16.155048+00:00</t>
  </si>
  <si>
    <t>2024-05-08 15:29:17.114242+00:00</t>
  </si>
  <si>
    <t>2024-05-20 18:38:13.484445+00:00</t>
  </si>
  <si>
    <t>2024-05-21 15:38:11.696893+00:00</t>
  </si>
  <si>
    <t>2024-05-25 22:33:33.088977+00:00</t>
  </si>
  <si>
    <t>2024-05-31 15:44:06.982029+00:00</t>
  </si>
  <si>
    <t>2024-06-05 16:10:50.327369+00:00</t>
  </si>
  <si>
    <t>2024-06-05 18:57:33.374882+00:00</t>
  </si>
  <si>
    <t>2024-06-10 10:46:42.151180+00:00</t>
  </si>
  <si>
    <t>2024-06-17 06:21:46.666662+00:00</t>
  </si>
  <si>
    <t>2024-07-03 09:41:14.328360+00:00</t>
  </si>
  <si>
    <t>2024-07-04 19:21:58.116206+00:00</t>
  </si>
  <si>
    <t>2024-07-10 13:39:18.872315+00:00</t>
  </si>
  <si>
    <t>2024-07-10 16:38:25.591303+00:00</t>
  </si>
  <si>
    <t>2024-08-06 16:47:03.695513+00:00</t>
  </si>
  <si>
    <t>2024-08-08 08:34:07.195626+00:00</t>
  </si>
  <si>
    <t>2024-08-12 12:28:40.164040+00:00</t>
  </si>
  <si>
    <t>2024-08-13 22:43:26.454679+00:00</t>
  </si>
  <si>
    <t>2024-09-27 07:40:23.686868+00:00</t>
  </si>
  <si>
    <t>2024-09-28 09:47:46.905655+00:00</t>
  </si>
  <si>
    <t>2024-09-28 16:02:13.477187+00:00</t>
  </si>
  <si>
    <t>2024-10-01 14:33:38.754359+00:00</t>
  </si>
  <si>
    <t>2024-10-03 15:56:29.807098+00:00</t>
  </si>
  <si>
    <t>2024-10-04 09:23:52.072421+00:00</t>
  </si>
  <si>
    <t>2024-10-07 16:45:03.575530+00:00</t>
  </si>
  <si>
    <t>2024-10-08 04:13:43.552313+00:00</t>
  </si>
  <si>
    <t>2024-10-08 10:46:28.317270+00:00</t>
  </si>
  <si>
    <t>2024-10-14 08:57:53.275869+00:00</t>
  </si>
  <si>
    <t>2024-10-22 06:21:02.221979+00:00</t>
  </si>
  <si>
    <t>2024-10-27 12:51:06.563415+00:00</t>
  </si>
  <si>
    <t>2024-10-28 13:54:45.648556+00:00</t>
  </si>
  <si>
    <t>2024-10-31 15:05:54.165414+00:00</t>
  </si>
  <si>
    <t>2024-11-01 06:09:59.700996+00:00</t>
  </si>
  <si>
    <t>2024-11-04 09:33:15.784181+00:00</t>
  </si>
  <si>
    <t>2024-11-04 15:35:22.727888+00:00</t>
  </si>
  <si>
    <t>2024-11-06 07:58:01.685050+00:00</t>
  </si>
  <si>
    <t>2024-11-07 08:57:23.845391+00:00</t>
  </si>
  <si>
    <t>2024-11-19 16:14:18.418853+00:00</t>
  </si>
  <si>
    <t>2024-11-21 17:55:33.768446+00:00</t>
  </si>
  <si>
    <t>2024-11-29 08:31:40.986514+00:00</t>
  </si>
  <si>
    <t>2024-12-02 07:19:29.964556+00:00</t>
  </si>
  <si>
    <t>2024-12-02 09:01:46.575216+00:00</t>
  </si>
  <si>
    <t>2024-12-02 20:24:10.328001+00:00</t>
  </si>
  <si>
    <t>2024-12-03 18:01:57.559023+00:00</t>
  </si>
  <si>
    <t>2024-12-03 20:59:51.257411+00:00</t>
  </si>
  <si>
    <t>2024-12-07 12:19:23.826574+00:00</t>
  </si>
  <si>
    <t>2024-12-08 11:32:54.590812+00:00</t>
  </si>
  <si>
    <t>2024-12-13 15:21:51.267299+00:00</t>
  </si>
  <si>
    <t>2024-12-14 07:38:41.578887+00:00</t>
  </si>
  <si>
    <t>2024-12-14 09:25:56.318276+00:00</t>
  </si>
  <si>
    <t>2024-12-14 10:53:31.422127+00:00</t>
  </si>
  <si>
    <t>2024-12-16 19:10:07.334906+00:00</t>
  </si>
  <si>
    <t>2024-12-21 13:20:43.840446+00:00</t>
  </si>
  <si>
    <t>Monthly Fixed Charge | Outstanding (Sep 2024)</t>
  </si>
  <si>
    <t>2024-10-02 13:33:39.045159+00:00</t>
  </si>
  <si>
    <t>Monthly Fixed Charge</t>
  </si>
  <si>
    <t>2024-09-28 09:53:30.471565+00:00</t>
  </si>
  <si>
    <t>2024-09-28 15:59:36.382671+00:00</t>
  </si>
  <si>
    <t>2024-09-30 18:47:24.331146+00:00</t>
  </si>
  <si>
    <t>2024-10-01 09:14:45.111628+00:00</t>
  </si>
  <si>
    <t>2024-10-03 15:57:27.261268+00:00</t>
  </si>
  <si>
    <t>2024-10-08 11:13:52.131941+00:00</t>
  </si>
  <si>
    <t>2024-10-15 05:40:36.651179+00:00</t>
  </si>
  <si>
    <t>2024-10-26 12:47:07.497463+00:00</t>
  </si>
  <si>
    <t>2024-10-26 16:46:00.406346+00:00</t>
  </si>
  <si>
    <t>2024-10-26 18:47:56.704999+00:00</t>
  </si>
  <si>
    <t>2024-10-07 15:05:53.581322+00:00</t>
  </si>
  <si>
    <t>Monthly Access Fee | Outstanding (Sep 2024)</t>
  </si>
  <si>
    <t>2024-10-16 13:54:37.110314+00:00</t>
  </si>
  <si>
    <t>Construction</t>
  </si>
  <si>
    <t>Monthly Access Fee | Outstanding (Oct 2024)</t>
  </si>
  <si>
    <t>Monthly Access Fee | Outstanding (Nov 2024)</t>
  </si>
  <si>
    <t>Monthly Access Fee | Outstanding (May 2024)</t>
  </si>
  <si>
    <t>2024-04-01 07:57:19.226218+00:00</t>
  </si>
  <si>
    <t>Monthly Access Fee | Outstanding (Mar 2024)</t>
  </si>
  <si>
    <t>2024-04-03 15:13:54.928678+00:00</t>
  </si>
  <si>
    <t>2024-04-19 10:49:07.943550+00:00</t>
  </si>
  <si>
    <t>2024-07-19 14:55:04.210081+00:00</t>
  </si>
  <si>
    <t>Monthly Access Fee | Outstanding (Jun 2024)</t>
  </si>
  <si>
    <t>2024-07-19 14:57:14.717504+00:00</t>
  </si>
  <si>
    <t>Monthly Access Fee | Outstanding (Jul 2024)</t>
  </si>
  <si>
    <t>Monthly Access Fee | Outstanding (Jan 2024)</t>
  </si>
  <si>
    <t>2024-02-06 14:55:10.012530+00:00</t>
  </si>
  <si>
    <t>2024-03-05 15:38:04.619833+00:00</t>
  </si>
  <si>
    <t>Monthly Access Fee | Outstanding (Feb 2024)</t>
  </si>
  <si>
    <t>Monthly Access Fee | Outstanding (Aug 2024)</t>
  </si>
  <si>
    <t>2024-05-01 07:59:20.558636+00:00</t>
  </si>
  <si>
    <t>Monthly Access Fee | Outstanding (Apr 2024)</t>
  </si>
  <si>
    <t>Monthly Access Fee</t>
  </si>
  <si>
    <t>2024-01-16 15:32:55.241478+00:00</t>
  </si>
  <si>
    <t>2024-01-16 16:17:49.584000+00:00</t>
  </si>
  <si>
    <t>2024-01-17 15:37:16.652419+00:00</t>
  </si>
  <si>
    <t>2024-01-18 13:04:40.863544+00:00</t>
  </si>
  <si>
    <t>OFFICE</t>
  </si>
  <si>
    <t>MANAGMENT</t>
  </si>
  <si>
    <t>2024-01-19 13:26:11.968492+00:00</t>
  </si>
  <si>
    <t>2024-01-19 13:26:45.786830+00:00</t>
  </si>
  <si>
    <t>2024-01-19 13:34:02.914179+00:00</t>
  </si>
  <si>
    <t>Common Area</t>
  </si>
  <si>
    <t>Security Utilities</t>
  </si>
  <si>
    <t>2024-01-19 14:40:24.298862+00:00</t>
  </si>
  <si>
    <t>2024-01-19 15:28:38.168359+00:00</t>
  </si>
  <si>
    <t>2024-01-19 15:31:01.385207+00:00</t>
  </si>
  <si>
    <t>2024-01-19 17:50:02.209271+00:00</t>
  </si>
  <si>
    <t>2024-01-19 18:57:39.098566+00:00</t>
  </si>
  <si>
    <t>2024-01-20 13:41:35.373991+00:00</t>
  </si>
  <si>
    <t>2024-01-21 07:39:49.674580+00:00</t>
  </si>
  <si>
    <t>2024-01-23 07:55:33.114102+00:00</t>
  </si>
  <si>
    <t>2024-01-23 09:15:50.743568+00:00</t>
  </si>
  <si>
    <t>2024-01-24 14:00:50.972831+00:00</t>
  </si>
  <si>
    <t>2024-01-28 11:41:05.184364+00:00</t>
  </si>
  <si>
    <t>2024-01-29 15:59:00.444330+00:00</t>
  </si>
  <si>
    <t>2024-01-30 08:48:57.256243+00:00</t>
  </si>
  <si>
    <t>2024-01-31 12:03:00.567074+00:00</t>
  </si>
  <si>
    <t>2024-01-31 19:00:09.284068+00:00</t>
  </si>
  <si>
    <t>2024-02-01 12:45:09.815949+00:00</t>
  </si>
  <si>
    <t>2024-02-01 14:58:15.807680+00:00</t>
  </si>
  <si>
    <t>2024-02-02 13:59:47.166150+00:00</t>
  </si>
  <si>
    <t>2024-02-03 08:33:03.533439+00:00</t>
  </si>
  <si>
    <t>2024-02-03 08:40:30.566342+00:00</t>
  </si>
  <si>
    <t>2024-02-03 08:42:03.164208+00:00</t>
  </si>
  <si>
    <t>2024-02-03 13:53:32.559084+00:00</t>
  </si>
  <si>
    <t>2024-02-03 15:43:51.786600+00:00</t>
  </si>
  <si>
    <t>2024-02-05 20:03:23.830054+00:00</t>
  </si>
  <si>
    <t>2024-02-06 10:35:48.871426+00:00</t>
  </si>
  <si>
    <t>2024-02-08 12:59:58.988949+00:00</t>
  </si>
  <si>
    <t>2024-02-08 15:34:52.981698+00:00</t>
  </si>
  <si>
    <t>2024-02-09 09:47:16.337698+00:00</t>
  </si>
  <si>
    <t>2024-02-09 10:44:02.412584+00:00</t>
  </si>
  <si>
    <t>2024-02-11 06:07:06.922579+00:00</t>
  </si>
  <si>
    <t>2024-02-15 10:06:36.072230+00:00</t>
  </si>
  <si>
    <t>2024-02-15 16:59:52.453631+00:00</t>
  </si>
  <si>
    <t>2024-02-16 14:51:50.055492+00:00</t>
  </si>
  <si>
    <t>2024-02-19 13:38:22.931007+00:00</t>
  </si>
  <si>
    <t>2024-02-19 13:40:03.833487+00:00</t>
  </si>
  <si>
    <t>2024-02-20 11:58:02.634460+00:00</t>
  </si>
  <si>
    <t>2024-03-01 07:44:08.360591+00:00</t>
  </si>
  <si>
    <t>2024-03-01 08:19:04.962972+00:00</t>
  </si>
  <si>
    <t>2024-03-02 08:45:41.358785+00:00</t>
  </si>
  <si>
    <t>2024-03-02 10:06:11.560379+00:00</t>
  </si>
  <si>
    <t>2024-03-02 10:10:11.142134+00:00</t>
  </si>
  <si>
    <t>2024-03-02 10:11:53.261307+00:00</t>
  </si>
  <si>
    <t>2024-03-02 10:13:14.130854+00:00</t>
  </si>
  <si>
    <t>2024-03-03 18:26:42.276269+00:00</t>
  </si>
  <si>
    <t>2024-03-03 19:50:00.981297+00:00</t>
  </si>
  <si>
    <t>2024-03-05 16:50:42.835620+00:00</t>
  </si>
  <si>
    <t>2024-03-06 05:46:46.165794+00:00</t>
  </si>
  <si>
    <t>2024-03-07 16:20:21.036439+00:00</t>
  </si>
  <si>
    <t>2024-03-09 18:50:28.135707+00:00</t>
  </si>
  <si>
    <t>2024-03-11 13:33:58.016547+00:00</t>
  </si>
  <si>
    <t>2024-03-11 19:40:14.633388+00:00</t>
  </si>
  <si>
    <t>2024-03-15 12:40:45.606524+00:00</t>
  </si>
  <si>
    <t>2024-03-20 03:41:46.663084+00:00</t>
  </si>
  <si>
    <t>2024-03-20 12:54:46.626934+00:00</t>
  </si>
  <si>
    <t>2024-03-22 10:27:00.146706+00:00</t>
  </si>
  <si>
    <t>2024-03-28 05:20:01.543849+00:00</t>
  </si>
  <si>
    <t>2024-04-01 13:28:18.626332+00:00</t>
  </si>
  <si>
    <t>2024-04-01 14:24:28.049473+00:00</t>
  </si>
  <si>
    <t>2024-04-01 18:34:17.929164+00:00</t>
  </si>
  <si>
    <t>2024-04-02 07:45:09.015625+00:00</t>
  </si>
  <si>
    <t>2024-04-03 15:33:21.119075+00:00</t>
  </si>
  <si>
    <t>2024-04-03 15:34:47.327402+00:00</t>
  </si>
  <si>
    <t>2024-04-03 15:35:47.065163+00:00</t>
  </si>
  <si>
    <t>2024-04-04 05:44:26.438028+00:00</t>
  </si>
  <si>
    <t>2024-04-04 14:24:52.936996+00:00</t>
  </si>
  <si>
    <t>2024-04-06 08:55:49.468202+00:00</t>
  </si>
  <si>
    <t>2024-04-06 12:56:53.713393+00:00</t>
  </si>
  <si>
    <t>2024-04-06 12:57:51.247535+00:00</t>
  </si>
  <si>
    <t>2024-04-12 18:15:55.870135+00:00</t>
  </si>
  <si>
    <t>2024-04-13 09:38:53.119467+00:00</t>
  </si>
  <si>
    <t>2024-04-15 12:37:41.203357+00:00</t>
  </si>
  <si>
    <t>2024-04-15 14:04:35.791084+00:00</t>
  </si>
  <si>
    <t>2024-04-19 10:47:16.189454+00:00</t>
  </si>
  <si>
    <t>2024-04-22 09:45:33.859713+00:00</t>
  </si>
  <si>
    <t>2024-05-01 11:43:35.154486+00:00</t>
  </si>
  <si>
    <t>2024-05-02 11:23:50.246807+00:00</t>
  </si>
  <si>
    <t>2024-05-02 21:22:17.412571+00:00</t>
  </si>
  <si>
    <t>2024-05-03 08:57:27.056085+00:00</t>
  </si>
  <si>
    <t>2024-05-04 09:05:39.782783+00:00</t>
  </si>
  <si>
    <t>2024-05-04 09:09:49.033844+00:00</t>
  </si>
  <si>
    <t>2024-05-07 09:20:07.707567+00:00</t>
  </si>
  <si>
    <t>2024-05-07 15:52:15.946562+00:00</t>
  </si>
  <si>
    <t>2024-05-08 12:50:04.092227+00:00</t>
  </si>
  <si>
    <t>2024-05-08 12:52:34.292824+00:00</t>
  </si>
  <si>
    <t>2024-05-08 12:54:28.216073+00:00</t>
  </si>
  <si>
    <t>2024-05-08 12:55:41.163133+00:00</t>
  </si>
  <si>
    <t>2024-05-10 09:52:00.681512+00:00</t>
  </si>
  <si>
    <t>2024-05-11 12:04:24.113008+00:00</t>
  </si>
  <si>
    <t>2024-05-11 12:05:31.229637+00:00</t>
  </si>
  <si>
    <t>2024-05-16 19:20:35.951787+00:00</t>
  </si>
  <si>
    <t>2024-05-20 18:45:33.007446+00:00</t>
  </si>
  <si>
    <t>2024-05-31 08:20:33.540661+00:00</t>
  </si>
  <si>
    <t>2024-06-01 10:43:54.690817+00:00</t>
  </si>
  <si>
    <t>2024-06-01 10:45:26.206252+00:00</t>
  </si>
  <si>
    <t>2024-06-01 10:46:50.198117+00:00</t>
  </si>
  <si>
    <t>2024-06-01 13:09:09.680167+00:00</t>
  </si>
  <si>
    <t>2024-06-03 19:50:16.758081+00:00</t>
  </si>
  <si>
    <t>2024-06-04 07:50:06.222343+00:00</t>
  </si>
  <si>
    <t>2024-06-05 21:47:41.329215+00:00</t>
  </si>
  <si>
    <t>2024-06-06 08:24:26.428631+00:00</t>
  </si>
  <si>
    <t>2024-06-10 10:58:10.214912+00:00</t>
  </si>
  <si>
    <t>2024-06-10 11:06:54.939162+00:00</t>
  </si>
  <si>
    <t>2024-06-11 13:10:07.137839+00:00</t>
  </si>
  <si>
    <t>2024-06-11 13:30:51.032978+00:00</t>
  </si>
  <si>
    <t>2024-06-14 07:34:33.967793+00:00</t>
  </si>
  <si>
    <t>2024-06-15 09:15:44.152553+00:00</t>
  </si>
  <si>
    <t>2024-06-21 10:38:45+00:00</t>
  </si>
  <si>
    <t>2024-06-26 14:44:45.978213+00:00</t>
  </si>
  <si>
    <t>2024-07-01 13:50:12.474675+00:00</t>
  </si>
  <si>
    <t>2024-07-01 15:05:26.451996+00:00</t>
  </si>
  <si>
    <t>2024-07-01 19:27:35.967089+00:00</t>
  </si>
  <si>
    <t>2024-07-02 08:17:04.125739+00:00</t>
  </si>
  <si>
    <t>2024-07-03 08:51:22.332534+00:00</t>
  </si>
  <si>
    <t>2024-07-03 12:15:55.938699+00:00</t>
  </si>
  <si>
    <t>2024-07-03 12:58:45.371303+00:00</t>
  </si>
  <si>
    <t>2024-07-03 13:00:59.606575+00:00</t>
  </si>
  <si>
    <t>2024-07-03 13:01:06.425925+00:00</t>
  </si>
  <si>
    <t>2024-07-04 00:54:04.441505+00:00</t>
  </si>
  <si>
    <t>2024-07-10 16:30:33.073835+00:00</t>
  </si>
  <si>
    <t>2024-07-11 08:04:51.004498+00:00</t>
  </si>
  <si>
    <t>2024-07-16 16:31:58.429235+00:00</t>
  </si>
  <si>
    <t>2024-07-22 13:40:39.177125+00:00</t>
  </si>
  <si>
    <t>2024-07-25 21:12:39.687212+00:00</t>
  </si>
  <si>
    <t>2024-08-02 05:13:52.081233+00:00</t>
  </si>
  <si>
    <t>2024-08-03 11:19:25.605040+00:00</t>
  </si>
  <si>
    <t>2024-08-03 11:20:23.717886+00:00</t>
  </si>
  <si>
    <t>2024-08-03 11:21:25.836290+00:00</t>
  </si>
  <si>
    <t>2024-08-03 11:22:24.942120+00:00</t>
  </si>
  <si>
    <t>2024-08-03 11:23:23.318035+00:00</t>
  </si>
  <si>
    <t>2024-08-03 11:25:00.336685+00:00</t>
  </si>
  <si>
    <t>2024-08-04 13:57:35.525384+00:00</t>
  </si>
  <si>
    <t>2024-08-04 15:26:25.974796+00:00</t>
  </si>
  <si>
    <t>2024-08-04 15:39:20.099383+00:00</t>
  </si>
  <si>
    <t>2024-08-08 09:05:28.919523+00:00</t>
  </si>
  <si>
    <t>2024-08-08 09:08:48.922895+00:00</t>
  </si>
  <si>
    <t>2024-08-08 10:39:02.466932+00:00</t>
  </si>
  <si>
    <t>2024-08-09 07:19:54.412651+00:00</t>
  </si>
  <si>
    <t>2024-09-01 08:25:58.410621+00:00</t>
  </si>
  <si>
    <t>2024-09-04 07:44:56.614381+00:00</t>
  </si>
  <si>
    <t>2024-09-04 09:24:32.771205+00:00</t>
  </si>
  <si>
    <t>2024-09-04 14:59:33.650667+00:00</t>
  </si>
  <si>
    <t>2024-09-06 11:27:16.145105+00:00</t>
  </si>
  <si>
    <t>2024-09-06 14:31:13.446684+00:00</t>
  </si>
  <si>
    <t>2024-09-08 07:52:00.305369+00:00</t>
  </si>
  <si>
    <t>2024-09-11 15:48:58.368259+00:00</t>
  </si>
  <si>
    <t>2024-09-11 15:50:37.449558+00:00</t>
  </si>
  <si>
    <t>2024-09-11 15:54:11.026864+00:00</t>
  </si>
  <si>
    <t>2024-09-14 09:49:18.428332+00:00</t>
  </si>
  <si>
    <t>2024-09-14 09:52:19.707293+00:00</t>
  </si>
  <si>
    <t>2024-09-25 11:53:41.503879+00:00</t>
  </si>
  <si>
    <t>2024-10-01 05:25:48.352139+00:00</t>
  </si>
  <si>
    <t>2024-10-01 09:02:48.111623+00:00</t>
  </si>
  <si>
    <t>2024-10-02 07:10:10.258971+00:00</t>
  </si>
  <si>
    <t>2024-10-03 16:14:28.548387+00:00</t>
  </si>
  <si>
    <t>2024-10-05 08:56:15.475071+00:00</t>
  </si>
  <si>
    <t>2024-10-08 21:28:10.810076+00:00</t>
  </si>
  <si>
    <t>2024-10-25 09:15:18.966396+00:00</t>
  </si>
  <si>
    <t>2024-10-25 15:51:18.328158+00:00</t>
  </si>
  <si>
    <t>2024-10-26 09:20:25.552183+00:00</t>
  </si>
  <si>
    <t>2024-10-28 08:56:34.053248+00:00</t>
  </si>
  <si>
    <t>2024-11-01 13:23:03.752594+00:00</t>
  </si>
  <si>
    <t>2024-11-02 11:57:08.322854+00:00</t>
  </si>
  <si>
    <t>2024-11-02 11:59:13.401331+00:00</t>
  </si>
  <si>
    <t>2024-11-02 12:01:06.352254+00:00</t>
  </si>
  <si>
    <t>2024-11-02 16:44:11.514202+00:00</t>
  </si>
  <si>
    <t>2024-11-08 08:27:06.461386+00:00</t>
  </si>
  <si>
    <t>2024-11-09 09:32:13.528236+00:00</t>
  </si>
  <si>
    <t>2024-11-09 09:41:33.272609+00:00</t>
  </si>
  <si>
    <t>2024-11-16 09:03:15.713378+00:00</t>
  </si>
  <si>
    <t>2024-12-01 22:17:46.496615+00:00</t>
  </si>
  <si>
    <t>2024-12-03 15:37:50.022021+00:00</t>
  </si>
  <si>
    <t>2024-12-04 10:03:48.553928+00:00</t>
  </si>
  <si>
    <t>2024-12-04 10:07:20.743373+00:00</t>
  </si>
  <si>
    <t>2024-12-04 10:09:12.227786+00:00</t>
  </si>
  <si>
    <t>2024-12-05 17:26:25.641293+00:00</t>
  </si>
  <si>
    <t>2024-12-07 08:31:47.229135+00:00</t>
  </si>
  <si>
    <t>2024-12-07 08:33:04.385116+00:00</t>
  </si>
  <si>
    <t>2024-12-07 08:34:16.319960+00:00</t>
  </si>
  <si>
    <t>2024-12-08 20:13:37.451492+00:00</t>
  </si>
  <si>
    <t>2024-08-06 14:45:23.730109+00:00</t>
  </si>
  <si>
    <t>Late payment penalty on Insurance Premium 2024/2025</t>
  </si>
  <si>
    <t>2024-08-08 13:01:43.141293+00:00</t>
  </si>
  <si>
    <t>2024-08-15 11:11:24.383219+00:00</t>
  </si>
  <si>
    <t>Late payment penalty - Insurance Premium Year 2024/2025</t>
  </si>
  <si>
    <t>Insurance Premium Year 2024/2025 -past due</t>
  </si>
  <si>
    <t>Insurance Premium Year 2024/2025 Late Payment Charge</t>
  </si>
  <si>
    <t>Insurance Premium Year 2024/2025  -Balance Past due</t>
  </si>
  <si>
    <t>Insurance Premium Year 2024/2025</t>
  </si>
  <si>
    <t>Insurance Premium 2024/2025</t>
  </si>
  <si>
    <t>2024-01-22 11:23:35.879097+00:00</t>
  </si>
  <si>
    <t>Insurance Premium 2023/2024 Late payment penalty</t>
  </si>
  <si>
    <t>Insurance Premium 2023/2024</t>
  </si>
  <si>
    <t>Insurance Premium 2022/2023 late payment penalty</t>
  </si>
  <si>
    <t>Insurance Premium - Late payment penalty</t>
  </si>
  <si>
    <t>2024-10-14 09:33:50.413018+00:00</t>
  </si>
  <si>
    <t>Fixed Charge September 2024</t>
  </si>
  <si>
    <t>2024-10-31 20:57:15.696677+00:00</t>
  </si>
  <si>
    <t>2024-11-01 05:50:59.227834+00:00</t>
  </si>
  <si>
    <t>Fixed Charge October 2024</t>
  </si>
  <si>
    <t>2024-11-06 04:26:00.352728+00:00</t>
  </si>
  <si>
    <t>2024-11-06 05:44:34.599673+00:00</t>
  </si>
  <si>
    <t>2024-11-06 08:48:09.922464+00:00</t>
  </si>
  <si>
    <t>2024-11-06 12:27:29.052700+00:00</t>
  </si>
  <si>
    <t>2024-11-06 12:29:24.512044+00:00</t>
  </si>
  <si>
    <t>2024-11-06 22:45:48.097701+00:00</t>
  </si>
  <si>
    <t>2024-11-07 07:50:57.276433+00:00</t>
  </si>
  <si>
    <t>2024-11-07 09:36:27.592519+00:00</t>
  </si>
  <si>
    <t>2024-11-08 13:11:18.501250+00:00</t>
  </si>
  <si>
    <t>2024-11-09 07:55:05.004603+00:00</t>
  </si>
  <si>
    <t>2024-11-14 20:46:31.890794+00:00</t>
  </si>
  <si>
    <t>2024-11-15 20:34:21.268623+00:00</t>
  </si>
  <si>
    <t>2024-12-05 00:09:33.115586+00:00</t>
  </si>
  <si>
    <t>Fixed Charge November 2024</t>
  </si>
  <si>
    <t>2024-12-05 07:24:09.839568+00:00</t>
  </si>
  <si>
    <t>2024-12-05 07:28:00.882737+00:00</t>
  </si>
  <si>
    <t>2024-12-05 08:46:29.750750+00:00</t>
  </si>
  <si>
    <t>2024-12-05 11:45:43.357656+00:00</t>
  </si>
  <si>
    <t>2024-12-05 12:04:55.731920+00:00</t>
  </si>
  <si>
    <t>2024-12-05 12:33:50.548448+00:00</t>
  </si>
  <si>
    <t>2024-12-05 15:31:31.355754+00:00</t>
  </si>
  <si>
    <t>2024-12-05 17:54:09.152764+00:00</t>
  </si>
  <si>
    <t>2024-12-05 23:53:22.414410+00:00</t>
  </si>
  <si>
    <t>2024-12-06 06:37:15.498922+00:00</t>
  </si>
  <si>
    <t>2024-12-06 14:45:11.839830+00:00</t>
  </si>
  <si>
    <t>2024-12-06 16:33:16.148232+00:00</t>
  </si>
  <si>
    <t>2024-12-10 06:11:57.092657+00:00</t>
  </si>
  <si>
    <t>2024-12-10 14:37:56.660675+00:00</t>
  </si>
  <si>
    <t>2024-12-10 17:07:46.058137+00:00</t>
  </si>
  <si>
    <t>2024-12-18 16:44:04.270131+00:00</t>
  </si>
  <si>
    <t>2024-09-06 04:12:20.485608+00:00</t>
  </si>
  <si>
    <t>Fixed Charge August 2024</t>
  </si>
  <si>
    <t>2024-09-06 06:13:41.745528+00:00</t>
  </si>
  <si>
    <t>2024-09-06 06:22:56.925804+00:00</t>
  </si>
  <si>
    <t>2024-09-06 06:27:11.217806+00:00</t>
  </si>
  <si>
    <t>2024-09-06 06:40:54.594937+00:00</t>
  </si>
  <si>
    <t>2024-09-06 07:05:57.315003+00:00</t>
  </si>
  <si>
    <t>2024-09-06 07:12:20.396550+00:00</t>
  </si>
  <si>
    <t>2024-09-06 08:31:19.091696+00:00</t>
  </si>
  <si>
    <t>2024-09-06 14:06:00.082950+00:00</t>
  </si>
  <si>
    <t>2024-09-06 17:12:33.223077+00:00</t>
  </si>
  <si>
    <t>2024-09-07 07:31:40.343486+00:00</t>
  </si>
  <si>
    <t>2024-09-07 08:29:36.032219+00:00</t>
  </si>
  <si>
    <t>2024-09-07 14:22:19.757847+00:00</t>
  </si>
  <si>
    <t>2024-09-10 16:03:07.865540+00:00</t>
  </si>
  <si>
    <t>2024-09-16 16:33:00.085069+00:00</t>
  </si>
  <si>
    <t>2024-09-17 14:44:31.052966+00:00</t>
  </si>
  <si>
    <t>2024-09-24 20:43:34.373908+00:00</t>
  </si>
  <si>
    <t>2024-09-30 10:08:03.533386+00:00</t>
  </si>
  <si>
    <t>2024-10-11 14:32:34.952351+00:00</t>
  </si>
  <si>
    <t>Fixed Charge - September 2024</t>
  </si>
  <si>
    <t>2024-01-18 13:08:21.396007+00:00</t>
  </si>
  <si>
    <t>Extra Power Top Up - Any Amount</t>
  </si>
  <si>
    <t>2024-01-19 14:34:51.956740+00:00</t>
  </si>
  <si>
    <t>2024-01-22 12:01:55.696157+00:00</t>
  </si>
  <si>
    <t>2024-01-22 12:41:54.355604+00:00</t>
  </si>
  <si>
    <t>2024-01-22 15:07:15.483655+00:00</t>
  </si>
  <si>
    <t>2024-01-23 13:32:45.217845+00:00</t>
  </si>
  <si>
    <t>2024-01-29 09:15:43.549395+00:00</t>
  </si>
  <si>
    <t>2024-01-29 15:56:29.862248+00:00</t>
  </si>
  <si>
    <t>2024-01-29 17:10:55.929140+00:00</t>
  </si>
  <si>
    <t>2024-01-30 04:18:40.259884+00:00</t>
  </si>
  <si>
    <t>2024-01-31 06:29:16.741789+00:00</t>
  </si>
  <si>
    <t>2024-01-31 14:33:21.973842+00:00</t>
  </si>
  <si>
    <t>2024-01-31 15:09:40.085439+00:00</t>
  </si>
  <si>
    <t>2024-01-31 15:10:51.720474+00:00</t>
  </si>
  <si>
    <t>2024-02-07 18:41:15.789131+00:00</t>
  </si>
  <si>
    <t>2024-02-08 15:10:47.520746+00:00</t>
  </si>
  <si>
    <t>2024-02-11 06:49:01.825601+00:00</t>
  </si>
  <si>
    <t>2024-02-11 16:47:10.919414+00:00</t>
  </si>
  <si>
    <t>2024-02-11 20:22:16.872179+00:00</t>
  </si>
  <si>
    <t>2024-02-14 09:51:05.644600+00:00</t>
  </si>
  <si>
    <t>2024-02-14 11:35:47.457199+00:00</t>
  </si>
  <si>
    <t>2024-02-14 19:22:23.518304+00:00</t>
  </si>
  <si>
    <t>2024-02-14 19:31:29.835131+00:00</t>
  </si>
  <si>
    <t>2024-02-15 10:08:00.263711+00:00</t>
  </si>
  <si>
    <t>2024-02-15 20:43:50.858245+00:00</t>
  </si>
  <si>
    <t>2024-02-16 05:16:05.520608+00:00</t>
  </si>
  <si>
    <t>2024-02-16 07:58:18.860710+00:00</t>
  </si>
  <si>
    <t>2024-02-16 20:16:31.996726+00:00</t>
  </si>
  <si>
    <t>2024-02-17 06:48:54.100386+00:00</t>
  </si>
  <si>
    <t>2024-02-17 17:10:24.766364+00:00</t>
  </si>
  <si>
    <t>2024-02-17 17:18:09.154997+00:00</t>
  </si>
  <si>
    <t>2024-02-17 18:24:06.361703+00:00</t>
  </si>
  <si>
    <t>2024-02-18 20:50:29.893749+00:00</t>
  </si>
  <si>
    <t>2024-02-19 13:37:13.765678+00:00</t>
  </si>
  <si>
    <t>2024-02-19 17:23:15.200158+00:00</t>
  </si>
  <si>
    <t>2024-02-19 18:28:01.619086+00:00</t>
  </si>
  <si>
    <t>2024-02-20 11:39:46.491341+00:00</t>
  </si>
  <si>
    <t>2024-02-20 13:30:08.934036+00:00</t>
  </si>
  <si>
    <t>2024-02-20 16:50:48.326945+00:00</t>
  </si>
  <si>
    <t>2024-02-20 16:51:33.363820+00:00</t>
  </si>
  <si>
    <t>2024-02-20 23:25:27.690875+00:00</t>
  </si>
  <si>
    <t>2024-02-21 10:36:31.738833+00:00</t>
  </si>
  <si>
    <t>2024-02-22 01:32:30.722545+00:00</t>
  </si>
  <si>
    <t>2024-02-22 11:03:14.752992+00:00</t>
  </si>
  <si>
    <t>2024-02-22 13:46:37.462553+00:00</t>
  </si>
  <si>
    <t>2024-02-22 14:04:04.691248+00:00</t>
  </si>
  <si>
    <t>2024-02-22 14:07:53.430805+00:00</t>
  </si>
  <si>
    <t>2024-02-22 14:52:00.848222+00:00</t>
  </si>
  <si>
    <t>2024-02-22 17:09:48.867991+00:00</t>
  </si>
  <si>
    <t>2024-02-26 09:29:30.442182+00:00</t>
  </si>
  <si>
    <t>2024-02-26 10:33:10.515361+00:00</t>
  </si>
  <si>
    <t>2024-02-26 11:46:30.240439+00:00</t>
  </si>
  <si>
    <t>2024-02-26 14:03:49.900217+00:00</t>
  </si>
  <si>
    <t>2024-02-26 18:09:37.355476+00:00</t>
  </si>
  <si>
    <t>2024-02-26 23:00:40.127036+00:00</t>
  </si>
  <si>
    <t>2024-02-27 14:39:53.362962+00:00</t>
  </si>
  <si>
    <t>2024-02-28 09:16:14.113493+00:00</t>
  </si>
  <si>
    <t>2024-02-28 21:37:22.161093+00:00</t>
  </si>
  <si>
    <t>2024-02-29 02:09:20.661370+00:00</t>
  </si>
  <si>
    <t>2024-02-29 09:25:04.266104+00:00</t>
  </si>
  <si>
    <t>2024-02-29 09:41:46.920974+00:00</t>
  </si>
  <si>
    <t>2024-02-29 14:25:43.029986+00:00</t>
  </si>
  <si>
    <t>2024-02-29 16:14:12.496155+00:00</t>
  </si>
  <si>
    <t>2024-02-29 17:35:37.533853+00:00</t>
  </si>
  <si>
    <t>2024-02-29 18:22:03.977220+00:00</t>
  </si>
  <si>
    <t>2024-02-29 20:58:14.249645+00:00</t>
  </si>
  <si>
    <t>2024-02-29 21:24:06.072339+00:00</t>
  </si>
  <si>
    <t>2024-02-29 21:29:27.477502+00:00</t>
  </si>
  <si>
    <t>2024-02-29 22:53:18.189390+00:00</t>
  </si>
  <si>
    <t>2024-02-29 22:54:22.702986+00:00</t>
  </si>
  <si>
    <t>2024-02-29 22:56:31.424873+00:00</t>
  </si>
  <si>
    <t>2024-03-06 15:00:33.795745+00:00</t>
  </si>
  <si>
    <t>2024-03-06 15:06:15.879293+00:00</t>
  </si>
  <si>
    <t>2024-03-07 08:05:01.275245+00:00</t>
  </si>
  <si>
    <t>2024-03-07 16:18:00.376499+00:00</t>
  </si>
  <si>
    <t>2024-03-07 16:19:04.013586+00:00</t>
  </si>
  <si>
    <t>2024-03-07 19:41:39.778044+00:00</t>
  </si>
  <si>
    <t>2024-03-09 11:35:21.138139+00:00</t>
  </si>
  <si>
    <t>2024-03-09 23:35:02.755229+00:00</t>
  </si>
  <si>
    <t>2024-03-10 08:11:40.280379+00:00</t>
  </si>
  <si>
    <t>2024-03-10 17:26:15.848769+00:00</t>
  </si>
  <si>
    <t>2024-03-15 11:08:22.881800+00:00</t>
  </si>
  <si>
    <t>2024-03-15 16:02:59.741878+00:00</t>
  </si>
  <si>
    <t>2024-03-16 02:09:11.381118+00:00</t>
  </si>
  <si>
    <t>2024-03-16 11:37:15.094047+00:00</t>
  </si>
  <si>
    <t>2024-03-16 11:38:06.023792+00:00</t>
  </si>
  <si>
    <t>2024-03-16 19:49:09.190012+00:00</t>
  </si>
  <si>
    <t>2024-03-16 22:43:05.213855+00:00</t>
  </si>
  <si>
    <t>2024-03-17 15:36:05.394098+00:00</t>
  </si>
  <si>
    <t>2024-03-18 15:03:42.173877+00:00</t>
  </si>
  <si>
    <t>2024-03-18 15:05:18.041172+00:00</t>
  </si>
  <si>
    <t>2024-03-18 15:06:28.400993+00:00</t>
  </si>
  <si>
    <t>2024-03-18 15:10:06.619398+00:00</t>
  </si>
  <si>
    <t>2024-03-19 09:02:38.655284+00:00</t>
  </si>
  <si>
    <t>2024-03-20 07:25:36.926353+00:00</t>
  </si>
  <si>
    <t>2024-03-20 09:30:10.854313+00:00</t>
  </si>
  <si>
    <t>2024-03-20 11:11:12.488068+00:00</t>
  </si>
  <si>
    <t>2024-03-20 13:46:04.538025+00:00</t>
  </si>
  <si>
    <t>2024-03-20 16:59:58.848581+00:00</t>
  </si>
  <si>
    <t>2024-03-20 23:02:52.768523+00:00</t>
  </si>
  <si>
    <t>2024-03-21 06:22:07.171056+00:00</t>
  </si>
  <si>
    <t>2024-03-21 10:39:13.184302+00:00</t>
  </si>
  <si>
    <t>2024-03-22 07:26:12.525051+00:00</t>
  </si>
  <si>
    <t>2024-03-22 16:56:31.841290+00:00</t>
  </si>
  <si>
    <t>2024-03-23 06:22:31.645279+00:00</t>
  </si>
  <si>
    <t>2024-03-23 06:55:20.264419+00:00</t>
  </si>
  <si>
    <t>2024-03-23 12:26:43.461776+00:00</t>
  </si>
  <si>
    <t>2024-03-24 22:57:55.263963+00:00</t>
  </si>
  <si>
    <t>2024-03-24 22:59:00.050379+00:00</t>
  </si>
  <si>
    <t>2024-03-25 10:21:02.242529+00:00</t>
  </si>
  <si>
    <t>2024-03-25 10:51:17.907937+00:00</t>
  </si>
  <si>
    <t>2024-03-25 15:33:20.148318+00:00</t>
  </si>
  <si>
    <t>2024-03-26 13:26:04.492096+00:00</t>
  </si>
  <si>
    <t>2024-03-26 13:42:33.778471+00:00</t>
  </si>
  <si>
    <t>2024-03-26 17:33:41.102429+00:00</t>
  </si>
  <si>
    <t>2024-03-28 06:09:07.343593+00:00</t>
  </si>
  <si>
    <t>2024-03-28 14:47:29.935084+00:00</t>
  </si>
  <si>
    <t>2024-03-29 16:40:56.622469+00:00</t>
  </si>
  <si>
    <t>2024-03-31 19:02:34.732605+00:00</t>
  </si>
  <si>
    <t>2024-03-31 19:53:21.244670+00:00</t>
  </si>
  <si>
    <t>2024-04-04 08:03:28.846361+00:00</t>
  </si>
  <si>
    <t>2024-04-04 10:15:04.728131+00:00</t>
  </si>
  <si>
    <t>2024-04-05 10:47:14.229415+00:00</t>
  </si>
  <si>
    <t>2024-04-06 12:55:18.221847+00:00</t>
  </si>
  <si>
    <t>2024-04-07 13:04:51.143786+00:00</t>
  </si>
  <si>
    <t>2024-04-08 14:38:14.198929+00:00</t>
  </si>
  <si>
    <t>2024-04-08 14:40:24.730968+00:00</t>
  </si>
  <si>
    <t>2024-04-09 11:08:16.112152+00:00</t>
  </si>
  <si>
    <t>2024-04-11 03:40:15.919911+00:00</t>
  </si>
  <si>
    <t>2024-04-13 09:35:42.119270+00:00</t>
  </si>
  <si>
    <t>2024-04-13 09:41:41.927614+00:00</t>
  </si>
  <si>
    <t>2024-04-13 10:16:56.369366+00:00</t>
  </si>
  <si>
    <t>2024-04-13 10:27:53.174378+00:00</t>
  </si>
  <si>
    <t>2024-04-13 11:17:54.919710+00:00</t>
  </si>
  <si>
    <t>2024-04-13 11:26:08.278211+00:00</t>
  </si>
  <si>
    <t>2024-04-13 12:34:36.850533+00:00</t>
  </si>
  <si>
    <t>2024-04-13 12:36:26.848325+00:00</t>
  </si>
  <si>
    <t>2024-04-13 12:38:31.245176+00:00</t>
  </si>
  <si>
    <t>2024-04-13 12:41:51.751063+00:00</t>
  </si>
  <si>
    <t>2024-04-15 12:38:27.139490+00:00</t>
  </si>
  <si>
    <t>2024-04-15 13:58:35.941834+00:00</t>
  </si>
  <si>
    <t>2024-04-16 07:56:05.568043+00:00</t>
  </si>
  <si>
    <t>2024-04-16 16:10:47.036568+00:00</t>
  </si>
  <si>
    <t>2024-04-16 16:11:53.145052+00:00</t>
  </si>
  <si>
    <t>2024-04-16 16:13:22.317120+00:00</t>
  </si>
  <si>
    <t>2024-04-16 16:16:07.356681+00:00</t>
  </si>
  <si>
    <t>2024-04-16 16:17:17.772845+00:00</t>
  </si>
  <si>
    <t>2024-04-16 16:18:44.595578+00:00</t>
  </si>
  <si>
    <t>2024-04-16 18:39:07.721506+00:00</t>
  </si>
  <si>
    <t>2024-04-17 03:24:29.480761+00:00</t>
  </si>
  <si>
    <t>2024-04-17 07:42:45.263695+00:00</t>
  </si>
  <si>
    <t>2024-04-17 08:58:23.965861+00:00</t>
  </si>
  <si>
    <t>2024-04-18 08:41:33.762640+00:00</t>
  </si>
  <si>
    <t>2024-04-18 15:59:28.014548+00:00</t>
  </si>
  <si>
    <t>2024-04-18 19:37:07.475717+00:00</t>
  </si>
  <si>
    <t>2024-04-19 14:49:38.111819+00:00</t>
  </si>
  <si>
    <t>2024-04-19 14:57:15.453329+00:00</t>
  </si>
  <si>
    <t>2024-04-19 14:58:02.633048+00:00</t>
  </si>
  <si>
    <t>2024-04-19 19:21:58.589827+00:00</t>
  </si>
  <si>
    <t>2024-04-20 09:06:30.874003+00:00</t>
  </si>
  <si>
    <t>2024-04-20 19:17:48.421144+00:00</t>
  </si>
  <si>
    <t>2024-04-20 20:40:45.364361+00:00</t>
  </si>
  <si>
    <t>2024-04-21 14:20:39.927316+00:00</t>
  </si>
  <si>
    <t>2024-04-22 14:26:14.950131+00:00</t>
  </si>
  <si>
    <t>2024-04-22 19:35:23.391280+00:00</t>
  </si>
  <si>
    <t>2024-04-23 05:17:24.023582+00:00</t>
  </si>
  <si>
    <t>2024-04-23 07:47:35.473328+00:00</t>
  </si>
  <si>
    <t>2024-04-23 15:33:10.945363+00:00</t>
  </si>
  <si>
    <t>2024-04-23 15:37:27.061078+00:00</t>
  </si>
  <si>
    <t>2024-04-23 15:40:25.541641+00:00</t>
  </si>
  <si>
    <t>2024-04-23 15:42:37.584048+00:00</t>
  </si>
  <si>
    <t>2024-04-23 15:44:36.335415+00:00</t>
  </si>
  <si>
    <t>2024-04-24 20:27:36.839160+00:00</t>
  </si>
  <si>
    <t>2024-04-25 12:03:11.506933+00:00</t>
  </si>
  <si>
    <t>2024-04-25 15:00:46.543401+00:00</t>
  </si>
  <si>
    <t>2024-04-25 17:05:51.157809+00:00</t>
  </si>
  <si>
    <t>2024-04-26 17:14:00.455031+00:00</t>
  </si>
  <si>
    <t>2024-04-26 23:58:02.533251+00:00</t>
  </si>
  <si>
    <t>2024-04-27 10:03:40.169607+00:00</t>
  </si>
  <si>
    <t>2024-04-27 10:05:08.510647+00:00</t>
  </si>
  <si>
    <t>2024-04-27 10:06:41.624177+00:00</t>
  </si>
  <si>
    <t>2024-04-27 11:25:36.421947+00:00</t>
  </si>
  <si>
    <t>2024-04-27 12:30:59.235425+00:00</t>
  </si>
  <si>
    <t>2024-04-28 08:54:32.504835+00:00</t>
  </si>
  <si>
    <t>2024-04-28 14:13:01.608033+00:00</t>
  </si>
  <si>
    <t>2024-04-28 21:58:30.370324+00:00</t>
  </si>
  <si>
    <t>2024-04-29 09:43:13.836298+00:00</t>
  </si>
  <si>
    <t>2024-04-29 13:25:26.911433+00:00</t>
  </si>
  <si>
    <t>2024-04-29 13:29:00.497021+00:00</t>
  </si>
  <si>
    <t>2024-04-29 13:30:40.736733+00:00</t>
  </si>
  <si>
    <t>2024-04-29 13:31:43.915955+00:00</t>
  </si>
  <si>
    <t>2024-04-29 13:32:54.138736+00:00</t>
  </si>
  <si>
    <t>2024-04-29 16:47:26.093120+00:00</t>
  </si>
  <si>
    <t>2024-04-29 17:53:51.178421+00:00</t>
  </si>
  <si>
    <t>2024-04-30 08:22:14.874019+00:00</t>
  </si>
  <si>
    <t>2024-04-30 10:38:11.018764+00:00</t>
  </si>
  <si>
    <t>2024-04-30 11:29:49.585370+00:00</t>
  </si>
  <si>
    <t>2024-04-30 15:26:29.711379+00:00</t>
  </si>
  <si>
    <t>2024-04-30 15:28:09.585707+00:00</t>
  </si>
  <si>
    <t>2024-04-30 15:35:22.675072+00:00</t>
  </si>
  <si>
    <t>2024-04-30 20:47:29.984850+00:00</t>
  </si>
  <si>
    <t>2024-05-03 08:44:10.981686+00:00</t>
  </si>
  <si>
    <t>2024-05-04 21:01:47.615291+00:00</t>
  </si>
  <si>
    <t>2024-05-06 08:45:17.917531+00:00</t>
  </si>
  <si>
    <t>2024-05-08 11:54:32.981995+00:00</t>
  </si>
  <si>
    <t>2024-05-08 12:38:02.094231+00:00</t>
  </si>
  <si>
    <t>2024-05-09 17:37:10+00:00</t>
  </si>
  <si>
    <t>2024-05-09 23:52:44.619023+00:00</t>
  </si>
  <si>
    <t>2024-05-10 06:57:52.258015+00:00</t>
  </si>
  <si>
    <t>Extra Electricity Token - Any Amount</t>
  </si>
  <si>
    <t>2024-05-10 20:00:45.806256+00:00</t>
  </si>
  <si>
    <t>2024-05-11 10:51:02.827528+00:00</t>
  </si>
  <si>
    <t>2024-05-11 10:54:51.181970+00:00</t>
  </si>
  <si>
    <t>2024-05-11 23:13:51.823954+00:00</t>
  </si>
  <si>
    <t>2024-05-11 23:42:03.384497+00:00</t>
  </si>
  <si>
    <t>2024-05-12 19:41:29.274985+00:00</t>
  </si>
  <si>
    <t>2024-05-14 15:17:09.212902+00:00</t>
  </si>
  <si>
    <t>2024-05-14 15:18:40.575068+00:00</t>
  </si>
  <si>
    <t>2024-05-14 20:49:51.188611+00:00</t>
  </si>
  <si>
    <t>2024-05-14 21:03:44.867163+00:00</t>
  </si>
  <si>
    <t>2024-05-15 13:10:55.742238+00:00</t>
  </si>
  <si>
    <t>2024-05-15 18:20:49.697052+00:00</t>
  </si>
  <si>
    <t>2024-05-16 12:57:49.608030+00:00</t>
  </si>
  <si>
    <t>2024-05-17 06:34:12.694267+00:00</t>
  </si>
  <si>
    <t>2024-05-17 09:35:31.451988+00:00</t>
  </si>
  <si>
    <t>2024-05-17 19:12:51.061526+00:00</t>
  </si>
  <si>
    <t>2024-05-18 08:51:56.922839+00:00</t>
  </si>
  <si>
    <t>2024-05-18 08:58:14.590642+00:00</t>
  </si>
  <si>
    <t>2024-05-18 08:59:54.989595+00:00</t>
  </si>
  <si>
    <t>2024-05-18 09:03:13.590523+00:00</t>
  </si>
  <si>
    <t>2024-05-18 09:04:40.281856+00:00</t>
  </si>
  <si>
    <t>2024-05-18 09:05:35.785802+00:00</t>
  </si>
  <si>
    <t>2024-05-18 09:49:02.062155+00:00</t>
  </si>
  <si>
    <t>2024-05-19 05:58:03.817206+00:00</t>
  </si>
  <si>
    <t>2024-05-19 20:41:16.789623+00:00</t>
  </si>
  <si>
    <t>2024-05-19 23:29:14.798142+00:00</t>
  </si>
  <si>
    <t>2024-05-20 05:43:01.979707+00:00</t>
  </si>
  <si>
    <t>2024-05-20 08:45:31.961625+00:00</t>
  </si>
  <si>
    <t>Extra Electricity Token</t>
  </si>
  <si>
    <t>2024-05-20 11:22:18.157925+00:00</t>
  </si>
  <si>
    <t>2024-05-20 12:38:06.600573+00:00</t>
  </si>
  <si>
    <t>2024-05-20 13:26:07.257235+00:00</t>
  </si>
  <si>
    <t>2024-05-20 17:22:58.068163+00:00</t>
  </si>
  <si>
    <t>2024-05-21 08:22:55.750699+00:00</t>
  </si>
  <si>
    <t>2024-05-21 15:51:50.984976+00:00</t>
  </si>
  <si>
    <t>2024-05-22 15:32:55.690408+00:00</t>
  </si>
  <si>
    <t>2024-05-22 15:33:55.765832+00:00</t>
  </si>
  <si>
    <t>2024-05-22 15:34:40.434521+00:00</t>
  </si>
  <si>
    <t>2024-05-22 15:35:30.879923+00:00</t>
  </si>
  <si>
    <t>2024-05-22 16:38:19.286053+00:00</t>
  </si>
  <si>
    <t>2024-05-22 21:12:35.558390+00:00</t>
  </si>
  <si>
    <t>2024-05-23 18:54:51.152333+00:00</t>
  </si>
  <si>
    <t>2024-05-24 08:20:57.096988+00:00</t>
  </si>
  <si>
    <t>2024-05-24 14:20:48.533777+00:00</t>
  </si>
  <si>
    <t>2024-05-24 14:23:57.327594+00:00</t>
  </si>
  <si>
    <t>2024-05-24 14:25:44.282102+00:00</t>
  </si>
  <si>
    <t>2024-05-24 14:37:13.797613+00:00</t>
  </si>
  <si>
    <t>2024-05-25 11:04:03.719554+00:00</t>
  </si>
  <si>
    <t>2024-05-25 20:09:19.509588+00:00</t>
  </si>
  <si>
    <t>2024-05-25 23:46:25.777943+00:00</t>
  </si>
  <si>
    <t>2024-05-26 00:08:24.823527+00:00</t>
  </si>
  <si>
    <t>2024-05-26 04:35:07.807092+00:00</t>
  </si>
  <si>
    <t>2024-05-27 06:41:12.010742+00:00</t>
  </si>
  <si>
    <t>2024-05-27 12:24:29.051758+00:00</t>
  </si>
  <si>
    <t>2024-05-27 14:22:42.407813+00:00</t>
  </si>
  <si>
    <t>2024-05-28 10:19:51.370702+00:00</t>
  </si>
  <si>
    <t>2024-05-28 11:45:30.295459+00:00</t>
  </si>
  <si>
    <t>2024-05-28 14:18:50.016704+00:00</t>
  </si>
  <si>
    <t>2024-05-28 15:48:37.165702+00:00</t>
  </si>
  <si>
    <t>2024-05-28 16:00:43.470941+00:00</t>
  </si>
  <si>
    <t>2024-05-29 06:16:02.638965+00:00</t>
  </si>
  <si>
    <t>2024-05-29 07:28:11.217807+00:00</t>
  </si>
  <si>
    <t>2024-05-29 13:03:31.608396+00:00</t>
  </si>
  <si>
    <t>2024-05-30 10:27:26.880872+00:00</t>
  </si>
  <si>
    <t>2024-05-30 10:29:15.930551+00:00</t>
  </si>
  <si>
    <t>2024-05-30 20:56:47.318931+00:00</t>
  </si>
  <si>
    <t>2024-05-31 15:46:21+00:00</t>
  </si>
  <si>
    <t>2024-05-31 20:14:29+00:00</t>
  </si>
  <si>
    <t>2024-05-31 22:44:54.599128+00:00</t>
  </si>
  <si>
    <t>2024-06-05 22:00:21.480231+00:00</t>
  </si>
  <si>
    <t>2024-06-06 08:36:31.926432+00:00</t>
  </si>
  <si>
    <t>2024-06-06 12:06:09.397348+00:00</t>
  </si>
  <si>
    <t>2024-06-06 18:35:19.903051+00:00</t>
  </si>
  <si>
    <t>2024-06-07 20:51:23.365637+00:00</t>
  </si>
  <si>
    <t>2024-06-09 16:35:17.962430+00:00</t>
  </si>
  <si>
    <t>2024-06-10 10:48:36.230258+00:00</t>
  </si>
  <si>
    <t>2024-06-10 15:34:13.985944+00:00</t>
  </si>
  <si>
    <t>2024-06-11 03:47:24.604236+00:00</t>
  </si>
  <si>
    <t>2024-06-12 05:17:58.955866+00:00</t>
  </si>
  <si>
    <t>2024-06-12 07:04:37.914280+00:00</t>
  </si>
  <si>
    <t>2024-06-12 23:20:31.328640+00:00</t>
  </si>
  <si>
    <t>2024-06-13 10:58:07.360678+00:00</t>
  </si>
  <si>
    <t>2024-06-13 18:29:36.470381+00:00</t>
  </si>
  <si>
    <t>2024-06-13 20:19:00.721087+00:00</t>
  </si>
  <si>
    <t>2024-06-14 13:59:00.581031+00:00</t>
  </si>
  <si>
    <t>2024-06-14 15:27:26.030856+00:00</t>
  </si>
  <si>
    <t>2024-06-15 03:05:30.169608+00:00</t>
  </si>
  <si>
    <t>2024-06-15 09:13:57.285463+00:00</t>
  </si>
  <si>
    <t>2024-06-15 10:53:56.693048+00:00</t>
  </si>
  <si>
    <t>2024-06-16 22:54:07.573342+00:00</t>
  </si>
  <si>
    <t>2024-06-17 16:11:17.453833+00:00</t>
  </si>
  <si>
    <t>2024-06-17 22:13:29.309168+00:00</t>
  </si>
  <si>
    <t>2024-06-17 22:34:41.542805+00:00</t>
  </si>
  <si>
    <t>2024-06-18 09:46:30.852713+00:00</t>
  </si>
  <si>
    <t>2024-06-18 14:59:53.780118+00:00</t>
  </si>
  <si>
    <t>2024-06-19 21:49:17.177914+00:00</t>
  </si>
  <si>
    <t>2024-06-20 06:17:18.399146+00:00</t>
  </si>
  <si>
    <t>2024-06-20 13:09:21.694888+00:00</t>
  </si>
  <si>
    <t>2024-06-20 13:11:14.948540+00:00</t>
  </si>
  <si>
    <t>2024-06-20 13:12:08.937417+00:00</t>
  </si>
  <si>
    <t>2024-06-20 13:13:14.137572+00:00</t>
  </si>
  <si>
    <t>2024-06-20 19:26:21.813607+00:00</t>
  </si>
  <si>
    <t>2024-06-20 23:50:31+00:00</t>
  </si>
  <si>
    <t>2024-06-21 20:30:33+00:00</t>
  </si>
  <si>
    <t>2024-06-21 20:46:41+00:00</t>
  </si>
  <si>
    <t>2024-06-21 22:36:58.134095+00:00</t>
  </si>
  <si>
    <t>2024-06-22 00:10:51.459503+00:00</t>
  </si>
  <si>
    <t>2024-06-22 00:15:33.378775+00:00</t>
  </si>
  <si>
    <t>2024-06-22 16:35:47.472574+00:00</t>
  </si>
  <si>
    <t>2024-06-23 12:29:08.449702+00:00</t>
  </si>
  <si>
    <t>2024-06-23 21:33:52.478634+00:00</t>
  </si>
  <si>
    <t>2024-06-24 04:22:23.397913+00:00</t>
  </si>
  <si>
    <t>2024-06-25 11:20:59.746623+00:00</t>
  </si>
  <si>
    <t>2024-06-25 15:45:50.511319+00:00</t>
  </si>
  <si>
    <t>2024-06-25 15:49:18.889566+00:00</t>
  </si>
  <si>
    <t>2024-06-25 18:26:09.611584+00:00</t>
  </si>
  <si>
    <t>2024-06-26 03:39:22.332628+00:00</t>
  </si>
  <si>
    <t>2024-06-26 07:01:55.910778+00:00</t>
  </si>
  <si>
    <t>2024-06-27 09:50:58.399217+00:00</t>
  </si>
  <si>
    <t>2024-06-27 16:15:39.916369+00:00</t>
  </si>
  <si>
    <t>2024-06-27 16:17:58.303353+00:00</t>
  </si>
  <si>
    <t>2024-06-27 16:29:23.096065+00:00</t>
  </si>
  <si>
    <t>2024-06-27 21:29:00.482324+00:00</t>
  </si>
  <si>
    <t>2024-06-27 23:03:29.957912+00:00</t>
  </si>
  <si>
    <t>2024-06-28 13:25:19.611847+00:00</t>
  </si>
  <si>
    <t>2024-06-28 15:21:37.210543+00:00</t>
  </si>
  <si>
    <t>2024-06-28 20:00:49.975069+00:00</t>
  </si>
  <si>
    <t>2024-06-29 00:25:13.694441+00:00</t>
  </si>
  <si>
    <t>2024-06-29 06:32:04.653035+00:00</t>
  </si>
  <si>
    <t>2024-06-29 08:46:53.411235+00:00</t>
  </si>
  <si>
    <t>2024-06-29 08:50:30.819234+00:00</t>
  </si>
  <si>
    <t>2024-06-29 08:52:43.392769+00:00</t>
  </si>
  <si>
    <t>2024-07-03 12:56:04.961429+00:00</t>
  </si>
  <si>
    <t>2024-07-04 00:45:17+00:00</t>
  </si>
  <si>
    <t>2024-07-07 02:02:01+00:00</t>
  </si>
  <si>
    <t>2024-07-07 21:33:46+00:00</t>
  </si>
  <si>
    <t>2024-07-08 15:03:57+00:00</t>
  </si>
  <si>
    <t>2024-07-09 06:21:28+00:00</t>
  </si>
  <si>
    <t>2024-07-11 13:57:19.058315+00:00</t>
  </si>
  <si>
    <t>2024-07-11 14:01:24.537051+00:00</t>
  </si>
  <si>
    <t>2024-07-11 19:55:38.239806+00:00</t>
  </si>
  <si>
    <t>2024-07-12 03:31:47.149380+00:00</t>
  </si>
  <si>
    <t>2024-07-12 06:00:40.897606+00:00</t>
  </si>
  <si>
    <t>2024-07-12 08:11:37.307487+00:00</t>
  </si>
  <si>
    <t>2024-07-12 19:22:29.241068+00:00</t>
  </si>
  <si>
    <t>2024-07-12 21:11:04.709159+00:00</t>
  </si>
  <si>
    <t>2024-07-13 12:01:44.970954+00:00</t>
  </si>
  <si>
    <t>2024-07-13 12:50:07.298978+00:00</t>
  </si>
  <si>
    <t>2024-07-14 19:39:15.277140+00:00</t>
  </si>
  <si>
    <t>2024-07-15 22:03:18.727229+00:00</t>
  </si>
  <si>
    <t>2024-07-16 16:13:41.551910+00:00</t>
  </si>
  <si>
    <t>2024-07-16 21:06:06.413969+00:00</t>
  </si>
  <si>
    <t>2024-07-17 10:41:56.835659+00:00</t>
  </si>
  <si>
    <t>2024-07-17 18:04:35.014802+00:00</t>
  </si>
  <si>
    <t>2024-07-18 05:56:53.396765+00:00</t>
  </si>
  <si>
    <t>2024-07-18 11:49:40.626908+00:00</t>
  </si>
  <si>
    <t>2024-07-18 16:12:40.812513+00:00</t>
  </si>
  <si>
    <t>2024-07-18 17:22:47.561197+00:00</t>
  </si>
  <si>
    <t>2024-07-18 17:56:27.351029+00:00</t>
  </si>
  <si>
    <t>2024-07-18 22:36:43.277805+00:00</t>
  </si>
  <si>
    <t>2024-07-19 14:57:18.376815+00:00</t>
  </si>
  <si>
    <t>2024-07-19 21:25:36.139342+00:00</t>
  </si>
  <si>
    <t>2024-07-20 12:00:13.993308+00:00</t>
  </si>
  <si>
    <t>2024-07-20 12:01:28.127632+00:00</t>
  </si>
  <si>
    <t>2024-07-20 16:31:04.890769+00:00</t>
  </si>
  <si>
    <t>2024-07-20 21:12:16.202953+00:00</t>
  </si>
  <si>
    <t>2024-07-21 04:51:43.432882+00:00</t>
  </si>
  <si>
    <t>2024-07-21 10:14:19.514988+00:00</t>
  </si>
  <si>
    <t>2024-07-21 23:57:24.987347+00:00</t>
  </si>
  <si>
    <t>2024-07-22 04:03:55.280982+00:00</t>
  </si>
  <si>
    <t>2024-07-22 08:36:12.129029+00:00</t>
  </si>
  <si>
    <t>2024-07-23 16:45:51.117726+00:00</t>
  </si>
  <si>
    <t>2024-07-23 19:41:56.378625+00:00</t>
  </si>
  <si>
    <t>2024-07-24 07:18:56.580749+00:00</t>
  </si>
  <si>
    <t>2024-07-24 21:58:04.892230+00:00</t>
  </si>
  <si>
    <t>2024-07-25 03:15:01.256175+00:00</t>
  </si>
  <si>
    <t>2024-07-26 08:52:11.566140+00:00</t>
  </si>
  <si>
    <t>2024-07-26 17:37:52.608131+00:00</t>
  </si>
  <si>
    <t>2024-07-26 21:56:58.758162+00:00</t>
  </si>
  <si>
    <t>2024-07-27 00:38:56.303081+00:00</t>
  </si>
  <si>
    <t>2024-07-27 08:47:17.186952+00:00</t>
  </si>
  <si>
    <t>2024-07-27 11:10:41.639748+00:00</t>
  </si>
  <si>
    <t>2024-07-27 11:19:12.869843+00:00</t>
  </si>
  <si>
    <t>2024-07-27 11:21:06.411570+00:00</t>
  </si>
  <si>
    <t>2024-07-27 11:24:43.189616+00:00</t>
  </si>
  <si>
    <t>2024-07-27 14:00:29.293539+00:00</t>
  </si>
  <si>
    <t>2024-07-27 22:09:44.974477+00:00</t>
  </si>
  <si>
    <t>2024-07-29 09:26:29.813970+00:00</t>
  </si>
  <si>
    <t>2024-07-29 19:59:53.324590+00:00</t>
  </si>
  <si>
    <t>2024-07-29 22:18:29.758696+00:00</t>
  </si>
  <si>
    <t>2024-07-29 23:41:59.855882+00:00</t>
  </si>
  <si>
    <t>2024-07-30 05:19:51.103637+00:00</t>
  </si>
  <si>
    <t>2024-07-30 07:56:34.843581+00:00</t>
  </si>
  <si>
    <t>2024-07-31 12:01:59.457083+00:00</t>
  </si>
  <si>
    <t>2024-07-31 12:23:30.852130+00:00</t>
  </si>
  <si>
    <t>2024-07-31 12:59:27.305665+00:00</t>
  </si>
  <si>
    <t>2024-07-31 15:18:07.444183+00:00</t>
  </si>
  <si>
    <t>2024-07-31 15:33:19.083389+00:00</t>
  </si>
  <si>
    <t>2024-07-31 18:26:12.325745+00:00</t>
  </si>
  <si>
    <t>2024-07-31 22:22:15.990573+00:00</t>
  </si>
  <si>
    <t>2024-08-06 22:15:19.121168+00:00</t>
  </si>
  <si>
    <t>2024-08-07 15:19:29.645867+00:00</t>
  </si>
  <si>
    <t>2024-08-07 15:22:23.494565+00:00</t>
  </si>
  <si>
    <t>2024-08-09 16:46:16.134683+00:00</t>
  </si>
  <si>
    <t>2024-08-09 16:49:09.829271+00:00</t>
  </si>
  <si>
    <t>2024-08-09 16:49:36.296651+00:00</t>
  </si>
  <si>
    <t>2024-08-09 22:52:37.856265+00:00</t>
  </si>
  <si>
    <t>2024-08-10 10:11:31.997366+00:00</t>
  </si>
  <si>
    <t>2024-08-10 10:13:51.599644+00:00</t>
  </si>
  <si>
    <t>2024-08-10 10:16:38.550348+00:00</t>
  </si>
  <si>
    <t>2024-08-10 11:48:59.531481+00:00</t>
  </si>
  <si>
    <t>2024-08-10 13:42:37.463072+00:00</t>
  </si>
  <si>
    <t>2024-08-10 19:51:53.351156+00:00</t>
  </si>
  <si>
    <t>2024-08-10 19:52:04.607154+00:00</t>
  </si>
  <si>
    <t>2024-08-10 19:55:52.711031+00:00</t>
  </si>
  <si>
    <t>2024-08-10 20:05:36.974720+00:00</t>
  </si>
  <si>
    <t>2024-08-10 20:08:59.674253+00:00</t>
  </si>
  <si>
    <t>2024-08-11 11:17:17.968115+00:00</t>
  </si>
  <si>
    <t>2024-08-11 21:27:49.910381+00:00</t>
  </si>
  <si>
    <t>2024-08-11 22:01:07.835125+00:00</t>
  </si>
  <si>
    <t>2024-08-14 09:17:09.272318+00:00</t>
  </si>
  <si>
    <t>2024-08-14 09:20:39.013474+00:00</t>
  </si>
  <si>
    <t>2024-08-14 21:25:11.323258+00:00</t>
  </si>
  <si>
    <t>2024-08-15 12:14:39.214607+00:00</t>
  </si>
  <si>
    <t>2024-08-16 09:36:04.481455+00:00</t>
  </si>
  <si>
    <t>2024-08-17 12:58:23.125226+00:00</t>
  </si>
  <si>
    <t>2024-08-17 12:59:28.850183+00:00</t>
  </si>
  <si>
    <t>2024-08-17 13:09:45.649647+00:00</t>
  </si>
  <si>
    <t>2024-08-18 04:22:07.721358+00:00</t>
  </si>
  <si>
    <t>2024-08-19 05:12:36.233631+00:00</t>
  </si>
  <si>
    <t>2024-08-19 17:05:23.342831+00:00</t>
  </si>
  <si>
    <t>2024-08-19 18:45:30.693159+00:00</t>
  </si>
  <si>
    <t>2024-08-21 05:03:16.870114+00:00</t>
  </si>
  <si>
    <t>2024-08-21 08:30:03.695711+00:00</t>
  </si>
  <si>
    <t>2024-08-21 08:41:56.318947+00:00</t>
  </si>
  <si>
    <t>2024-08-21 08:43:28.449265+00:00</t>
  </si>
  <si>
    <t>2024-08-21 14:28:43.149161+00:00</t>
  </si>
  <si>
    <t>2024-08-23 17:11:43.923216+00:00</t>
  </si>
  <si>
    <t>2024-08-24 09:43:49.882239+00:00</t>
  </si>
  <si>
    <t>2024-08-24 09:44:47.183042+00:00</t>
  </si>
  <si>
    <t>2024-08-24 14:30:01.859655+00:00</t>
  </si>
  <si>
    <t>2024-08-24 21:46:04.318397+00:00</t>
  </si>
  <si>
    <t>2024-08-24 22:19:47.343627+00:00</t>
  </si>
  <si>
    <t>2024-08-25 12:10:20.398695+00:00</t>
  </si>
  <si>
    <t>2024-08-25 12:10:44.130980+00:00</t>
  </si>
  <si>
    <t>2024-08-25 16:58:40.264869+00:00</t>
  </si>
  <si>
    <t>2024-08-27 06:37:21.671160+00:00</t>
  </si>
  <si>
    <t>2024-08-27 09:52:25.088555+00:00</t>
  </si>
  <si>
    <t>2024-08-27 14:02:44.289793+00:00</t>
  </si>
  <si>
    <t>2024-08-27 14:03:55.527620+00:00</t>
  </si>
  <si>
    <t>2024-08-27 14:04:48.752368+00:00</t>
  </si>
  <si>
    <t>2024-08-28 08:36:23.265837+00:00</t>
  </si>
  <si>
    <t>2024-08-28 16:09:08.878303+00:00</t>
  </si>
  <si>
    <t>2024-08-28 16:11:54.125408+00:00</t>
  </si>
  <si>
    <t>2024-08-28 16:38:27.667493+00:00</t>
  </si>
  <si>
    <t>2024-08-28 16:55:00.909171+00:00</t>
  </si>
  <si>
    <t>2024-08-28 16:56:53.866853+00:00</t>
  </si>
  <si>
    <t>2024-08-28 16:58:42.034337+00:00</t>
  </si>
  <si>
    <t>2024-08-29 11:25:58.988344+00:00</t>
  </si>
  <si>
    <t>2024-08-29 15:22:17.638805+00:00</t>
  </si>
  <si>
    <t>2024-08-30 07:17:31.028812+00:00</t>
  </si>
  <si>
    <t>2024-08-30 10:58:21.334824+00:00</t>
  </si>
  <si>
    <t>2024-09-02 22:54:50.142606+00:00</t>
  </si>
  <si>
    <t>2024-09-03 10:45:46.123906+00:00</t>
  </si>
  <si>
    <t>2024-09-05 14:05:06.992658+00:00</t>
  </si>
  <si>
    <t>2024-09-10 15:45:50.050879+00:00</t>
  </si>
  <si>
    <t>2024-09-10 21:41:39.842628+00:00</t>
  </si>
  <si>
    <t>2024-09-12 12:30:39.003204+00:00</t>
  </si>
  <si>
    <t>2024-09-13 15:26:18.208864+00:00</t>
  </si>
  <si>
    <t>2024-09-14 04:18:20.608156+00:00</t>
  </si>
  <si>
    <t>2024-09-14 09:34:12.244945+00:00</t>
  </si>
  <si>
    <t>2024-09-14 09:51:19.943973+00:00</t>
  </si>
  <si>
    <t>2024-09-15 13:29:41.314225+00:00</t>
  </si>
  <si>
    <t>2024-09-16 10:55:20.664399+00:00</t>
  </si>
  <si>
    <t>2024-09-18 10:32:32.790667+00:00</t>
  </si>
  <si>
    <t>2024-09-18 15:29:28.586923+00:00</t>
  </si>
  <si>
    <t>2024-09-18 16:03:20.260942+00:00</t>
  </si>
  <si>
    <t>2024-09-19 08:04:24.262330+00:00</t>
  </si>
  <si>
    <t>2024-09-20 08:49:52.863821+00:00</t>
  </si>
  <si>
    <t>2024-09-20 11:54:01.933328+00:00</t>
  </si>
  <si>
    <t>2024-09-20 14:43:42.427035+00:00</t>
  </si>
  <si>
    <t>2024-09-20 21:44:50.814156+00:00</t>
  </si>
  <si>
    <t>2024-09-21 10:17:59.510644+00:00</t>
  </si>
  <si>
    <t>2024-09-21 10:20:47.488662+00:00</t>
  </si>
  <si>
    <t>2024-09-21 10:23:22.166431+00:00</t>
  </si>
  <si>
    <t>2024-09-21 10:24:30.028356+00:00</t>
  </si>
  <si>
    <t>2024-09-21 10:25:28.835747+00:00</t>
  </si>
  <si>
    <t>2024-09-21 11:08:53.207669+00:00</t>
  </si>
  <si>
    <t>2024-09-22 11:31:45.587598+00:00</t>
  </si>
  <si>
    <t>2024-09-22 18:37:57.647041+00:00</t>
  </si>
  <si>
    <t>2024-09-22 18:41:00.674492+00:00</t>
  </si>
  <si>
    <t>2024-09-23 20:04:44.166135+00:00</t>
  </si>
  <si>
    <t>2024-09-24 05:09:22.949420+00:00</t>
  </si>
  <si>
    <t>2024-09-24 20:50:02.051109+00:00</t>
  </si>
  <si>
    <t>2024-09-25 02:07:58.502188+00:00</t>
  </si>
  <si>
    <t>2024-09-25 16:08:31.241552+00:00</t>
  </si>
  <si>
    <t>2024-09-26 03:56:43.922525+00:00</t>
  </si>
  <si>
    <t>2024-09-26 05:47:11.437190+00:00</t>
  </si>
  <si>
    <t>2024-09-27 08:21:56.799943+00:00</t>
  </si>
  <si>
    <t>2024-09-27 21:53:36.771600+00:00</t>
  </si>
  <si>
    <t>2024-09-28 02:48:31.911711+00:00</t>
  </si>
  <si>
    <t>2024-09-28 07:55:05.920968+00:00</t>
  </si>
  <si>
    <t>2024-09-28 09:28:25.463954+00:00</t>
  </si>
  <si>
    <t>2024-09-28 23:19:52.906300+00:00</t>
  </si>
  <si>
    <t>2024-09-29 05:04:26.745397+00:00</t>
  </si>
  <si>
    <t>2024-10-05 08:53:03.094540+00:00</t>
  </si>
  <si>
    <t>2024-10-05 08:54:45.610899+00:00</t>
  </si>
  <si>
    <t>2024-10-08 23:12:56.802576+00:00</t>
  </si>
  <si>
    <t>2024-10-10 11:00:36.549637+00:00</t>
  </si>
  <si>
    <t>2024-10-11 14:33:11.686519+00:00</t>
  </si>
  <si>
    <t>2024-10-12 11:43:50.218608+00:00</t>
  </si>
  <si>
    <t>2024-10-14 10:10:26.613286+00:00</t>
  </si>
  <si>
    <t>2024-10-15 05:55:24.066194+00:00</t>
  </si>
  <si>
    <t>2024-10-16 07:50:11.884725+00:00</t>
  </si>
  <si>
    <t>2024-10-16 08:41:27.076355+00:00</t>
  </si>
  <si>
    <t>2024-10-16 18:29:52.291663+00:00</t>
  </si>
  <si>
    <t>2024-10-17 15:48:27.757212+00:00</t>
  </si>
  <si>
    <t>2024-10-18 14:53:39.170293+00:00</t>
  </si>
  <si>
    <t>2024-10-18 15:21:02.917415+00:00</t>
  </si>
  <si>
    <t>2024-10-19 07:34:31.759258+00:00</t>
  </si>
  <si>
    <t>2024-10-20 16:12:07.119474+00:00</t>
  </si>
  <si>
    <t>2024-10-22 18:18:03.446425+00:00</t>
  </si>
  <si>
    <t>2024-10-22 18:21:26.118430+00:00</t>
  </si>
  <si>
    <t>2024-10-22 21:09:34.707712+00:00</t>
  </si>
  <si>
    <t>2024-10-23 16:15:42.261934+00:00</t>
  </si>
  <si>
    <t>2024-10-23 16:17:15.071047+00:00</t>
  </si>
  <si>
    <t>2024-10-24 20:24:32.515044+00:00</t>
  </si>
  <si>
    <t>2024-10-24 20:31:03.582868+00:00</t>
  </si>
  <si>
    <t>2024-10-25 07:32:29.077507+00:00</t>
  </si>
  <si>
    <t>2024-10-26 06:44:52.082333+00:00</t>
  </si>
  <si>
    <t>2024-10-26 09:11:34.166273+00:00</t>
  </si>
  <si>
    <t>2024-10-26 09:14:05.725722+00:00</t>
  </si>
  <si>
    <t>2024-10-26 12:47:36.797391+00:00</t>
  </si>
  <si>
    <t>2024-10-26 16:49:47.868614+00:00</t>
  </si>
  <si>
    <t>2024-10-26 18:48:32.535625+00:00</t>
  </si>
  <si>
    <t>2024-10-26 21:38:52.537796+00:00</t>
  </si>
  <si>
    <t>2024-10-27 10:01:47.305529+00:00</t>
  </si>
  <si>
    <t>2024-10-27 10:07:24.797837+00:00</t>
  </si>
  <si>
    <t>2024-10-27 15:43:31.339593+00:00</t>
  </si>
  <si>
    <t>2024-10-29 07:51:26.521374+00:00</t>
  </si>
  <si>
    <t>2024-10-29 08:40:26.054918+00:00</t>
  </si>
  <si>
    <t>2024-10-29 10:27:23.905879+00:00</t>
  </si>
  <si>
    <t>2024-10-30 12:33:52.785964+00:00</t>
  </si>
  <si>
    <t>2024-10-31 15:46:12.171945+00:00</t>
  </si>
  <si>
    <t>2024-10-31 19:52:09.398206+00:00</t>
  </si>
  <si>
    <t>2024-10-31 21:11:20.175203+00:00</t>
  </si>
  <si>
    <t>2024-10-31 21:26:20.103078+00:00</t>
  </si>
  <si>
    <t>2024-10-31 22:23:23.592957+00:00</t>
  </si>
  <si>
    <t>2024-11-06 12:30:27.067043+00:00</t>
  </si>
  <si>
    <t>2024-11-06 19:01:24.513698+00:00</t>
  </si>
  <si>
    <t>2024-11-08 08:25:21.542062+00:00</t>
  </si>
  <si>
    <t>2024-11-08 20:58:49.780842+00:00</t>
  </si>
  <si>
    <t>2024-11-09 09:38:05.322840+00:00</t>
  </si>
  <si>
    <t>2024-11-11 15:57:18.931047+00:00</t>
  </si>
  <si>
    <t>2024-11-13 12:05:53.414012+00:00</t>
  </si>
  <si>
    <t>2024-11-13 15:03:50.908253+00:00</t>
  </si>
  <si>
    <t>2024-11-13 19:15:58.597031+00:00</t>
  </si>
  <si>
    <t>2024-11-14 02:57:46.744605+00:00</t>
  </si>
  <si>
    <t>2024-11-14 12:52:17.190870+00:00</t>
  </si>
  <si>
    <t>2024-11-14 15:15:07.241008+00:00</t>
  </si>
  <si>
    <t>2024-11-14 22:11:19.679412+00:00</t>
  </si>
  <si>
    <t>2024-11-15 21:44:13.349790+00:00</t>
  </si>
  <si>
    <t>2024-11-16 00:26:48.221097+00:00</t>
  </si>
  <si>
    <t>2024-11-16 12:50:25.634511+00:00</t>
  </si>
  <si>
    <t>2024-11-16 12:53:13.647836+00:00</t>
  </si>
  <si>
    <t>2024-11-17 06:54:02.549063+00:00</t>
  </si>
  <si>
    <t>2024-11-17 18:41:26.652029+00:00</t>
  </si>
  <si>
    <t>2024-11-18 06:59:08.175096+00:00</t>
  </si>
  <si>
    <t>2024-11-19 04:04:17.123639+00:00</t>
  </si>
  <si>
    <t>2024-11-19 17:50:03.356843+00:00</t>
  </si>
  <si>
    <t>2024-11-19 18:35:13.992945+00:00</t>
  </si>
  <si>
    <t>2024-11-20 20:08:01.238172+00:00</t>
  </si>
  <si>
    <t>2024-11-21 06:51:58.332368+00:00</t>
  </si>
  <si>
    <t>2024-11-21 06:57:30.765445+00:00</t>
  </si>
  <si>
    <t>2024-11-21 18:14:02.535101+00:00</t>
  </si>
  <si>
    <t>2024-11-22 00:48:12.228064+00:00</t>
  </si>
  <si>
    <t>2024-11-22 07:44:17.445220+00:00</t>
  </si>
  <si>
    <t>2024-11-22 07:50:14.666801+00:00</t>
  </si>
  <si>
    <t>2024-11-22 07:53:56.987273+00:00</t>
  </si>
  <si>
    <t>2024-11-22 08:15:27.440264+00:00</t>
  </si>
  <si>
    <t>2024-11-23 09:49:05.547153+00:00</t>
  </si>
  <si>
    <t>2024-11-23 10:51:54.608376+00:00</t>
  </si>
  <si>
    <t>2024-11-23 10:53:22.764851+00:00</t>
  </si>
  <si>
    <t>2024-11-23 13:26:20.769996+00:00</t>
  </si>
  <si>
    <t>2024-11-24 01:35:26.269737+00:00</t>
  </si>
  <si>
    <t>2024-11-24 01:37:56.888219+00:00</t>
  </si>
  <si>
    <t>2024-11-24 17:43:24.804063+00:00</t>
  </si>
  <si>
    <t>2024-11-24 20:37:46.152356+00:00</t>
  </si>
  <si>
    <t>2024-11-25 17:39:16.133897+00:00</t>
  </si>
  <si>
    <t>2024-11-26 01:50:51.137456+00:00</t>
  </si>
  <si>
    <t>2024-11-26 15:52:53.627988+00:00</t>
  </si>
  <si>
    <t>2024-11-26 17:03:42.561419+00:00</t>
  </si>
  <si>
    <t>2024-11-26 17:55:08.775210+00:00</t>
  </si>
  <si>
    <t>2024-11-26 19:41:50.333241+00:00</t>
  </si>
  <si>
    <t>2024-11-26 20:25:51.533751+00:00</t>
  </si>
  <si>
    <t>2024-11-27 13:37:58.682316+00:00</t>
  </si>
  <si>
    <t>2024-11-27 14:39:52.314931+00:00</t>
  </si>
  <si>
    <t>2024-11-28 06:32:53.865137+00:00</t>
  </si>
  <si>
    <t>2024-11-28 18:52:41.745535+00:00</t>
  </si>
  <si>
    <t>2024-11-28 18:53:56.310909+00:00</t>
  </si>
  <si>
    <t>2024-11-28 19:35:56.160912+00:00</t>
  </si>
  <si>
    <t>2024-11-29 09:45:39.870821+00:00</t>
  </si>
  <si>
    <t>2024-11-30 07:37:39.943442+00:00</t>
  </si>
  <si>
    <t>2024-11-30 07:40:09.940183+00:00</t>
  </si>
  <si>
    <t>2024-11-30 11:10:50.673925+00:00</t>
  </si>
  <si>
    <t>2024-11-30 14:51:46.457289+00:00</t>
  </si>
  <si>
    <t>2024-11-30 22:44:40.274642+00:00</t>
  </si>
  <si>
    <t>2024-12-06 07:14:03.905802+00:00</t>
  </si>
  <si>
    <t>2024-12-08 11:33:21.631913+00:00</t>
  </si>
  <si>
    <t>2024-12-10 14:40:42.421793+00:00</t>
  </si>
  <si>
    <t>2024-12-10 14:42:22.325369+00:00</t>
  </si>
  <si>
    <t>2024-12-10 19:11:59.861916+00:00</t>
  </si>
  <si>
    <t>2024-12-11 09:01:39.389062+00:00</t>
  </si>
  <si>
    <t>2024-12-11 20:14:18.484954+00:00</t>
  </si>
  <si>
    <t>2024-12-11 21:25:02.301329+00:00</t>
  </si>
  <si>
    <t>2024-12-12 15:53:55.875533+00:00</t>
  </si>
  <si>
    <t>2024-12-13 08:32:28.994772+00:00</t>
  </si>
  <si>
    <t>2024-12-13 08:34:44.496654+00:00</t>
  </si>
  <si>
    <t>2024-12-13 18:36:24.230156+00:00</t>
  </si>
  <si>
    <t>2024-12-15 02:36:54.412012+00:00</t>
  </si>
  <si>
    <t>2024-12-17 11:48:52.769997+00:00</t>
  </si>
  <si>
    <t>2024-12-17 18:38:47.785315+00:00</t>
  </si>
  <si>
    <t>2024-12-17 21:27:23.355240+00:00</t>
  </si>
  <si>
    <t>2024-12-18 00:52:22.920445+00:00</t>
  </si>
  <si>
    <t>2024-12-18 08:09:52.347298+00:00</t>
  </si>
  <si>
    <t>2024-12-19 19:57:34.213738+00:00</t>
  </si>
  <si>
    <t>2024-12-19 22:43:51.065495+00:00</t>
  </si>
  <si>
    <t>2024-12-21 03:46:20.384967+00:00</t>
  </si>
  <si>
    <t>2024-12-21 08:04:43.025327+00:00</t>
  </si>
  <si>
    <t>2024-12-21 08:06:32.259944+00:00</t>
  </si>
  <si>
    <t>2024-12-21 08:07:57.922336+00:00</t>
  </si>
  <si>
    <t>2024-12-21 08:10:36.996037+00:00</t>
  </si>
  <si>
    <t>2024-12-21 13:26:50.392153+00:00</t>
  </si>
  <si>
    <t>2024-12-23 02:12:32.725776+00:00</t>
  </si>
  <si>
    <t>2024-12-23 08:17:28.637689+00:00</t>
  </si>
  <si>
    <t>2024-12-23 08:21:41.970683+00:00</t>
  </si>
  <si>
    <t>2024-12-23 14:26:23.011424+00:00</t>
  </si>
  <si>
    <t>2024-12-23 17:41:53.402436+00:00</t>
  </si>
  <si>
    <t>2024-12-23 19:39:29.152727+00:00</t>
  </si>
  <si>
    <t>2024-12-24 08:56:59.992064+00:00</t>
  </si>
  <si>
    <t>2024-12-24 13:09:53.594034+00:00</t>
  </si>
  <si>
    <t>2024-12-24 13:11:10.161646+00:00</t>
  </si>
  <si>
    <t>2024-12-24 13:12:57.673012+00:00</t>
  </si>
  <si>
    <t>2024-12-25 01:55:01.608401+00:00</t>
  </si>
  <si>
    <t>2024-12-25 13:51:52.148551+00:00</t>
  </si>
  <si>
    <t>2024-12-25 20:40:02.166286+00:00</t>
  </si>
  <si>
    <t>2024-12-26 14:05:19.668281+00:00</t>
  </si>
  <si>
    <t>2024-12-27 16:18:19.920510+00:00</t>
  </si>
  <si>
    <t>2024-12-27 19:22:47.042917+00:00</t>
  </si>
  <si>
    <t>2024-12-28 10:12:22.334905+00:00</t>
  </si>
  <si>
    <t>2024-12-29 02:50:00.823244+00:00</t>
  </si>
  <si>
    <t>2024-12-29 18:10:02.923204+00:00</t>
  </si>
  <si>
    <t>2024-12-29 19:25:44.241159+00:00</t>
  </si>
  <si>
    <t>2024-12-30 08:16:28.134172+00:00</t>
  </si>
  <si>
    <t>2024-12-30 17:53:19.443021+00:00</t>
  </si>
  <si>
    <t>2024-12-31 08:11:16.088256+00:00</t>
  </si>
  <si>
    <t>2024-12-31 08:12:25.242731+00:00</t>
  </si>
  <si>
    <t>2024-12-31 10:50:58.144938+00:00</t>
  </si>
  <si>
    <t>2024-12-31 17:53:03.484985+00:00</t>
  </si>
  <si>
    <t>2024-12-31 17:57:02.298233+00:00</t>
  </si>
  <si>
    <t>2024-12-31 22:08:37.131896+00:00</t>
  </si>
  <si>
    <t>2024-01-09 15:59:24.193036+00:00</t>
  </si>
  <si>
    <t>Electricity Token - Any Amount</t>
  </si>
  <si>
    <t>2024-01-19 14:57:04.868306+00:00</t>
  </si>
  <si>
    <t>2024-01-27 22:21:31.927306+00:00</t>
  </si>
  <si>
    <t>2024-02-01 12:48:51.823490+00:00</t>
  </si>
  <si>
    <t>2024-02-03 15:51:24.313293+00:00</t>
  </si>
  <si>
    <t>2024-02-11 16:23:03.161857+00:00</t>
  </si>
  <si>
    <t>2024-02-13 07:29:39.177650+00:00</t>
  </si>
  <si>
    <t>2024-02-19 03:35:14.745156+00:00</t>
  </si>
  <si>
    <t>2024-02-23 20:15:07.723346+00:00</t>
  </si>
  <si>
    <t>2024-02-27 00:53:50.530215+00:00</t>
  </si>
  <si>
    <t>2024-02-29 09:14:01.323366+00:00</t>
  </si>
  <si>
    <t>2024-02-29 18:52:18.815979+00:00</t>
  </si>
  <si>
    <t>2024-03-01 13:38:05.305453+00:00</t>
  </si>
  <si>
    <t>2024-03-05 15:08:52.803100+00:00</t>
  </si>
  <si>
    <t>2024-03-11 13:34:15.330394+00:00</t>
  </si>
  <si>
    <t>2024-03-12 19:13:52.979666+00:00</t>
  </si>
  <si>
    <t>2024-03-24 20:41:05.453980+00:00</t>
  </si>
  <si>
    <t>2024-03-28 20:33:02.544642+00:00</t>
  </si>
  <si>
    <t>2024-03-30 11:29:58.112433+00:00</t>
  </si>
  <si>
    <t>2024-03-30 14:12:17.282712+00:00</t>
  </si>
  <si>
    <t>2024-03-30 14:54:28.080024+00:00</t>
  </si>
  <si>
    <t>2024-03-30 20:24:01.443419+00:00</t>
  </si>
  <si>
    <t>2024-04-02 09:19:37.882890+00:00</t>
  </si>
  <si>
    <t>2024-04-04 05:52:35.334002+00:00</t>
  </si>
  <si>
    <t>2024-04-07 17:04:47.584287+00:00</t>
  </si>
  <si>
    <t>2024-04-07 20:15:54.814578+00:00</t>
  </si>
  <si>
    <t>2024-04-12 14:44:03.883281+00:00</t>
  </si>
  <si>
    <t>2024-04-12 18:44:23.700662+00:00</t>
  </si>
  <si>
    <t>2024-04-12 20:10:13.239802+00:00</t>
  </si>
  <si>
    <t>2024-04-13 09:54:42.407120+00:00</t>
  </si>
  <si>
    <t>2024-04-24 19:02:50.264069+00:00</t>
  </si>
  <si>
    <t>2024-05-02 14:27:20.094095+00:00</t>
  </si>
  <si>
    <t>2024-05-04 04:08:41.233636+00:00</t>
  </si>
  <si>
    <t>2024-05-08 06:39:03.872164+00:00</t>
  </si>
  <si>
    <t>2024-05-09 19:23:28.422045+00:00</t>
  </si>
  <si>
    <t>2024-05-12 22:57:03.021688+00:00</t>
  </si>
  <si>
    <t>2024-05-14 19:53:27.444581+00:00</t>
  </si>
  <si>
    <t>Electricity Token</t>
  </si>
  <si>
    <t>2024-05-20 18:50:17.298945+00:00</t>
  </si>
  <si>
    <t>2024-05-21 15:39:45.117803+00:00</t>
  </si>
  <si>
    <t>2024-05-23 07:10:41.284945+00:00</t>
  </si>
  <si>
    <t>2024-05-31 12:59:51.143928+00:00</t>
  </si>
  <si>
    <t>2024-06-01 20:52:22.132719+00:00</t>
  </si>
  <si>
    <t>2024-06-03 16:26:47.861248+00:00</t>
  </si>
  <si>
    <t>2024-06-05 22:28:44.377585+00:00</t>
  </si>
  <si>
    <t>2024-06-08 08:13:33.203270+00:00</t>
  </si>
  <si>
    <t>2024-06-15 03:21:18.377805+00:00</t>
  </si>
  <si>
    <t>2024-06-15 20:37:58.133952+00:00</t>
  </si>
  <si>
    <t>2024-06-22 08:13:32.003483+00:00</t>
  </si>
  <si>
    <t>2024-07-03 10:21:32.678898+00:00</t>
  </si>
  <si>
    <t>2024-07-03 12:16:23.016393+00:00</t>
  </si>
  <si>
    <t>2024-07-03 18:49:32.633838+00:00</t>
  </si>
  <si>
    <t>2024-07-04 00:42:57.113363+00:00</t>
  </si>
  <si>
    <t>2024-07-04 15:49:33.279986+00:00</t>
  </si>
  <si>
    <t>2024-07-10 11:41:43.113054+00:00</t>
  </si>
  <si>
    <t>2024-07-10 16:40:12.859648+00:00</t>
  </si>
  <si>
    <t>2024-07-16 05:45:40.020512+00:00</t>
  </si>
  <si>
    <t>2024-07-18 16:26:07.743594+00:00</t>
  </si>
  <si>
    <t>2024-07-19 09:03:19.338214+00:00</t>
  </si>
  <si>
    <t>2024-07-20 02:33:53.398853+00:00</t>
  </si>
  <si>
    <t>2024-07-20 20:17:15.845805+00:00</t>
  </si>
  <si>
    <t>2024-08-01 09:54:10.364293+00:00</t>
  </si>
  <si>
    <t>2024-08-03 19:06:41.874078+00:00</t>
  </si>
  <si>
    <t>2024-08-04 15:26:48.108542+00:00</t>
  </si>
  <si>
    <t>2024-08-05 07:55:49.087000+00:00</t>
  </si>
  <si>
    <t>2024-08-11 08:09:34.439112+00:00</t>
  </si>
  <si>
    <t>2024-08-11 09:04:34.047041+00:00</t>
  </si>
  <si>
    <t>2024-08-12 23:08:45.393097+00:00</t>
  </si>
  <si>
    <t>2024-08-20 08:06:45.486843+00:00</t>
  </si>
  <si>
    <t>2024-08-20 08:19:32.721079+00:00</t>
  </si>
  <si>
    <t>2024-08-22 11:47:48.378559+00:00</t>
  </si>
  <si>
    <t>2024-08-26 16:09:36.360573+00:00</t>
  </si>
  <si>
    <t>2024-09-05 11:06:38.616764+00:00</t>
  </si>
  <si>
    <t>2024-09-08 12:34:56.093917+00:00</t>
  </si>
  <si>
    <t>2024-09-08 19:17:34.748004+00:00</t>
  </si>
  <si>
    <t>2024-09-14 05:32:29.201595+00:00</t>
  </si>
  <si>
    <t>2024-09-16 18:49:04.723496+00:00</t>
  </si>
  <si>
    <t>2024-09-23 11:23:57.796324+00:00</t>
  </si>
  <si>
    <t>2024-09-25 16:01:04.399029+00:00</t>
  </si>
  <si>
    <t>2024-10-02 17:26:52.146301+00:00</t>
  </si>
  <si>
    <t>2024-10-08 20:23:55.603199+00:00</t>
  </si>
  <si>
    <t>2024-10-19 08:32:24.007468+00:00</t>
  </si>
  <si>
    <t>2024-10-22 08:10:52.068444+00:00</t>
  </si>
  <si>
    <t>2024-10-23 20:13:33.576380+00:00</t>
  </si>
  <si>
    <t>2024-10-30 09:22:26.461441+00:00</t>
  </si>
  <si>
    <t>2024-11-04 22:23:36.314127+00:00</t>
  </si>
  <si>
    <t>2024-11-05 21:04:37.148705+00:00</t>
  </si>
  <si>
    <t>2024-11-06 14:45:59.532731+00:00</t>
  </si>
  <si>
    <t>2024-11-10 06:16:39.623313+00:00</t>
  </si>
  <si>
    <t>2024-11-10 17:26:07.278389+00:00</t>
  </si>
  <si>
    <t>2024-11-11 17:39:12.983164+00:00</t>
  </si>
  <si>
    <t>2024-11-20 06:52:28.008956+00:00</t>
  </si>
  <si>
    <t>2024-11-21 01:15:01.622561+00:00</t>
  </si>
  <si>
    <t>2024-11-21 08:10:34.196601+00:00</t>
  </si>
  <si>
    <t>2024-11-24 12:35:05.510307+00:00</t>
  </si>
  <si>
    <t>2024-11-27 07:27:47.895671+00:00</t>
  </si>
  <si>
    <t>2024-11-29 02:24:22.508462+00:00</t>
  </si>
  <si>
    <t>2024-11-29 10:22:24.810646+00:00</t>
  </si>
  <si>
    <t>2024-12-04 06:53:58.685429+00:00</t>
  </si>
  <si>
    <t>2024-12-04 10:28:45.569717+00:00</t>
  </si>
  <si>
    <t>2024-12-06 15:52:54.277771+00:00</t>
  </si>
  <si>
    <t>2024-12-12 19:54:43.956794+00:00</t>
  </si>
  <si>
    <t>2024-12-18 17:57:12.094540+00:00</t>
  </si>
  <si>
    <t>2024-12-20 13:37:17.435906+00:00</t>
  </si>
  <si>
    <t>2024-12-21 13:20:58.329495+00:00</t>
  </si>
  <si>
    <t>2024-12-21 13:25:54.345634+00:00</t>
  </si>
  <si>
    <t>2024-12-25 20:32:32.411759+00:00</t>
  </si>
  <si>
    <t>2024-12-27 22:51:08.771017+00:00</t>
  </si>
  <si>
    <t>2024-12-28 18:57:26.437967+00:00</t>
  </si>
  <si>
    <t>Balance payment Fixed Charge November 2024</t>
  </si>
  <si>
    <t>2024-11-11 18:20:46.901130+00:00</t>
  </si>
  <si>
    <t>Balance Payment -Annual Service Charge Year 2024/2025</t>
  </si>
  <si>
    <t>Balance Monthly Service Charge | Outstanding (Sep 2024)</t>
  </si>
  <si>
    <t>2024-02-22 14:28:38.386109+00:00</t>
  </si>
  <si>
    <t>Balance December 2023 8250.00 &amp; January 2024 10,000.00</t>
  </si>
  <si>
    <t>Balance - Half Service Charge Year 2024/2025</t>
  </si>
  <si>
    <t>2024-06-01 19:40:00.448152+00:00</t>
  </si>
  <si>
    <t>Bal. Service Charge May 2024</t>
  </si>
  <si>
    <t>2024-05-31 13:48:16.416694+00:00</t>
  </si>
  <si>
    <t>Bal Service charge till May 2024</t>
  </si>
  <si>
    <t>2023 Sinking Fund + Penalty</t>
  </si>
  <si>
    <t>2024-02-21 14:46:19.643222+00:00</t>
  </si>
  <si>
    <t>2023 Service Charge</t>
  </si>
  <si>
    <t>Duration End</t>
  </si>
  <si>
    <t>Duration Start</t>
  </si>
  <si>
    <t>Landlord Contact</t>
  </si>
  <si>
    <t>Landlord Name</t>
  </si>
  <si>
    <t>Last Name</t>
  </si>
  <si>
    <t>First Name</t>
  </si>
  <si>
    <t>Martin</t>
  </si>
  <si>
    <t>Power_House Common_Area</t>
  </si>
  <si>
    <t>Block_D Common_Area</t>
  </si>
  <si>
    <t>Block C_Common_Area</t>
  </si>
  <si>
    <t>Block_A Common_Area</t>
  </si>
  <si>
    <t>Block_B Common_Area</t>
  </si>
  <si>
    <t>Elizabeth</t>
  </si>
  <si>
    <t>Barbara</t>
  </si>
  <si>
    <t>Martinez</t>
  </si>
  <si>
    <t>Power_House</t>
  </si>
  <si>
    <t>Common_Area</t>
  </si>
  <si>
    <t>Patricia</t>
  </si>
  <si>
    <t>Williams</t>
  </si>
  <si>
    <t>Block_D</t>
  </si>
  <si>
    <t>Apartment</t>
  </si>
  <si>
    <t>A4</t>
  </si>
  <si>
    <t>Andrew</t>
  </si>
  <si>
    <t>Allen</t>
  </si>
  <si>
    <t>Anthony</t>
  </si>
  <si>
    <t>Robinson</t>
  </si>
  <si>
    <t>Donna</t>
  </si>
  <si>
    <t>Torres</t>
  </si>
  <si>
    <t>Michael</t>
  </si>
  <si>
    <t>Wright</t>
  </si>
  <si>
    <t>Donald</t>
  </si>
  <si>
    <t>Jones</t>
  </si>
  <si>
    <t>Paul</t>
  </si>
  <si>
    <t>Garcia</t>
  </si>
  <si>
    <t>Security_Utilities</t>
  </si>
  <si>
    <t>Joshua</t>
  </si>
  <si>
    <t>Harris</t>
  </si>
  <si>
    <t>Karen</t>
  </si>
  <si>
    <t>Rodriguez</t>
  </si>
  <si>
    <t>Perez</t>
  </si>
  <si>
    <t>Susan</t>
  </si>
  <si>
    <t>Nguyen</t>
  </si>
  <si>
    <t>Thomas</t>
  </si>
  <si>
    <t>Sanchez</t>
  </si>
  <si>
    <t>Lisa</t>
  </si>
  <si>
    <t>Clark</t>
  </si>
  <si>
    <t>Jennifer</t>
  </si>
  <si>
    <t>Lewis</t>
  </si>
  <si>
    <t>Michelle</t>
  </si>
  <si>
    <t>Wilson</t>
  </si>
  <si>
    <t>Daniel</t>
  </si>
  <si>
    <t>Ramirez</t>
  </si>
  <si>
    <t>Massionette</t>
  </si>
  <si>
    <t>Mark</t>
  </si>
  <si>
    <t>Emily</t>
  </si>
  <si>
    <t>Lopez</t>
  </si>
  <si>
    <t>Betty</t>
  </si>
  <si>
    <t>Block</t>
  </si>
  <si>
    <t>C_Common_Area</t>
  </si>
  <si>
    <t>Terrace_Area</t>
  </si>
  <si>
    <t>Robert</t>
  </si>
  <si>
    <t>Nancy</t>
  </si>
  <si>
    <t>Sarah</t>
  </si>
  <si>
    <t>Mary</t>
  </si>
  <si>
    <t>Hernandez</t>
  </si>
  <si>
    <t>James</t>
  </si>
  <si>
    <t>Block_A</t>
  </si>
  <si>
    <t>Block_B</t>
  </si>
  <si>
    <t>Dorothy</t>
  </si>
  <si>
    <t>&amp;</t>
  </si>
  <si>
    <t>Jane</t>
  </si>
  <si>
    <t>Jackson</t>
  </si>
  <si>
    <t>Walker</t>
  </si>
  <si>
    <t>A8</t>
  </si>
  <si>
    <t>C3</t>
  </si>
  <si>
    <t>B5</t>
  </si>
  <si>
    <t>B4</t>
  </si>
  <si>
    <t>B2</t>
  </si>
  <si>
    <t>D2</t>
  </si>
  <si>
    <t>D3</t>
  </si>
  <si>
    <t>D5</t>
  </si>
  <si>
    <t>C4</t>
  </si>
  <si>
    <t>D7</t>
  </si>
  <si>
    <t>I1</t>
  </si>
  <si>
    <t>I2</t>
  </si>
  <si>
    <t>D1</t>
  </si>
  <si>
    <t>D6</t>
  </si>
  <si>
    <t>B1</t>
  </si>
  <si>
    <t>C5</t>
  </si>
  <si>
    <t>I4</t>
  </si>
  <si>
    <t>B8</t>
  </si>
  <si>
    <t>C2</t>
  </si>
  <si>
    <t>A7</t>
  </si>
  <si>
    <t>B7</t>
  </si>
  <si>
    <t>C6</t>
  </si>
  <si>
    <t>A1</t>
  </si>
  <si>
    <t>B6</t>
  </si>
  <si>
    <t>A2</t>
  </si>
  <si>
    <t>DPH</t>
  </si>
  <si>
    <t>C7</t>
  </si>
  <si>
    <t>APH</t>
  </si>
  <si>
    <t>D4</t>
  </si>
  <si>
    <t>C8</t>
  </si>
  <si>
    <t>A5</t>
  </si>
  <si>
    <t>I3</t>
  </si>
  <si>
    <t>D8</t>
  </si>
  <si>
    <t>C1</t>
  </si>
  <si>
    <t>A3</t>
  </si>
  <si>
    <t>B3</t>
  </si>
  <si>
    <t>Block A</t>
  </si>
  <si>
    <t>Block C</t>
  </si>
  <si>
    <t>Power House Common Area Area</t>
  </si>
  <si>
    <t>Power House</t>
  </si>
  <si>
    <t>Block B</t>
  </si>
  <si>
    <t>Block D</t>
  </si>
  <si>
    <t>Block I</t>
  </si>
  <si>
    <t>Apartment ID</t>
  </si>
  <si>
    <t>Unit Type</t>
  </si>
  <si>
    <t>Management</t>
  </si>
  <si>
    <t>MANAGMENT Office</t>
  </si>
  <si>
    <t>Williams Jef</t>
  </si>
  <si>
    <t>Criteria</t>
  </si>
  <si>
    <t>All Bills</t>
  </si>
  <si>
    <t>Sinking  Fund</t>
  </si>
  <si>
    <t>Total</t>
  </si>
  <si>
    <t>Sum of all Apartment Service Bills</t>
  </si>
  <si>
    <t>Sum of Electricity Recharge</t>
  </si>
  <si>
    <t>Sum of Service Charge</t>
  </si>
  <si>
    <t>Progress</t>
  </si>
  <si>
    <t>Use Pivot Tables to Present Useful Data</t>
  </si>
  <si>
    <t xml:space="preserve">Use Charts to Visualize Service Bills </t>
  </si>
  <si>
    <t>LOOKUP!!!</t>
  </si>
  <si>
    <t>Obstruction Infraction</t>
  </si>
  <si>
    <t>Criteria (All Bills)</t>
  </si>
  <si>
    <t>Sum</t>
  </si>
  <si>
    <t xml:space="preserve"> Sum</t>
  </si>
  <si>
    <t>Row Labels</t>
  </si>
  <si>
    <t>Grand Total</t>
  </si>
  <si>
    <t>Column Labels</t>
  </si>
  <si>
    <t>Supplementary Service</t>
  </si>
  <si>
    <t>Supplementary Service (Prorated)</t>
  </si>
  <si>
    <t>Fixed charge</t>
  </si>
  <si>
    <t>Sum of Selected Service Bill by Apartment</t>
  </si>
  <si>
    <t xml:space="preserve">Maximum Amount - Selected Service Bill </t>
  </si>
  <si>
    <t xml:space="preserve">Minimum Amount - Selected Service Bill </t>
  </si>
  <si>
    <t>Sum of All Service Bills</t>
  </si>
  <si>
    <t>Sum of All Service Bills For The Year</t>
  </si>
  <si>
    <t xml:space="preserve"> Sum of All Service Bills For The Year</t>
  </si>
  <si>
    <t>Power Recharge &amp; Water Bill by the Office &amp; Common Area</t>
  </si>
  <si>
    <t>ESTATE FINANCIAL TRANSACTIONS FOR THE PERIOD OF  JANUARY - DECEMBER 2024</t>
  </si>
  <si>
    <t xml:space="preserve">Sum </t>
  </si>
  <si>
    <t xml:space="preserve">Service Charge </t>
  </si>
  <si>
    <t xml:space="preserve">Fixed Charge </t>
  </si>
  <si>
    <t xml:space="preserve">Water Bill </t>
  </si>
  <si>
    <t>(All)</t>
  </si>
  <si>
    <t>Total Revenue</t>
  </si>
  <si>
    <t>Electricity</t>
  </si>
  <si>
    <t>Top Paying Unit</t>
  </si>
  <si>
    <t>Lowest Paying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</si>
</sst>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46A]* #,##0.00_-;\-[$₦-46A]* #,##0.00_-;_-[$₦-46A]* &quot;-&quot;??_-;_-@_-"/>
    <numFmt numFmtId="165" formatCode="0.0,,\ &quot;M&quot;"/>
    <numFmt numFmtId="166" formatCode="&quot;$&quot;\ 0.0,,&quot;M&quot;"/>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02060"/>
      <name val="Aptos Narrow"/>
      <family val="2"/>
      <scheme val="minor"/>
    </font>
    <font>
      <b/>
      <i/>
      <sz val="12"/>
      <color theme="1"/>
      <name val="Aptos Narrow"/>
      <family val="2"/>
      <scheme val="minor"/>
    </font>
    <font>
      <sz val="11"/>
      <color rgb="FF0070C0"/>
      <name val="Aptos Narrow"/>
      <family val="2"/>
      <scheme val="minor"/>
    </font>
    <font>
      <b/>
      <i/>
      <sz val="12"/>
      <color rgb="FF0070C0"/>
      <name val="Aptos Narrow"/>
      <family val="2"/>
      <scheme val="minor"/>
    </font>
    <font>
      <b/>
      <sz val="11"/>
      <color rgb="FF0070C0"/>
      <name val="Aptos Narrow"/>
      <family val="2"/>
      <scheme val="minor"/>
    </font>
    <font>
      <b/>
      <sz val="16"/>
      <color theme="0"/>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5" tint="0.59999389629810485"/>
        <bgColor indexed="64"/>
      </patternFill>
    </fill>
    <fill>
      <patternFill patternType="solid">
        <fgColor theme="2"/>
        <bgColor indexed="64"/>
      </patternFill>
    </fill>
    <fill>
      <patternFill patternType="solid">
        <fgColor theme="0"/>
        <bgColor indexed="64"/>
      </patternFill>
    </fill>
    <fill>
      <patternFill patternType="solid">
        <fgColor rgb="FFFFFFFF"/>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6" tint="-0.249977111117893"/>
        <bgColor indexed="64"/>
      </patternFill>
    </fill>
    <fill>
      <patternFill patternType="solid">
        <fgColor theme="6"/>
        <bgColor indexed="64"/>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top/>
      <bottom/>
      <diagonal/>
    </border>
    <border>
      <left/>
      <right/>
      <top style="thin">
        <color theme="2" tint="-0.499984740745262"/>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top style="thin">
        <color theme="2" tint="-0.499984740745262"/>
      </top>
      <bottom/>
      <diagonal/>
    </border>
    <border>
      <left/>
      <right style="thin">
        <color theme="2" tint="-0.499984740745262"/>
      </right>
      <top style="thin">
        <color theme="2" tint="-0.499984740745262"/>
      </top>
      <bottom/>
      <diagonal/>
    </border>
    <border>
      <left/>
      <right style="thin">
        <color theme="2" tint="-0.499984740745262"/>
      </right>
      <top/>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diagonal/>
    </border>
    <border>
      <left style="thin">
        <color theme="2" tint="-0.499984740745262"/>
      </left>
      <right/>
      <top style="thin">
        <color theme="4"/>
      </top>
      <bottom style="double">
        <color theme="4"/>
      </bottom>
      <diagonal/>
    </border>
    <border>
      <left style="thin">
        <color theme="4" tint="0.79998168889431442"/>
      </left>
      <right style="thin">
        <color theme="4" tint="0.79998168889431442"/>
      </right>
      <top style="thin">
        <color theme="4" tint="0.79998168889431442"/>
      </top>
      <bottom/>
      <diagonal/>
    </border>
    <border>
      <left style="thin">
        <color theme="5" tint="0.59999389629810485"/>
      </left>
      <right style="thin">
        <color theme="5" tint="0.59999389629810485"/>
      </right>
      <top style="thin">
        <color theme="5" tint="0.59999389629810485"/>
      </top>
      <bottom style="thin">
        <color theme="5" tint="0.59999389629810485"/>
      </bottom>
      <diagonal/>
    </border>
    <border>
      <left style="thin">
        <color theme="5" tint="0.59999389629810485"/>
      </left>
      <right/>
      <top style="thin">
        <color theme="5" tint="0.59999389629810485"/>
      </top>
      <bottom/>
      <diagonal/>
    </border>
    <border>
      <left/>
      <right/>
      <top style="thin">
        <color theme="5" tint="0.59999389629810485"/>
      </top>
      <bottom/>
      <diagonal/>
    </border>
    <border>
      <left/>
      <right style="thin">
        <color theme="5" tint="0.59999389629810485"/>
      </right>
      <top style="thin">
        <color theme="5" tint="0.59999389629810485"/>
      </top>
      <bottom/>
      <diagonal/>
    </border>
    <border>
      <left style="thin">
        <color theme="5" tint="0.59999389629810485"/>
      </left>
      <right/>
      <top/>
      <bottom/>
      <diagonal/>
    </border>
    <border>
      <left/>
      <right style="thin">
        <color theme="5" tint="0.59999389629810485"/>
      </right>
      <top/>
      <bottom/>
      <diagonal/>
    </border>
    <border>
      <left style="thin">
        <color theme="5" tint="0.59999389629810485"/>
      </left>
      <right/>
      <top/>
      <bottom style="thin">
        <color theme="5" tint="0.59999389629810485"/>
      </bottom>
      <diagonal/>
    </border>
    <border>
      <left/>
      <right/>
      <top/>
      <bottom style="thin">
        <color theme="5" tint="0.59999389629810485"/>
      </bottom>
      <diagonal/>
    </border>
    <border>
      <left/>
      <right style="thin">
        <color theme="5" tint="0.59999389629810485"/>
      </right>
      <top/>
      <bottom style="thin">
        <color theme="5" tint="0.59999389629810485"/>
      </bottom>
      <diagonal/>
    </border>
    <border>
      <left style="thin">
        <color theme="5" tint="0.59999389629810485"/>
      </left>
      <right/>
      <top style="thin">
        <color theme="5" tint="0.59999389629810485"/>
      </top>
      <bottom style="thin">
        <color theme="5" tint="0.59999389629810485"/>
      </bottom>
      <diagonal/>
    </border>
    <border>
      <left/>
      <right/>
      <top style="thin">
        <color theme="5" tint="0.59999389629810485"/>
      </top>
      <bottom style="thin">
        <color theme="5" tint="0.59999389629810485"/>
      </bottom>
      <diagonal/>
    </border>
    <border>
      <left/>
      <right style="thin">
        <color theme="5" tint="0.59999389629810485"/>
      </right>
      <top style="thin">
        <color theme="5" tint="0.59999389629810485"/>
      </top>
      <bottom style="thin">
        <color theme="5" tint="0.59999389629810485"/>
      </bottom>
      <diagonal/>
    </border>
    <border>
      <left/>
      <right style="thin">
        <color theme="4" tint="0.79998168889431442"/>
      </right>
      <top style="thin">
        <color theme="4" tint="0.79998168889431442"/>
      </top>
      <bottom style="thin">
        <color theme="4" tint="0.79998168889431442"/>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65">
    <xf numFmtId="0" fontId="0" fillId="0" borderId="0" xfId="0"/>
    <xf numFmtId="43" fontId="0" fillId="0" borderId="0" xfId="42" applyFont="1"/>
    <xf numFmtId="14" fontId="0" fillId="0" borderId="0" xfId="0" applyNumberFormat="1"/>
    <xf numFmtId="0" fontId="0" fillId="0" borderId="0" xfId="0" applyAlignment="1">
      <alignment horizontal="center"/>
    </xf>
    <xf numFmtId="0" fontId="0" fillId="0" borderId="0" xfId="0" applyAlignment="1">
      <alignment horizontal="left"/>
    </xf>
    <xf numFmtId="0" fontId="13" fillId="33" borderId="0" xfId="0" applyFont="1" applyFill="1" applyAlignment="1">
      <alignment horizontal="center"/>
    </xf>
    <xf numFmtId="0" fontId="0" fillId="34" borderId="0" xfId="0" applyFill="1" applyAlignment="1">
      <alignment horizontal="center"/>
    </xf>
    <xf numFmtId="164" fontId="16" fillId="35" borderId="10" xfId="42" applyNumberFormat="1" applyFont="1" applyFill="1" applyBorder="1"/>
    <xf numFmtId="0" fontId="0" fillId="36" borderId="0" xfId="0" applyFill="1" applyAlignment="1">
      <alignment horizontal="center"/>
    </xf>
    <xf numFmtId="164" fontId="16" fillId="35" borderId="10" xfId="0" applyNumberFormat="1" applyFont="1" applyFill="1" applyBorder="1"/>
    <xf numFmtId="0" fontId="0" fillId="34" borderId="11" xfId="0" applyFill="1" applyBorder="1" applyAlignment="1">
      <alignment horizontal="center"/>
    </xf>
    <xf numFmtId="0" fontId="0" fillId="34" borderId="16" xfId="0" applyFill="1" applyBorder="1" applyAlignment="1">
      <alignment horizontal="center"/>
    </xf>
    <xf numFmtId="0" fontId="13" fillId="33" borderId="20" xfId="0" applyFont="1" applyFill="1" applyBorder="1" applyAlignment="1">
      <alignment horizontal="center"/>
    </xf>
    <xf numFmtId="0" fontId="13" fillId="33" borderId="21" xfId="0" applyFont="1" applyFill="1" applyBorder="1" applyAlignment="1">
      <alignment horizontal="center"/>
    </xf>
    <xf numFmtId="0" fontId="13" fillId="33" borderId="22" xfId="0" applyFont="1" applyFill="1" applyBorder="1" applyAlignment="1">
      <alignment horizontal="center"/>
    </xf>
    <xf numFmtId="164" fontId="16" fillId="35" borderId="24" xfId="42" applyNumberFormat="1" applyFont="1" applyFill="1" applyBorder="1"/>
    <xf numFmtId="164" fontId="18" fillId="0" borderId="23" xfId="0" applyNumberFormat="1" applyFont="1" applyBorder="1"/>
    <xf numFmtId="0" fontId="0" fillId="37" borderId="0" xfId="0" applyFill="1"/>
    <xf numFmtId="43" fontId="1" fillId="0" borderId="0" xfId="0" applyNumberFormat="1" applyFont="1"/>
    <xf numFmtId="0" fontId="1" fillId="0" borderId="0" xfId="0" applyFont="1"/>
    <xf numFmtId="164" fontId="16" fillId="37" borderId="0" xfId="42" applyNumberFormat="1" applyFont="1" applyFill="1" applyBorder="1"/>
    <xf numFmtId="0" fontId="0" fillId="37" borderId="26" xfId="0" applyFill="1" applyBorder="1" applyAlignment="1">
      <alignment horizontal="left"/>
    </xf>
    <xf numFmtId="0" fontId="16" fillId="37" borderId="27" xfId="0" applyFont="1" applyFill="1" applyBorder="1" applyAlignment="1">
      <alignment horizontal="center"/>
    </xf>
    <xf numFmtId="0" fontId="0" fillId="37" borderId="29" xfId="0" applyFill="1" applyBorder="1" applyAlignment="1">
      <alignment horizontal="left"/>
    </xf>
    <xf numFmtId="0" fontId="0" fillId="37" borderId="31" xfId="0" applyFill="1" applyBorder="1" applyAlignment="1">
      <alignment horizontal="left"/>
    </xf>
    <xf numFmtId="0" fontId="0" fillId="0" borderId="32" xfId="0" applyBorder="1"/>
    <xf numFmtId="0" fontId="0" fillId="37" borderId="30" xfId="0" applyFill="1" applyBorder="1">
      <extLst>
        <ext xmlns:xfpb="http://schemas.microsoft.com/office/spreadsheetml/2022/featurepropertybag" uri="{C7286773-470A-42A8-94C5-96B5CB345126}">
          <xfpb:xfComplement i="0"/>
        </ext>
      </extLst>
    </xf>
    <xf numFmtId="0" fontId="0" fillId="37" borderId="28" xfId="0" applyFill="1" applyBorder="1">
      <extLst>
        <ext xmlns:xfpb="http://schemas.microsoft.com/office/spreadsheetml/2022/featurepropertybag" uri="{C7286773-470A-42A8-94C5-96B5CB345126}">
          <xfpb:xfComplement i="0"/>
        </ext>
      </extLst>
    </xf>
    <xf numFmtId="0" fontId="0" fillId="37" borderId="33" xfId="0" applyFill="1" applyBorder="1">
      <extLst>
        <ext xmlns:xfpb="http://schemas.microsoft.com/office/spreadsheetml/2022/featurepropertybag" uri="{C7286773-470A-42A8-94C5-96B5CB345126}">
          <xfpb:xfComplement i="0"/>
        </ext>
      </extLst>
    </xf>
    <xf numFmtId="164" fontId="16" fillId="36" borderId="0" xfId="0" applyNumberFormat="1" applyFont="1" applyFill="1"/>
    <xf numFmtId="164" fontId="16" fillId="36" borderId="0" xfId="42" applyNumberFormat="1" applyFont="1" applyFill="1" applyBorder="1"/>
    <xf numFmtId="0" fontId="0" fillId="36" borderId="0" xfId="0" applyFill="1"/>
    <xf numFmtId="164" fontId="16" fillId="35" borderId="37" xfId="42" applyNumberFormat="1" applyFont="1" applyFill="1" applyBorder="1"/>
    <xf numFmtId="0" fontId="0" fillId="34" borderId="25" xfId="0" applyFill="1" applyBorder="1" applyAlignment="1">
      <alignment horizontal="center"/>
    </xf>
    <xf numFmtId="10" fontId="13" fillId="33" borderId="36" xfId="0" applyNumberFormat="1" applyFont="1" applyFill="1" applyBorder="1" applyAlignment="1">
      <alignment horizontal="center"/>
    </xf>
    <xf numFmtId="0" fontId="0" fillId="34" borderId="11" xfId="0" applyFill="1" applyBorder="1" applyAlignment="1">
      <alignment horizontal="center" wrapText="1"/>
    </xf>
    <xf numFmtId="43" fontId="0" fillId="0" borderId="0" xfId="0" applyNumberFormat="1"/>
    <xf numFmtId="0" fontId="0" fillId="0" borderId="0" xfId="0" pivotButton="1"/>
    <xf numFmtId="0" fontId="0" fillId="0" borderId="0" xfId="0" pivotButton="1" applyAlignment="1">
      <alignment wrapText="1"/>
    </xf>
    <xf numFmtId="0" fontId="0" fillId="0" borderId="0" xfId="0" applyAlignment="1">
      <alignment wrapText="1"/>
    </xf>
    <xf numFmtId="0" fontId="16" fillId="36" borderId="0" xfId="0" applyFont="1" applyFill="1"/>
    <xf numFmtId="0" fontId="13" fillId="36" borderId="0" xfId="0" applyFont="1" applyFill="1" applyAlignment="1">
      <alignment horizontal="center"/>
    </xf>
    <xf numFmtId="0" fontId="0" fillId="37" borderId="0" xfId="0" applyFill="1" applyAlignment="1">
      <alignment horizontal="center"/>
    </xf>
    <xf numFmtId="0" fontId="16" fillId="0" borderId="0" xfId="0" pivotButton="1" applyFont="1"/>
    <xf numFmtId="0" fontId="22" fillId="36" borderId="25" xfId="0" applyFont="1" applyFill="1" applyBorder="1" applyAlignment="1">
      <alignment horizontal="center"/>
    </xf>
    <xf numFmtId="164" fontId="0" fillId="0" borderId="0" xfId="0" applyNumberFormat="1"/>
    <xf numFmtId="0" fontId="0" fillId="40" borderId="0" xfId="0" applyFill="1"/>
    <xf numFmtId="0" fontId="20" fillId="40" borderId="0" xfId="0" applyFont="1" applyFill="1"/>
    <xf numFmtId="43" fontId="20" fillId="40" borderId="0" xfId="42" applyFont="1" applyFill="1"/>
    <xf numFmtId="165" fontId="0" fillId="40" borderId="0" xfId="0" applyNumberFormat="1" applyFill="1"/>
    <xf numFmtId="166" fontId="0" fillId="40" borderId="0" xfId="42" applyNumberFormat="1" applyFont="1" applyFill="1"/>
    <xf numFmtId="166" fontId="0" fillId="40" borderId="0" xfId="0" applyNumberFormat="1" applyFill="1"/>
    <xf numFmtId="166" fontId="0" fillId="40" borderId="0" xfId="0" applyNumberFormat="1" applyFill="1" applyAlignment="1">
      <alignment horizontal="right"/>
    </xf>
    <xf numFmtId="0" fontId="16" fillId="0" borderId="12" xfId="0" applyFont="1" applyBorder="1" applyAlignment="1">
      <alignment horizontal="center"/>
    </xf>
    <xf numFmtId="0" fontId="16" fillId="0" borderId="13" xfId="0" applyFont="1" applyBorder="1" applyAlignment="1">
      <alignment horizontal="center"/>
    </xf>
    <xf numFmtId="0" fontId="21" fillId="39" borderId="14" xfId="0" applyFont="1" applyFill="1" applyBorder="1" applyAlignment="1">
      <alignment horizontal="center"/>
    </xf>
    <xf numFmtId="0" fontId="21" fillId="39" borderId="0" xfId="0" applyFont="1" applyFill="1" applyAlignment="1">
      <alignment horizontal="center"/>
    </xf>
    <xf numFmtId="0" fontId="23" fillId="41" borderId="0" xfId="0" applyFont="1" applyFill="1" applyAlignment="1">
      <alignment horizontal="center" vertical="center"/>
    </xf>
    <xf numFmtId="0" fontId="19" fillId="38" borderId="34" xfId="0" applyFont="1" applyFill="1" applyBorder="1" applyAlignment="1">
      <alignment horizontal="center"/>
    </xf>
    <xf numFmtId="0" fontId="19" fillId="38" borderId="35" xfId="0" applyFont="1" applyFill="1" applyBorder="1" applyAlignment="1">
      <alignment horizontal="center"/>
    </xf>
    <xf numFmtId="0" fontId="22" fillId="36" borderId="14" xfId="0" applyFont="1" applyFill="1" applyBorder="1" applyAlignment="1">
      <alignment horizontal="center"/>
    </xf>
    <xf numFmtId="0" fontId="22" fillId="36" borderId="19" xfId="0" applyFont="1" applyFill="1" applyBorder="1" applyAlignment="1">
      <alignment horizontal="center"/>
    </xf>
    <xf numFmtId="0" fontId="16" fillId="0" borderId="15" xfId="0" applyFont="1" applyBorder="1" applyAlignment="1">
      <alignment horizontal="center"/>
    </xf>
    <xf numFmtId="0" fontId="13" fillId="33" borderId="17" xfId="0" applyFont="1" applyFill="1" applyBorder="1" applyAlignment="1">
      <alignment horizontal="center"/>
    </xf>
    <xf numFmtId="0" fontId="13" fillId="33" borderId="18"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4">
    <dxf>
      <alignment wrapText="1"/>
    </dxf>
    <dxf>
      <alignment wrapText="1"/>
    </dxf>
    <dxf>
      <alignment wrapText="1"/>
    </dxf>
    <dxf>
      <numFmt numFmtId="164" formatCode="_-[$₦-46A]* #,##0.00_-;\-[$₦-46A]* #,##0.00_-;_-[$₦-46A]* &quot;-&quot;??_-;_-@_-"/>
    </dxf>
    <dxf>
      <alignment wrapText="1"/>
    </dxf>
    <dxf>
      <alignment wrapText="1"/>
    </dxf>
    <dxf>
      <alignment wrapText="1"/>
    </dxf>
    <dxf>
      <font>
        <b/>
      </font>
    </dxf>
    <dxf>
      <alignment wrapText="1"/>
    </dxf>
    <dxf>
      <alignment wrapText="1"/>
    </dxf>
    <dxf>
      <alignment wrapText="1"/>
    </dxf>
    <dxf>
      <alignment wrapText="1"/>
    </dxf>
    <dxf>
      <alignment wrapText="1"/>
    </dxf>
    <dxf>
      <alignment wrapText="1"/>
    </dxf>
    <dxf>
      <alignment wrapText="1"/>
    </dxf>
    <dxf>
      <alignment wrapText="1"/>
    </dxf>
    <dxf>
      <numFmt numFmtId="164" formatCode="_-[$₦-46A]* #,##0.00_-;\-[$₦-46A]* #,##0.00_-;_-[$₦-46A]* &quot;-&quot;??_-;_-@_-"/>
    </dxf>
    <dxf>
      <alignment wrapText="1"/>
    </dxf>
    <dxf>
      <alignment wrapText="1"/>
    </dxf>
    <dxf>
      <alignment wrapText="1"/>
    </dxf>
    <dxf>
      <font>
        <b/>
      </font>
    </dxf>
    <dxf>
      <alignment wrapText="1"/>
    </dxf>
    <dxf>
      <alignment wrapText="1"/>
    </dxf>
    <dxf>
      <alignment wrapText="1"/>
    </dxf>
    <dxf>
      <alignment wrapText="1"/>
    </dxf>
    <dxf>
      <alignment wrapText="1"/>
    </dxf>
    <dxf>
      <alignment wrapText="1"/>
    </dxf>
    <dxf>
      <alignment wrapText="1"/>
    </dxf>
    <dxf>
      <alignment wrapText="1"/>
    </dxf>
    <dxf>
      <numFmt numFmtId="164" formatCode="_-[$₦-46A]* #,##0.00_-;\-[$₦-46A]* #,##0.00_-;_-[$₦-46A]* &quot;-&quot;??_-;_-@_-"/>
    </dxf>
    <dxf>
      <alignment wrapText="1"/>
    </dxf>
    <dxf>
      <alignment wrapText="1"/>
    </dxf>
    <dxf>
      <alignment wrapText="1"/>
    </dxf>
    <dxf>
      <font>
        <b/>
      </font>
    </dxf>
    <dxf>
      <alignment wrapText="1"/>
    </dxf>
    <dxf>
      <alignment wrapText="1"/>
    </dxf>
    <dxf>
      <alignment wrapText="1"/>
    </dxf>
    <dxf>
      <alignment wrapText="1"/>
    </dxf>
    <dxf>
      <alignment wrapText="1"/>
    </dxf>
    <dxf>
      <alignment wrapText="1"/>
    </dxf>
    <dxf>
      <numFmt numFmtId="164" formatCode="_-[$₦-46A]* #,##0.00_-;\-[$₦-46A]* #,##0.00_-;_-[$₦-46A]* &quot;-&quot;??_-;_-@_-"/>
    </dxf>
    <dxf>
      <alignment wrapText="1"/>
    </dxf>
    <dxf>
      <alignment wrapText="1"/>
    </dxf>
    <dxf>
      <alignment wrapText="1"/>
    </dxf>
    <dxf>
      <font>
        <b/>
      </font>
    </dxf>
    <dxf>
      <alignment wrapText="1"/>
    </dxf>
    <dxf>
      <alignment wrapText="1"/>
    </dxf>
    <dxf>
      <alignment wrapText="1"/>
    </dxf>
    <dxf>
      <alignment wrapText="1"/>
    </dxf>
    <dxf>
      <alignment wrapText="1"/>
    </dxf>
    <dxf>
      <alignment wrapText="1"/>
    </dxf>
    <dxf>
      <alignment wrapText="1"/>
    </dxf>
    <dxf>
      <alignment wrapText="1"/>
    </dxf>
    <dxf>
      <numFmt numFmtId="164" formatCode="_-[$₦-46A]* #,##0.00_-;\-[$₦-46A]* #,##0.00_-;_-[$₦-46A]* &quot;-&quot;??_-;_-@_-"/>
    </dxf>
    <dxf>
      <alignment wrapText="1"/>
    </dxf>
    <dxf>
      <alignment wrapText="1"/>
    </dxf>
    <dxf>
      <alignment wrapText="1"/>
    </dxf>
    <dxf>
      <font>
        <b/>
      </font>
    </dxf>
    <dxf>
      <alignment wrapText="1"/>
    </dxf>
    <dxf>
      <alignment wrapText="1"/>
    </dxf>
    <dxf>
      <alignment wrapText="1"/>
    </dxf>
    <dxf>
      <alignment wrapText="1"/>
    </dxf>
    <dxf>
      <alignment wrapText="1"/>
    </dxf>
    <dxf>
      <alignment wrapText="1"/>
    </dxf>
    <dxf>
      <alignment wrapText="1"/>
    </dxf>
    <dxf>
      <alignment wrapText="1"/>
    </dxf>
    <dxf>
      <numFmt numFmtId="164" formatCode="_-[$₦-46A]* #,##0.00_-;\-[$₦-46A]* #,##0.00_-;_-[$₦-46A]* &quot;-&quot;??_-;_-@_-"/>
    </dxf>
    <dxf>
      <alignment wrapText="1"/>
    </dxf>
    <dxf>
      <alignment wrapText="1"/>
    </dxf>
    <dxf>
      <alignment wrapText="1"/>
    </dxf>
    <dxf>
      <font>
        <b/>
      </font>
    </dxf>
    <dxf>
      <alignment wrapText="1"/>
    </dxf>
    <dxf>
      <alignment wrapText="1"/>
    </dxf>
    <dxf>
      <alignment wrapText="1"/>
    </dxf>
    <dxf>
      <alignment wrapText="1"/>
    </dxf>
    <dxf>
      <alignment wrapText="1"/>
    </dxf>
    <dxf>
      <alignment wrapText="1"/>
    </dxf>
    <dxf>
      <alignment wrapText="1"/>
    </dxf>
    <dxf>
      <fill>
        <patternFill>
          <bgColor rgb="FF0070C0"/>
        </patternFill>
      </fill>
    </dxf>
    <dxf>
      <fill>
        <patternFill>
          <bgColor rgb="FF0070C0"/>
        </patternFill>
      </fill>
    </dxf>
    <dxf>
      <font>
        <strike/>
      </font>
      <fill>
        <patternFill>
          <bgColor theme="7"/>
        </patternFill>
      </fill>
    </dxf>
    <dxf>
      <fill>
        <patternFill>
          <bgColor rgb="FF0070C0"/>
        </patternFill>
      </fill>
    </dxf>
    <dxf>
      <fill>
        <patternFill>
          <bgColor theme="5" tint="0.79998168889431442"/>
        </patternFill>
      </fill>
    </dxf>
    <dxf>
      <fill>
        <patternFill>
          <bgColor rgb="FF0070C0"/>
        </patternFill>
      </fill>
    </dxf>
    <dxf>
      <alignment wrapText="1"/>
    </dxf>
    <dxf>
      <alignment wrapText="1"/>
    </dxf>
    <dxf>
      <alignment wrapText="1"/>
    </dxf>
    <dxf>
      <alignment wrapText="1"/>
    </dxf>
    <dxf>
      <alignment wrapText="1"/>
    </dxf>
    <dxf>
      <numFmt numFmtId="164" formatCode="_-[$₦-46A]* #,##0.00_-;\-[$₦-46A]* #,##0.00_-;_-[$₦-46A]* &quot;-&quot;??_-;_-@_-"/>
    </dxf>
    <dxf>
      <alignment wrapText="1"/>
    </dxf>
    <dxf>
      <alignment wrapText="1"/>
    </dxf>
    <dxf>
      <alignment wrapText="1"/>
    </dxf>
    <dxf>
      <alignment wrapText="1"/>
    </dxf>
    <dxf>
      <font>
        <b/>
      </font>
    </dxf>
    <dxf>
      <alignment wrapText="1"/>
    </dxf>
    <dxf>
      <alignment wrapText="1"/>
    </dxf>
    <dxf>
      <font>
        <b val="0"/>
        <i val="0"/>
        <strike val="0"/>
        <condense val="0"/>
        <extend val="0"/>
        <outline val="0"/>
        <shadow val="0"/>
        <u val="none"/>
        <vertAlign val="baseline"/>
        <sz val="11"/>
        <color theme="1"/>
        <name val="Aptos Narrow"/>
        <family val="2"/>
        <scheme val="minor"/>
      </font>
      <numFmt numFmtId="35" formatCode="_(* #,##0.00_);_(* \(#,##0.00\);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9" formatCode="m/d/yyyy"/>
    </dxf>
    <dxf>
      <alignment horizontal="center" vertical="bottom" textRotation="0" wrapText="0" indent="0" justifyLastLine="0" shrinkToFit="0" readingOrder="0"/>
    </dxf>
    <dxf>
      <font>
        <color rgb="FF0070C0"/>
      </font>
    </dxf>
  </dxfs>
  <tableStyles count="1" defaultTableStyle="TableStyleMedium2" defaultPivotStyle="PivotStyleLight16">
    <tableStyle name="Table Style 1" pivot="0" count="1" xr9:uid="{87D3954F-1115-4A92-AF37-C380E686DCE8}">
      <tableStyleElement type="wholeTable" dxfId="103"/>
    </tableStyle>
  </tableStyles>
  <colors>
    <mruColors>
      <color rgb="FF0066FF"/>
      <color rgb="FFFF9900"/>
      <color rgb="FFBFC3DD"/>
      <color rgb="FFFFFF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[Estate Transactions for Year 2024.xlsx]Pivot Tables!Electricity Recharge</c:name>
    <c:fmtId val="3"/>
  </c:pivotSource>
  <c:chart>
    <c:title>
      <c:tx>
        <c:rich>
          <a:bodyPr rot="0" spcFirstLastPara="1" vertOverflow="ellipsis" vert="horz" wrap="square" anchor="ctr" anchorCtr="1"/>
          <a:lstStyle/>
          <a:p>
            <a:pPr algn="ctr" rtl="0">
              <a:defRPr lang="en-US" sz="1200" b="1" i="0" u="none" strike="noStrike" kern="1200" spc="0" baseline="0">
                <a:solidFill>
                  <a:schemeClr val="accent4">
                    <a:lumMod val="50000"/>
                  </a:schemeClr>
                </a:solidFill>
                <a:latin typeface="+mn-lt"/>
                <a:ea typeface="+mn-ea"/>
                <a:cs typeface="+mn-cs"/>
              </a:defRPr>
            </a:pPr>
            <a:r>
              <a:rPr lang="en-US" sz="1200" b="1" i="0" u="none" strike="noStrike" kern="1200" spc="0" baseline="0">
                <a:solidFill>
                  <a:schemeClr val="accent5">
                    <a:lumMod val="50000"/>
                  </a:schemeClr>
                </a:solidFill>
                <a:latin typeface="+mn-lt"/>
                <a:ea typeface="+mn-ea"/>
                <a:cs typeface="+mn-cs"/>
              </a:rPr>
              <a:t>Electricity</a:t>
            </a:r>
            <a:r>
              <a:rPr lang="en-US" sz="1200">
                <a:solidFill>
                  <a:schemeClr val="accent4">
                    <a:lumMod val="50000"/>
                  </a:schemeClr>
                </a:solidFill>
              </a:rPr>
              <a:t> Recharge</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numFmt formatCode="&quot;$&quot;\ 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5"/>
          </a:solidFill>
          <a:ln>
            <a:noFill/>
          </a:ln>
          <a:effectLst/>
          <a:sp3d/>
        </c:spPr>
        <c:dLbl>
          <c:idx val="0"/>
          <c:layout>
            <c:manualLayout>
              <c:x val="7.6876891419335777E-2"/>
              <c:y val="-9.3655793346353971E-17"/>
            </c:manualLayout>
          </c:layout>
          <c:numFmt formatCode="&quot;$&quot;\ 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chemeClr val="accent5"/>
          </a:solidFill>
          <a:ln>
            <a:noFill/>
          </a:ln>
          <a:effectLst/>
          <a:sp3d/>
        </c:spPr>
        <c:dLbl>
          <c:idx val="0"/>
          <c:layout>
            <c:manualLayout>
              <c:x val="2.4793388429752167E-2"/>
              <c:y val="0"/>
            </c:manualLayout>
          </c:layout>
          <c:numFmt formatCode="&quot;$&quot;\ 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5"/>
          </a:solidFill>
          <a:ln>
            <a:noFill/>
          </a:ln>
          <a:effectLst/>
          <a:sp3d/>
        </c:spPr>
        <c:dLbl>
          <c:idx val="0"/>
          <c:layout>
            <c:manualLayout>
              <c:x val="4.4077134986225897E-2"/>
              <c:y val="0"/>
            </c:manualLayout>
          </c:layout>
          <c:numFmt formatCode="&quot;$&quot;\ 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5"/>
          </a:solidFill>
          <a:ln>
            <a:noFill/>
          </a:ln>
          <a:effectLst/>
          <a:sp3d/>
        </c:spPr>
        <c:dLbl>
          <c:idx val="0"/>
          <c:layout>
            <c:manualLayout>
              <c:x val="2.4793388429752067E-2"/>
              <c:y val="2.4926872994441699E-3"/>
            </c:manualLayout>
          </c:layout>
          <c:numFmt formatCode="&quot;$&quot;\ 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5"/>
          </a:solidFill>
          <a:ln>
            <a:noFill/>
          </a:ln>
          <a:effectLst/>
          <a:sp3d/>
        </c:spPr>
        <c:dLbl>
          <c:idx val="0"/>
          <c:layout>
            <c:manualLayout>
              <c:x val="3.5812672176308541E-2"/>
              <c:y val="4.9853745988882939E-3"/>
            </c:manualLayout>
          </c:layout>
          <c:numFmt formatCode="&quot;$&quot;\ 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5"/>
          </a:solidFill>
          <a:ln>
            <a:noFill/>
          </a:ln>
          <a:effectLst/>
          <a:sp3d/>
        </c:spPr>
        <c:dLbl>
          <c:idx val="0"/>
          <c:layout>
            <c:manualLayout>
              <c:x val="4.9987259774239054E-2"/>
              <c:y val="0"/>
            </c:manualLayout>
          </c:layout>
          <c:numFmt formatCode="&quot;$&quot;\ 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5"/>
          </a:solidFill>
          <a:ln>
            <a:noFill/>
          </a:ln>
          <a:effectLst/>
          <a:sp3d/>
        </c:spPr>
        <c:dLbl>
          <c:idx val="0"/>
          <c:layout>
            <c:manualLayout>
              <c:x val="5.2618168183409482E-2"/>
              <c:y val="-1.3284870686629558E-16"/>
            </c:manualLayout>
          </c:layout>
          <c:numFmt formatCode="&quot;$&quot;\ 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chemeClr val="accent5"/>
          </a:solidFill>
          <a:ln>
            <a:noFill/>
          </a:ln>
          <a:effectLst/>
          <a:sp3d/>
        </c:spPr>
        <c:dLbl>
          <c:idx val="0"/>
          <c:layout>
            <c:manualLayout>
              <c:x val="4.4725442955898101E-2"/>
              <c:y val="-3.6231884057971015E-3"/>
            </c:manualLayout>
          </c:layout>
          <c:numFmt formatCode="&quot;$&quot;\ 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accent5"/>
          </a:solidFill>
          <a:ln>
            <a:noFill/>
          </a:ln>
          <a:effectLst/>
          <a:sp3d/>
        </c:spPr>
        <c:dLbl>
          <c:idx val="0"/>
          <c:layout>
            <c:manualLayout>
              <c:x val="5.7879985001750484E-2"/>
              <c:y val="1.8115942028985507E-3"/>
            </c:manualLayout>
          </c:layout>
          <c:numFmt formatCode="&quot;$&quot;\ 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chemeClr val="accent5"/>
          </a:solidFill>
          <a:ln>
            <a:noFill/>
          </a:ln>
          <a:effectLst/>
          <a:sp3d/>
        </c:spPr>
        <c:dLbl>
          <c:idx val="0"/>
          <c:layout>
            <c:manualLayout>
              <c:x val="5.7879985001750484E-2"/>
              <c:y val="3.6231884057971015E-3"/>
            </c:manualLayout>
          </c:layout>
          <c:numFmt formatCode="&quot;$&quot;\ 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5"/>
          </a:solidFill>
          <a:ln>
            <a:noFill/>
          </a:ln>
          <a:effectLst/>
          <a:sp3d/>
        </c:spPr>
        <c:dLbl>
          <c:idx val="0"/>
          <c:layout>
            <c:manualLayout>
              <c:x val="4.9987259774238957E-2"/>
              <c:y val="1.8115942028985507E-3"/>
            </c:manualLayout>
          </c:layout>
          <c:numFmt formatCode="&quot;$&quot;\ 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solidFill>
            <a:schemeClr val="accent5"/>
          </a:solidFill>
          <a:ln>
            <a:noFill/>
          </a:ln>
          <a:effectLst/>
          <a:sp3d/>
        </c:spPr>
        <c:dLbl>
          <c:idx val="0"/>
          <c:layout>
            <c:manualLayout>
              <c:x val="6.0510893410920912E-2"/>
              <c:y val="1.8115942028985507E-3"/>
            </c:manualLayout>
          </c:layout>
          <c:numFmt formatCode="&quot;$&quot;\ 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35564141610035"/>
          <c:y val="5.4279395988097889E-2"/>
          <c:w val="0.78924480546987597"/>
          <c:h val="0.906872075773137"/>
        </c:manualLayout>
      </c:layout>
      <c:bar3DChart>
        <c:barDir val="bar"/>
        <c:grouping val="clustered"/>
        <c:varyColors val="0"/>
        <c:ser>
          <c:idx val="0"/>
          <c:order val="0"/>
          <c:tx>
            <c:strRef>
              <c:f>'Pivot Tables'!$E$9:$E$10</c:f>
              <c:strCache>
                <c:ptCount val="1"/>
                <c:pt idx="0">
                  <c:v>Electricity Recharge</c:v>
                </c:pt>
              </c:strCache>
            </c:strRef>
          </c:tx>
          <c:spPr>
            <a:solidFill>
              <a:schemeClr val="accent5"/>
            </a:solidFill>
            <a:ln>
              <a:noFill/>
            </a:ln>
            <a:effectLst/>
            <a:sp3d/>
          </c:spPr>
          <c:invertIfNegative val="0"/>
          <c:dPt>
            <c:idx val="0"/>
            <c:invertIfNegative val="0"/>
            <c:bubble3D val="0"/>
            <c:spPr>
              <a:solidFill>
                <a:schemeClr val="accent5"/>
              </a:solidFill>
              <a:ln>
                <a:noFill/>
              </a:ln>
              <a:effectLst/>
              <a:sp3d/>
            </c:spPr>
            <c:extLst>
              <c:ext xmlns:c16="http://schemas.microsoft.com/office/drawing/2014/chart" uri="{C3380CC4-5D6E-409C-BE32-E72D297353CC}">
                <c16:uniqueId val="{00000001-5BDB-4B5B-B66F-A781CCF74C7C}"/>
              </c:ext>
            </c:extLst>
          </c:dPt>
          <c:dPt>
            <c:idx val="1"/>
            <c:invertIfNegative val="0"/>
            <c:bubble3D val="0"/>
            <c:spPr>
              <a:solidFill>
                <a:schemeClr val="accent5"/>
              </a:solidFill>
              <a:ln>
                <a:noFill/>
              </a:ln>
              <a:effectLst/>
              <a:sp3d/>
            </c:spPr>
            <c:extLst>
              <c:ext xmlns:c16="http://schemas.microsoft.com/office/drawing/2014/chart" uri="{C3380CC4-5D6E-409C-BE32-E72D297353CC}">
                <c16:uniqueId val="{00000003-5BDB-4B5B-B66F-A781CCF74C7C}"/>
              </c:ext>
            </c:extLst>
          </c:dPt>
          <c:dPt>
            <c:idx val="2"/>
            <c:invertIfNegative val="0"/>
            <c:bubble3D val="0"/>
            <c:spPr>
              <a:solidFill>
                <a:schemeClr val="accent5"/>
              </a:solidFill>
              <a:ln>
                <a:noFill/>
              </a:ln>
              <a:effectLst/>
              <a:sp3d/>
            </c:spPr>
            <c:extLst>
              <c:ext xmlns:c16="http://schemas.microsoft.com/office/drawing/2014/chart" uri="{C3380CC4-5D6E-409C-BE32-E72D297353CC}">
                <c16:uniqueId val="{00000005-5BDB-4B5B-B66F-A781CCF74C7C}"/>
              </c:ext>
            </c:extLst>
          </c:dPt>
          <c:dPt>
            <c:idx val="3"/>
            <c:invertIfNegative val="0"/>
            <c:bubble3D val="0"/>
            <c:spPr>
              <a:solidFill>
                <a:schemeClr val="accent5"/>
              </a:solidFill>
              <a:ln>
                <a:noFill/>
              </a:ln>
              <a:effectLst/>
              <a:sp3d/>
            </c:spPr>
            <c:extLst>
              <c:ext xmlns:c16="http://schemas.microsoft.com/office/drawing/2014/chart" uri="{C3380CC4-5D6E-409C-BE32-E72D297353CC}">
                <c16:uniqueId val="{00000007-5BDB-4B5B-B66F-A781CCF74C7C}"/>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5BDB-4B5B-B66F-A781CCF74C7C}"/>
              </c:ext>
            </c:extLst>
          </c:dPt>
          <c:dPt>
            <c:idx val="5"/>
            <c:invertIfNegative val="0"/>
            <c:bubble3D val="0"/>
            <c:spPr>
              <a:solidFill>
                <a:schemeClr val="accent5"/>
              </a:solidFill>
              <a:ln>
                <a:noFill/>
              </a:ln>
              <a:effectLst/>
              <a:sp3d/>
            </c:spPr>
            <c:extLst>
              <c:ext xmlns:c16="http://schemas.microsoft.com/office/drawing/2014/chart" uri="{C3380CC4-5D6E-409C-BE32-E72D297353CC}">
                <c16:uniqueId val="{0000000B-5BDB-4B5B-B66F-A781CCF74C7C}"/>
              </c:ext>
            </c:extLst>
          </c:dPt>
          <c:dPt>
            <c:idx val="6"/>
            <c:invertIfNegative val="0"/>
            <c:bubble3D val="0"/>
            <c:spPr>
              <a:solidFill>
                <a:schemeClr val="accent5"/>
              </a:solidFill>
              <a:ln>
                <a:noFill/>
              </a:ln>
              <a:effectLst/>
              <a:sp3d/>
            </c:spPr>
            <c:extLst>
              <c:ext xmlns:c16="http://schemas.microsoft.com/office/drawing/2014/chart" uri="{C3380CC4-5D6E-409C-BE32-E72D297353CC}">
                <c16:uniqueId val="{0000000D-5BDB-4B5B-B66F-A781CCF74C7C}"/>
              </c:ext>
            </c:extLst>
          </c:dPt>
          <c:dPt>
            <c:idx val="7"/>
            <c:invertIfNegative val="0"/>
            <c:bubble3D val="0"/>
            <c:spPr>
              <a:solidFill>
                <a:schemeClr val="accent5"/>
              </a:solidFill>
              <a:ln>
                <a:noFill/>
              </a:ln>
              <a:effectLst/>
              <a:sp3d/>
            </c:spPr>
            <c:extLst>
              <c:ext xmlns:c16="http://schemas.microsoft.com/office/drawing/2014/chart" uri="{C3380CC4-5D6E-409C-BE32-E72D297353CC}">
                <c16:uniqueId val="{0000000F-5BDB-4B5B-B66F-A781CCF74C7C}"/>
              </c:ext>
            </c:extLst>
          </c:dPt>
          <c:dPt>
            <c:idx val="18"/>
            <c:invertIfNegative val="0"/>
            <c:bubble3D val="0"/>
            <c:spPr>
              <a:solidFill>
                <a:schemeClr val="accent5"/>
              </a:solidFill>
              <a:ln>
                <a:noFill/>
              </a:ln>
              <a:effectLst/>
              <a:sp3d/>
            </c:spPr>
            <c:extLst>
              <c:ext xmlns:c16="http://schemas.microsoft.com/office/drawing/2014/chart" uri="{C3380CC4-5D6E-409C-BE32-E72D297353CC}">
                <c16:uniqueId val="{00000011-5BDB-4B5B-B66F-A781CCF74C7C}"/>
              </c:ext>
            </c:extLst>
          </c:dPt>
          <c:dPt>
            <c:idx val="19"/>
            <c:invertIfNegative val="0"/>
            <c:bubble3D val="0"/>
            <c:spPr>
              <a:solidFill>
                <a:schemeClr val="accent5"/>
              </a:solidFill>
              <a:ln>
                <a:noFill/>
              </a:ln>
              <a:effectLst/>
              <a:sp3d/>
            </c:spPr>
            <c:extLst>
              <c:ext xmlns:c16="http://schemas.microsoft.com/office/drawing/2014/chart" uri="{C3380CC4-5D6E-409C-BE32-E72D297353CC}">
                <c16:uniqueId val="{00000013-5BDB-4B5B-B66F-A781CCF74C7C}"/>
              </c:ext>
            </c:extLst>
          </c:dPt>
          <c:dPt>
            <c:idx val="20"/>
            <c:invertIfNegative val="0"/>
            <c:bubble3D val="0"/>
            <c:spPr>
              <a:solidFill>
                <a:schemeClr val="accent5"/>
              </a:solidFill>
              <a:ln>
                <a:noFill/>
              </a:ln>
              <a:effectLst/>
              <a:sp3d/>
            </c:spPr>
            <c:extLst>
              <c:ext xmlns:c16="http://schemas.microsoft.com/office/drawing/2014/chart" uri="{C3380CC4-5D6E-409C-BE32-E72D297353CC}">
                <c16:uniqueId val="{00000015-5BDB-4B5B-B66F-A781CCF74C7C}"/>
              </c:ext>
            </c:extLst>
          </c:dPt>
          <c:dPt>
            <c:idx val="21"/>
            <c:invertIfNegative val="0"/>
            <c:bubble3D val="0"/>
            <c:spPr>
              <a:solidFill>
                <a:schemeClr val="accent5"/>
              </a:solidFill>
              <a:ln>
                <a:noFill/>
              </a:ln>
              <a:effectLst/>
              <a:sp3d/>
            </c:spPr>
            <c:extLst>
              <c:ext xmlns:c16="http://schemas.microsoft.com/office/drawing/2014/chart" uri="{C3380CC4-5D6E-409C-BE32-E72D297353CC}">
                <c16:uniqueId val="{00000017-5BDB-4B5B-B66F-A781CCF74C7C}"/>
              </c:ext>
            </c:extLst>
          </c:dPt>
          <c:dLbls>
            <c:dLbl>
              <c:idx val="0"/>
              <c:layout>
                <c:manualLayout>
                  <c:x val="4.9987259774239054E-2"/>
                  <c:y val="0"/>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5BDB-4B5B-B66F-A781CCF74C7C}"/>
                </c:ext>
              </c:extLst>
            </c:dLbl>
            <c:dLbl>
              <c:idx val="1"/>
              <c:layout>
                <c:manualLayout>
                  <c:x val="5.2618168183409482E-2"/>
                  <c:y val="-1.3284870686629558E-16"/>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BDB-4B5B-B66F-A781CCF74C7C}"/>
                </c:ext>
              </c:extLst>
            </c:dLbl>
            <c:dLbl>
              <c:idx val="2"/>
              <c:layout>
                <c:manualLayout>
                  <c:x val="7.6876891419335777E-2"/>
                  <c:y val="-9.3655793346353971E-17"/>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5BDB-4B5B-B66F-A781CCF74C7C}"/>
                </c:ext>
              </c:extLst>
            </c:dLbl>
            <c:dLbl>
              <c:idx val="3"/>
              <c:layout>
                <c:manualLayout>
                  <c:x val="4.4725442955898101E-2"/>
                  <c:y val="-3.6231884057971015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5BDB-4B5B-B66F-A781CCF74C7C}"/>
                </c:ext>
              </c:extLst>
            </c:dLbl>
            <c:dLbl>
              <c:idx val="4"/>
              <c:layout>
                <c:manualLayout>
                  <c:x val="5.7879985001750484E-2"/>
                  <c:y val="1.8115942028985507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5BDB-4B5B-B66F-A781CCF74C7C}"/>
                </c:ext>
              </c:extLst>
            </c:dLbl>
            <c:dLbl>
              <c:idx val="5"/>
              <c:layout>
                <c:manualLayout>
                  <c:x val="5.7879985001750484E-2"/>
                  <c:y val="3.6231884057971015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5BDB-4B5B-B66F-A781CCF74C7C}"/>
                </c:ext>
              </c:extLst>
            </c:dLbl>
            <c:dLbl>
              <c:idx val="6"/>
              <c:layout>
                <c:manualLayout>
                  <c:x val="4.9987259774238957E-2"/>
                  <c:y val="1.8115942028985507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5BDB-4B5B-B66F-A781CCF74C7C}"/>
                </c:ext>
              </c:extLst>
            </c:dLbl>
            <c:dLbl>
              <c:idx val="7"/>
              <c:layout>
                <c:manualLayout>
                  <c:x val="6.0510893410920912E-2"/>
                  <c:y val="1.8115942028985507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5BDB-4B5B-B66F-A781CCF74C7C}"/>
                </c:ext>
              </c:extLst>
            </c:dLbl>
            <c:dLbl>
              <c:idx val="18"/>
              <c:layout>
                <c:manualLayout>
                  <c:x val="2.4793388429752167E-2"/>
                  <c:y val="0"/>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5BDB-4B5B-B66F-A781CCF74C7C}"/>
                </c:ext>
              </c:extLst>
            </c:dLbl>
            <c:dLbl>
              <c:idx val="19"/>
              <c:layout>
                <c:manualLayout>
                  <c:x val="4.4077134986225897E-2"/>
                  <c:y val="0"/>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5BDB-4B5B-B66F-A781CCF74C7C}"/>
                </c:ext>
              </c:extLst>
            </c:dLbl>
            <c:dLbl>
              <c:idx val="20"/>
              <c:layout>
                <c:manualLayout>
                  <c:x val="2.4793388429752067E-2"/>
                  <c:y val="2.4926872994441699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5-5BDB-4B5B-B66F-A781CCF74C7C}"/>
                </c:ext>
              </c:extLst>
            </c:dLbl>
            <c:dLbl>
              <c:idx val="21"/>
              <c:layout>
                <c:manualLayout>
                  <c:x val="3.5812672176308541E-2"/>
                  <c:y val="4.9853745988882939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7-5BDB-4B5B-B66F-A781CCF74C7C}"/>
                </c:ext>
              </c:extLst>
            </c:dLbl>
            <c:numFmt formatCode="&quot;$&quot;\ 0.0,,&quot;M&quot;" sourceLinked="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'Pivot Tables'!$D$11:$D$49</c:f>
              <c:strCache>
                <c:ptCount val="38"/>
                <c:pt idx="0">
                  <c:v>A1</c:v>
                </c:pt>
                <c:pt idx="1">
                  <c:v>A2</c:v>
                </c:pt>
                <c:pt idx="2">
                  <c:v>A3</c:v>
                </c:pt>
                <c:pt idx="3">
                  <c:v>A4</c:v>
                </c:pt>
                <c:pt idx="4">
                  <c:v>A5</c:v>
                </c:pt>
                <c:pt idx="5">
                  <c:v>A7</c:v>
                </c:pt>
                <c:pt idx="6">
                  <c:v>A8</c:v>
                </c:pt>
                <c:pt idx="7">
                  <c:v>APH</c:v>
                </c:pt>
                <c:pt idx="8">
                  <c:v>B1</c:v>
                </c:pt>
                <c:pt idx="9">
                  <c:v>B2</c:v>
                </c:pt>
                <c:pt idx="10">
                  <c:v>B3</c:v>
                </c:pt>
                <c:pt idx="11">
                  <c:v>B4</c:v>
                </c:pt>
                <c:pt idx="12">
                  <c:v>B5</c:v>
                </c:pt>
                <c:pt idx="13">
                  <c:v>B6</c:v>
                </c:pt>
                <c:pt idx="14">
                  <c:v>B7</c:v>
                </c:pt>
                <c:pt idx="15">
                  <c:v>B8</c:v>
                </c:pt>
                <c:pt idx="16">
                  <c:v>C1</c:v>
                </c:pt>
                <c:pt idx="17">
                  <c:v>C2</c:v>
                </c:pt>
                <c:pt idx="18">
                  <c:v>C3</c:v>
                </c:pt>
                <c:pt idx="19">
                  <c:v>C4</c:v>
                </c:pt>
                <c:pt idx="20">
                  <c:v>C5</c:v>
                </c:pt>
                <c:pt idx="21">
                  <c:v>C6</c:v>
                </c:pt>
                <c:pt idx="22">
                  <c:v>C7</c:v>
                </c:pt>
                <c:pt idx="23">
                  <c:v>C8</c:v>
                </c:pt>
                <c:pt idx="24">
                  <c:v>D1</c:v>
                </c:pt>
                <c:pt idx="25">
                  <c:v>D2</c:v>
                </c:pt>
                <c:pt idx="26">
                  <c:v>D3</c:v>
                </c:pt>
                <c:pt idx="27">
                  <c:v>D4</c:v>
                </c:pt>
                <c:pt idx="28">
                  <c:v>D5</c:v>
                </c:pt>
                <c:pt idx="29">
                  <c:v>D6</c:v>
                </c:pt>
                <c:pt idx="30">
                  <c:v>D7</c:v>
                </c:pt>
                <c:pt idx="31">
                  <c:v>D8</c:v>
                </c:pt>
                <c:pt idx="32">
                  <c:v>DPH</c:v>
                </c:pt>
                <c:pt idx="33">
                  <c:v>I1</c:v>
                </c:pt>
                <c:pt idx="34">
                  <c:v>I2</c:v>
                </c:pt>
                <c:pt idx="35">
                  <c:v>I3</c:v>
                </c:pt>
                <c:pt idx="36">
                  <c:v>I4</c:v>
                </c:pt>
                <c:pt idx="37">
                  <c:v>Office</c:v>
                </c:pt>
              </c:strCache>
            </c:strRef>
          </c:cat>
          <c:val>
            <c:numRef>
              <c:f>'Pivot Tables'!$E$11:$E$49</c:f>
              <c:numCache>
                <c:formatCode>_(* #,##0.00_);_(* \(#,##0.00\);_(* "-"??_);_(@_)</c:formatCode>
                <c:ptCount val="38"/>
                <c:pt idx="0">
                  <c:v>517500</c:v>
                </c:pt>
                <c:pt idx="1">
                  <c:v>932000</c:v>
                </c:pt>
                <c:pt idx="2">
                  <c:v>510809.49</c:v>
                </c:pt>
                <c:pt idx="3">
                  <c:v>500000</c:v>
                </c:pt>
                <c:pt idx="4">
                  <c:v>260000</c:v>
                </c:pt>
                <c:pt idx="5">
                  <c:v>638000</c:v>
                </c:pt>
                <c:pt idx="6">
                  <c:v>3450000</c:v>
                </c:pt>
                <c:pt idx="7">
                  <c:v>1230000</c:v>
                </c:pt>
                <c:pt idx="8">
                  <c:v>495000</c:v>
                </c:pt>
                <c:pt idx="9">
                  <c:v>1497400</c:v>
                </c:pt>
                <c:pt idx="10">
                  <c:v>1867600</c:v>
                </c:pt>
                <c:pt idx="11">
                  <c:v>1525000</c:v>
                </c:pt>
                <c:pt idx="12">
                  <c:v>1584000</c:v>
                </c:pt>
                <c:pt idx="13">
                  <c:v>729500</c:v>
                </c:pt>
                <c:pt idx="14">
                  <c:v>440000</c:v>
                </c:pt>
                <c:pt idx="15">
                  <c:v>1454500</c:v>
                </c:pt>
                <c:pt idx="16">
                  <c:v>644300</c:v>
                </c:pt>
                <c:pt idx="17">
                  <c:v>860000</c:v>
                </c:pt>
                <c:pt idx="18">
                  <c:v>1856450</c:v>
                </c:pt>
                <c:pt idx="19">
                  <c:v>2200000</c:v>
                </c:pt>
                <c:pt idx="20">
                  <c:v>910000</c:v>
                </c:pt>
                <c:pt idx="21">
                  <c:v>1783000</c:v>
                </c:pt>
                <c:pt idx="22">
                  <c:v>920000</c:v>
                </c:pt>
                <c:pt idx="23">
                  <c:v>900000</c:v>
                </c:pt>
                <c:pt idx="24">
                  <c:v>553900</c:v>
                </c:pt>
                <c:pt idx="25">
                  <c:v>1915100</c:v>
                </c:pt>
                <c:pt idx="26">
                  <c:v>1353500</c:v>
                </c:pt>
                <c:pt idx="27">
                  <c:v>1118900</c:v>
                </c:pt>
                <c:pt idx="28">
                  <c:v>913100</c:v>
                </c:pt>
                <c:pt idx="29">
                  <c:v>2003300</c:v>
                </c:pt>
                <c:pt idx="30">
                  <c:v>1165500</c:v>
                </c:pt>
                <c:pt idx="31">
                  <c:v>560000</c:v>
                </c:pt>
                <c:pt idx="32">
                  <c:v>2247000</c:v>
                </c:pt>
                <c:pt idx="33">
                  <c:v>3230000</c:v>
                </c:pt>
                <c:pt idx="34">
                  <c:v>2885000</c:v>
                </c:pt>
                <c:pt idx="35">
                  <c:v>1185000</c:v>
                </c:pt>
                <c:pt idx="36">
                  <c:v>1220000</c:v>
                </c:pt>
                <c:pt idx="37">
                  <c:v>1090200</c:v>
                </c:pt>
              </c:numCache>
            </c:numRef>
          </c:val>
          <c:extLst>
            <c:ext xmlns:c16="http://schemas.microsoft.com/office/drawing/2014/chart" uri="{C3380CC4-5D6E-409C-BE32-E72D297353CC}">
              <c16:uniqueId val="{00000011-98A1-43A2-B4F7-37C7CFD759BB}"/>
            </c:ext>
          </c:extLst>
        </c:ser>
        <c:dLbls>
          <c:showLegendKey val="0"/>
          <c:showVal val="1"/>
          <c:showCatName val="0"/>
          <c:showSerName val="0"/>
          <c:showPercent val="0"/>
          <c:showBubbleSize val="0"/>
        </c:dLbls>
        <c:gapWidth val="150"/>
        <c:shape val="box"/>
        <c:axId val="705388808"/>
        <c:axId val="705387368"/>
        <c:axId val="0"/>
      </c:bar3DChart>
      <c:catAx>
        <c:axId val="705388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000" b="1" i="0" u="none" strike="noStrike" kern="1200" spc="0" baseline="0">
                <a:solidFill>
                  <a:schemeClr val="accent5">
                    <a:lumMod val="50000"/>
                  </a:schemeClr>
                </a:solidFill>
                <a:latin typeface="+mn-lt"/>
                <a:ea typeface="+mn-ea"/>
                <a:cs typeface="+mn-cs"/>
              </a:defRPr>
            </a:pPr>
            <a:endParaRPr lang="en-US"/>
          </a:p>
        </c:txPr>
        <c:crossAx val="705387368"/>
        <c:crosses val="autoZero"/>
        <c:auto val="1"/>
        <c:lblAlgn val="ctr"/>
        <c:lblOffset val="100"/>
        <c:noMultiLvlLbl val="0"/>
      </c:catAx>
      <c:valAx>
        <c:axId val="705387368"/>
        <c:scaling>
          <c:orientation val="minMax"/>
        </c:scaling>
        <c:delete val="1"/>
        <c:axPos val="b"/>
        <c:numFmt formatCode="_(* #,##0.00_);_(* \(#,##0.00\);_(* &quot;-&quot;??_);_(@_)" sourceLinked="1"/>
        <c:majorTickMark val="none"/>
        <c:minorTickMark val="none"/>
        <c:tickLblPos val="nextTo"/>
        <c:crossAx val="705388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[Estate Transactions for Year 2024.xlsx]Pivot Tables!Service Charge</c:name>
    <c:fmtId val="3"/>
  </c:pivotSource>
  <c:chart>
    <c:title>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E64823">
                  <a:lumMod val="50000"/>
                </a:srgb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numFmt formatCode="&quot;$&quot;\ 0.0,,&quot;M&quot;" sourceLinked="0"/>
          <c:spPr>
            <a:noFill/>
            <a:ln>
              <a:noFill/>
            </a:ln>
            <a:effectLst/>
          </c:spPr>
          <c:txPr>
            <a:bodyPr rot="0" spcFirstLastPara="1" vertOverflow="ellipsis" vert="horz" wrap="square" anchor="ctr" anchorCtr="0"/>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pivotFmt>
      <c:pivotFmt>
        <c:idx val="4"/>
        <c:spPr>
          <a:solidFill>
            <a:schemeClr val="accent3"/>
          </a:solidFill>
          <a:ln>
            <a:noFill/>
          </a:ln>
          <a:effectLst/>
          <a:sp3d/>
        </c:spPr>
      </c:pivotFmt>
      <c:pivotFmt>
        <c:idx val="5"/>
        <c:spPr>
          <a:solidFill>
            <a:schemeClr val="accent3"/>
          </a:solidFill>
          <a:ln>
            <a:noFill/>
          </a:ln>
          <a:effectLst/>
          <a:sp3d/>
        </c:spPr>
      </c:pivotFmt>
      <c:pivotFmt>
        <c:idx val="6"/>
        <c:spPr>
          <a:solidFill>
            <a:schemeClr val="accent3"/>
          </a:solidFill>
          <a:ln>
            <a:noFill/>
          </a:ln>
          <a:effectLst/>
          <a:sp3d/>
        </c:spPr>
      </c:pivotFmt>
      <c:pivotFmt>
        <c:idx val="7"/>
        <c:spPr>
          <a:solidFill>
            <a:schemeClr val="accent3"/>
          </a:solidFill>
          <a:ln>
            <a:noFill/>
          </a:ln>
          <a:effectLst/>
          <a:sp3d/>
        </c:spPr>
      </c:pivotFmt>
      <c:pivotFmt>
        <c:idx val="8"/>
        <c:spPr>
          <a:solidFill>
            <a:schemeClr val="accent3"/>
          </a:solidFill>
          <a:ln>
            <a:noFill/>
          </a:ln>
          <a:effectLst/>
          <a:sp3d/>
        </c:spPr>
      </c:pivotFmt>
      <c:pivotFmt>
        <c:idx val="9"/>
        <c:spPr>
          <a:solidFill>
            <a:schemeClr val="accent3"/>
          </a:solidFill>
          <a:ln>
            <a:noFill/>
          </a:ln>
          <a:effectLst/>
          <a:sp3d/>
        </c:spPr>
        <c:dLbl>
          <c:idx val="0"/>
          <c:layout>
            <c:manualLayout>
              <c:x val="5.5491794205549665E-2"/>
              <c:y val="-3.319774291530637E-17"/>
            </c:manualLayout>
          </c:layout>
          <c:numFmt formatCode="&quot;$&quot;\ 0.0,,&quot;M&quot;" sourceLinked="0"/>
          <c:spPr>
            <a:noFill/>
            <a:ln>
              <a:noFill/>
            </a:ln>
            <a:effectLst/>
          </c:spPr>
          <c:txPr>
            <a:bodyPr rot="0" spcFirstLastPara="1" vertOverflow="ellipsis" vert="horz" wrap="square" anchor="ctr" anchorCtr="0"/>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sp3d/>
        </c:spPr>
        <c:dLbl>
          <c:idx val="0"/>
          <c:layout>
            <c:manualLayout>
              <c:x val="5.5491794205549713E-2"/>
              <c:y val="3.6216137911053163E-3"/>
            </c:manualLayout>
          </c:layout>
          <c:numFmt formatCode="&quot;$&quot;\ 0.0,,&quot;M&quot;" sourceLinked="0"/>
          <c:spPr>
            <a:noFill/>
            <a:ln>
              <a:noFill/>
            </a:ln>
            <a:effectLst/>
          </c:spPr>
          <c:txPr>
            <a:bodyPr rot="0" spcFirstLastPara="1" vertOverflow="ellipsis" vert="horz" wrap="square" anchor="ctr" anchorCtr="0"/>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dLbl>
          <c:idx val="0"/>
          <c:layout>
            <c:manualLayout>
              <c:x val="4.756439503332837E-2"/>
              <c:y val="-1.8108068955526582E-3"/>
            </c:manualLayout>
          </c:layout>
          <c:numFmt formatCode="&quot;$&quot;\ 0.0,,&quot;M&quot;" sourceLinked="0"/>
          <c:spPr>
            <a:noFill/>
            <a:ln>
              <a:noFill/>
            </a:ln>
            <a:effectLst/>
          </c:spPr>
          <c:txPr>
            <a:bodyPr rot="0" spcFirstLastPara="1" vertOverflow="ellipsis" vert="horz" wrap="square" anchor="ctr" anchorCtr="0"/>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a:sp3d/>
        </c:spPr>
        <c:dLbl>
          <c:idx val="0"/>
          <c:layout>
            <c:manualLayout>
              <c:x val="5.0206861424068931E-2"/>
              <c:y val="0"/>
            </c:manualLayout>
          </c:layout>
          <c:numFmt formatCode="&quot;$&quot;\ 0.0,,&quot;M&quot;" sourceLinked="0"/>
          <c:spPr>
            <a:noFill/>
            <a:ln>
              <a:noFill/>
            </a:ln>
            <a:effectLst/>
          </c:spPr>
          <c:txPr>
            <a:bodyPr rot="0" spcFirstLastPara="1" vertOverflow="ellipsis" vert="horz" wrap="square" anchor="ctr" anchorCtr="0"/>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a:sp3d/>
        </c:spPr>
        <c:dLbl>
          <c:idx val="0"/>
          <c:layout>
            <c:manualLayout>
              <c:x val="8.1916458112954407E-2"/>
              <c:y val="-5.4324206866579747E-3"/>
            </c:manualLayout>
          </c:layout>
          <c:numFmt formatCode="&quot;$&quot;\ 0.0,,&quot;M&quot;" sourceLinked="0"/>
          <c:spPr>
            <a:noFill/>
            <a:ln>
              <a:noFill/>
            </a:ln>
            <a:effectLst/>
          </c:spPr>
          <c:txPr>
            <a:bodyPr rot="0" spcFirstLastPara="1" vertOverflow="ellipsis" vert="horz" wrap="square" anchor="ctr" anchorCtr="0"/>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a:sp3d/>
        </c:spPr>
        <c:dLbl>
          <c:idx val="0"/>
          <c:layout>
            <c:manualLayout>
              <c:x val="5.0206861424068931E-2"/>
              <c:y val="1.810806895552625E-3"/>
            </c:manualLayout>
          </c:layout>
          <c:numFmt formatCode="&quot;$&quot;\ 0.0,,&quot;M&quot;" sourceLinked="0"/>
          <c:spPr>
            <a:noFill/>
            <a:ln>
              <a:noFill/>
            </a:ln>
            <a:effectLst/>
          </c:spPr>
          <c:txPr>
            <a:bodyPr rot="0" spcFirstLastPara="1" vertOverflow="ellipsis" vert="horz" wrap="square" anchor="ctr" anchorCtr="0"/>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a:sp3d/>
        </c:spPr>
        <c:dLbl>
          <c:idx val="0"/>
          <c:layout>
            <c:manualLayout>
              <c:x val="3.4352063079626044E-2"/>
              <c:y val="-1.8108068955526582E-3"/>
            </c:manualLayout>
          </c:layout>
          <c:numFmt formatCode="&quot;$&quot;\ 0.0,,&quot;M&quot;" sourceLinked="0"/>
          <c:spPr>
            <a:noFill/>
            <a:ln>
              <a:noFill/>
            </a:ln>
            <a:effectLst/>
          </c:spPr>
          <c:txPr>
            <a:bodyPr rot="0" spcFirstLastPara="1" vertOverflow="ellipsis" vert="horz" wrap="square" anchor="ctr" anchorCtr="0"/>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Tables'!$H$9:$H$10</c:f>
              <c:strCache>
                <c:ptCount val="1"/>
                <c:pt idx="0">
                  <c:v>Service Charge</c:v>
                </c:pt>
              </c:strCache>
            </c:strRef>
          </c:tx>
          <c:spPr>
            <a:solidFill>
              <a:schemeClr val="accent3"/>
            </a:solidFill>
            <a:ln>
              <a:noFill/>
            </a:ln>
            <a:effectLst/>
            <a:sp3d/>
          </c:spPr>
          <c:invertIfNegative val="0"/>
          <c:dPt>
            <c:idx val="0"/>
            <c:invertIfNegative val="0"/>
            <c:bubble3D val="0"/>
            <c:spPr>
              <a:solidFill>
                <a:schemeClr val="accent3"/>
              </a:solidFill>
              <a:ln>
                <a:noFill/>
              </a:ln>
              <a:effectLst/>
              <a:sp3d/>
            </c:spPr>
            <c:extLst>
              <c:ext xmlns:c16="http://schemas.microsoft.com/office/drawing/2014/chart" uri="{C3380CC4-5D6E-409C-BE32-E72D297353CC}">
                <c16:uniqueId val="{00000001-79E8-4C5C-ADC6-9DCC22BA963E}"/>
              </c:ext>
            </c:extLst>
          </c:dPt>
          <c:dPt>
            <c:idx val="1"/>
            <c:invertIfNegative val="0"/>
            <c:bubble3D val="0"/>
            <c:spPr>
              <a:solidFill>
                <a:schemeClr val="accent3"/>
              </a:solidFill>
              <a:ln>
                <a:noFill/>
              </a:ln>
              <a:effectLst/>
              <a:sp3d/>
            </c:spPr>
            <c:extLst>
              <c:ext xmlns:c16="http://schemas.microsoft.com/office/drawing/2014/chart" uri="{C3380CC4-5D6E-409C-BE32-E72D297353CC}">
                <c16:uniqueId val="{00000003-79E8-4C5C-ADC6-9DCC22BA963E}"/>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79E8-4C5C-ADC6-9DCC22BA963E}"/>
              </c:ext>
            </c:extLst>
          </c:dPt>
          <c:dPt>
            <c:idx val="3"/>
            <c:invertIfNegative val="0"/>
            <c:bubble3D val="0"/>
            <c:spPr>
              <a:solidFill>
                <a:schemeClr val="accent3"/>
              </a:solidFill>
              <a:ln>
                <a:noFill/>
              </a:ln>
              <a:effectLst/>
              <a:sp3d/>
            </c:spPr>
            <c:extLst>
              <c:ext xmlns:c16="http://schemas.microsoft.com/office/drawing/2014/chart" uri="{C3380CC4-5D6E-409C-BE32-E72D297353CC}">
                <c16:uniqueId val="{00000007-79E8-4C5C-ADC6-9DCC22BA963E}"/>
              </c:ext>
            </c:extLst>
          </c:dPt>
          <c:dPt>
            <c:idx val="4"/>
            <c:invertIfNegative val="0"/>
            <c:bubble3D val="0"/>
            <c:spPr>
              <a:solidFill>
                <a:schemeClr val="accent3"/>
              </a:solidFill>
              <a:ln>
                <a:noFill/>
              </a:ln>
              <a:effectLst/>
              <a:sp3d/>
            </c:spPr>
            <c:extLst>
              <c:ext xmlns:c16="http://schemas.microsoft.com/office/drawing/2014/chart" uri="{C3380CC4-5D6E-409C-BE32-E72D297353CC}">
                <c16:uniqueId val="{00000009-79E8-4C5C-ADC6-9DCC22BA963E}"/>
              </c:ext>
            </c:extLst>
          </c:dPt>
          <c:dPt>
            <c:idx val="5"/>
            <c:invertIfNegative val="0"/>
            <c:bubble3D val="0"/>
            <c:spPr>
              <a:solidFill>
                <a:schemeClr val="accent3"/>
              </a:solidFill>
              <a:ln>
                <a:noFill/>
              </a:ln>
              <a:effectLst/>
              <a:sp3d/>
            </c:spPr>
            <c:extLst>
              <c:ext xmlns:c16="http://schemas.microsoft.com/office/drawing/2014/chart" uri="{C3380CC4-5D6E-409C-BE32-E72D297353CC}">
                <c16:uniqueId val="{0000000B-79E8-4C5C-ADC6-9DCC22BA963E}"/>
              </c:ext>
            </c:extLst>
          </c:dPt>
          <c:dPt>
            <c:idx val="6"/>
            <c:invertIfNegative val="0"/>
            <c:bubble3D val="0"/>
            <c:spPr>
              <a:solidFill>
                <a:schemeClr val="accent3"/>
              </a:solidFill>
              <a:ln>
                <a:noFill/>
              </a:ln>
              <a:effectLst/>
              <a:sp3d/>
            </c:spPr>
            <c:extLst>
              <c:ext xmlns:c16="http://schemas.microsoft.com/office/drawing/2014/chart" uri="{C3380CC4-5D6E-409C-BE32-E72D297353CC}">
                <c16:uniqueId val="{0000000D-79E8-4C5C-ADC6-9DCC22BA963E}"/>
              </c:ext>
            </c:extLst>
          </c:dPt>
          <c:dPt>
            <c:idx val="15"/>
            <c:invertIfNegative val="0"/>
            <c:bubble3D val="0"/>
            <c:spPr>
              <a:solidFill>
                <a:schemeClr val="accent3"/>
              </a:solidFill>
              <a:ln>
                <a:noFill/>
              </a:ln>
              <a:effectLst/>
              <a:sp3d/>
            </c:spPr>
            <c:extLst>
              <c:ext xmlns:c16="http://schemas.microsoft.com/office/drawing/2014/chart" uri="{C3380CC4-5D6E-409C-BE32-E72D297353CC}">
                <c16:uniqueId val="{0000000F-79E8-4C5C-ADC6-9DCC22BA963E}"/>
              </c:ext>
            </c:extLst>
          </c:dPt>
          <c:dLbls>
            <c:dLbl>
              <c:idx val="0"/>
              <c:layout>
                <c:manualLayout>
                  <c:x val="3.4352063079626044E-2"/>
                  <c:y val="-1.810806895552658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E8-4C5C-ADC6-9DCC22BA963E}"/>
                </c:ext>
              </c:extLst>
            </c:dLbl>
            <c:dLbl>
              <c:idx val="1"/>
              <c:layout>
                <c:manualLayout>
                  <c:x val="5.5491794205549713E-2"/>
                  <c:y val="3.621613791105316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E8-4C5C-ADC6-9DCC22BA963E}"/>
                </c:ext>
              </c:extLst>
            </c:dLbl>
            <c:dLbl>
              <c:idx val="2"/>
              <c:layout>
                <c:manualLayout>
                  <c:x val="4.756439503332837E-2"/>
                  <c:y val="-1.810806895552658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E8-4C5C-ADC6-9DCC22BA963E}"/>
                </c:ext>
              </c:extLst>
            </c:dLbl>
            <c:dLbl>
              <c:idx val="3"/>
              <c:layout>
                <c:manualLayout>
                  <c:x val="5.020686142406893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9E8-4C5C-ADC6-9DCC22BA963E}"/>
                </c:ext>
              </c:extLst>
            </c:dLbl>
            <c:dLbl>
              <c:idx val="4"/>
              <c:layout>
                <c:manualLayout>
                  <c:x val="8.1916458112954407E-2"/>
                  <c:y val="-5.4324206866579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9E8-4C5C-ADC6-9DCC22BA963E}"/>
                </c:ext>
              </c:extLst>
            </c:dLbl>
            <c:dLbl>
              <c:idx val="5"/>
              <c:layout>
                <c:manualLayout>
                  <c:x val="5.5491794205549665E-2"/>
                  <c:y val="-3.31977429153063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9E8-4C5C-ADC6-9DCC22BA963E}"/>
                </c:ext>
              </c:extLst>
            </c:dLbl>
            <c:dLbl>
              <c:idx val="6"/>
              <c:layout>
                <c:manualLayout>
                  <c:x val="5.0206861424068931E-2"/>
                  <c:y val="1.8108068955526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9E8-4C5C-ADC6-9DCC22BA963E}"/>
                </c:ext>
              </c:extLst>
            </c:dLbl>
            <c:numFmt formatCode="&quot;$&quot;\ 0.0,,&quot;M&quot;" sourceLinked="0"/>
            <c:spPr>
              <a:noFill/>
              <a:ln>
                <a:noFill/>
              </a:ln>
              <a:effectLst/>
            </c:spPr>
            <c:txPr>
              <a:bodyPr rot="0" spcFirstLastPara="1" vertOverflow="ellipsis" vert="horz" wrap="square" anchor="ctr" anchorCtr="0"/>
              <a:lstStyle/>
              <a:p>
                <a:pPr algn="ctr" rtl="0">
                  <a:defRPr lang="en-US" sz="1000" b="1" i="0" u="none" strike="noStrike" kern="1200" spc="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Tables'!$G$11:$G$46</c:f>
              <c:strCache>
                <c:ptCount val="35"/>
                <c:pt idx="0">
                  <c:v>A1</c:v>
                </c:pt>
                <c:pt idx="1">
                  <c:v>A2</c:v>
                </c:pt>
                <c:pt idx="2">
                  <c:v>A3</c:v>
                </c:pt>
                <c:pt idx="3">
                  <c:v>A5</c:v>
                </c:pt>
                <c:pt idx="4">
                  <c:v>A7</c:v>
                </c:pt>
                <c:pt idx="5">
                  <c:v>A8</c:v>
                </c:pt>
                <c:pt idx="6">
                  <c:v>APH</c:v>
                </c:pt>
                <c:pt idx="7">
                  <c:v>B1</c:v>
                </c:pt>
                <c:pt idx="8">
                  <c:v>B2</c:v>
                </c:pt>
                <c:pt idx="9">
                  <c:v>B4</c:v>
                </c:pt>
                <c:pt idx="10">
                  <c:v>B5</c:v>
                </c:pt>
                <c:pt idx="11">
                  <c:v>B6</c:v>
                </c:pt>
                <c:pt idx="12">
                  <c:v>B7</c:v>
                </c:pt>
                <c:pt idx="13">
                  <c:v>B8</c:v>
                </c:pt>
                <c:pt idx="14">
                  <c:v>C1</c:v>
                </c:pt>
                <c:pt idx="15">
                  <c:v>C2</c:v>
                </c:pt>
                <c:pt idx="16">
                  <c:v>C3</c:v>
                </c:pt>
                <c:pt idx="17">
                  <c:v>C4</c:v>
                </c:pt>
                <c:pt idx="18">
                  <c:v>C5</c:v>
                </c:pt>
                <c:pt idx="19">
                  <c:v>C6</c:v>
                </c:pt>
                <c:pt idx="20">
                  <c:v>C7</c:v>
                </c:pt>
                <c:pt idx="21">
                  <c:v>C8</c:v>
                </c:pt>
                <c:pt idx="22">
                  <c:v>D1</c:v>
                </c:pt>
                <c:pt idx="23">
                  <c:v>D2</c:v>
                </c:pt>
                <c:pt idx="24">
                  <c:v>D3</c:v>
                </c:pt>
                <c:pt idx="25">
                  <c:v>D4</c:v>
                </c:pt>
                <c:pt idx="26">
                  <c:v>D5</c:v>
                </c:pt>
                <c:pt idx="27">
                  <c:v>D6</c:v>
                </c:pt>
                <c:pt idx="28">
                  <c:v>D7</c:v>
                </c:pt>
                <c:pt idx="29">
                  <c:v>D8</c:v>
                </c:pt>
                <c:pt idx="30">
                  <c:v>DPH</c:v>
                </c:pt>
                <c:pt idx="31">
                  <c:v>I1</c:v>
                </c:pt>
                <c:pt idx="32">
                  <c:v>I2</c:v>
                </c:pt>
                <c:pt idx="33">
                  <c:v>I3</c:v>
                </c:pt>
                <c:pt idx="34">
                  <c:v>I4</c:v>
                </c:pt>
              </c:strCache>
            </c:strRef>
          </c:cat>
          <c:val>
            <c:numRef>
              <c:f>'Pivot Tables'!$H$11:$H$46</c:f>
              <c:numCache>
                <c:formatCode>_(* #,##0.00_);_(* \(#,##0.00\);_(* "-"??_);_(@_)</c:formatCode>
                <c:ptCount val="35"/>
                <c:pt idx="0">
                  <c:v>1870574.87</c:v>
                </c:pt>
                <c:pt idx="1">
                  <c:v>602600</c:v>
                </c:pt>
                <c:pt idx="2">
                  <c:v>873000</c:v>
                </c:pt>
                <c:pt idx="3">
                  <c:v>1324950</c:v>
                </c:pt>
                <c:pt idx="4">
                  <c:v>1039100</c:v>
                </c:pt>
                <c:pt idx="5">
                  <c:v>713908.86</c:v>
                </c:pt>
                <c:pt idx="6">
                  <c:v>1324950</c:v>
                </c:pt>
                <c:pt idx="7">
                  <c:v>602600</c:v>
                </c:pt>
                <c:pt idx="8">
                  <c:v>1823245.46</c:v>
                </c:pt>
                <c:pt idx="9">
                  <c:v>1922400</c:v>
                </c:pt>
                <c:pt idx="10">
                  <c:v>2168021.5300000003</c:v>
                </c:pt>
                <c:pt idx="11">
                  <c:v>1615950</c:v>
                </c:pt>
                <c:pt idx="12">
                  <c:v>1766600</c:v>
                </c:pt>
                <c:pt idx="13">
                  <c:v>1043450</c:v>
                </c:pt>
                <c:pt idx="14">
                  <c:v>2143615.7600000002</c:v>
                </c:pt>
                <c:pt idx="15">
                  <c:v>1696197.25</c:v>
                </c:pt>
                <c:pt idx="16">
                  <c:v>1800830.01</c:v>
                </c:pt>
                <c:pt idx="17">
                  <c:v>1517943.2</c:v>
                </c:pt>
                <c:pt idx="18">
                  <c:v>1993789.75</c:v>
                </c:pt>
                <c:pt idx="19">
                  <c:v>1480590.25</c:v>
                </c:pt>
                <c:pt idx="20">
                  <c:v>602600</c:v>
                </c:pt>
                <c:pt idx="21">
                  <c:v>602600</c:v>
                </c:pt>
                <c:pt idx="22">
                  <c:v>1912100</c:v>
                </c:pt>
                <c:pt idx="23">
                  <c:v>1474910.89</c:v>
                </c:pt>
                <c:pt idx="24">
                  <c:v>1389433.8599999999</c:v>
                </c:pt>
                <c:pt idx="25">
                  <c:v>1646558.86</c:v>
                </c:pt>
                <c:pt idx="26">
                  <c:v>1324950</c:v>
                </c:pt>
                <c:pt idx="27">
                  <c:v>3061546.45</c:v>
                </c:pt>
                <c:pt idx="28">
                  <c:v>1705636.44</c:v>
                </c:pt>
                <c:pt idx="29">
                  <c:v>1621100</c:v>
                </c:pt>
                <c:pt idx="30">
                  <c:v>1330100</c:v>
                </c:pt>
                <c:pt idx="31">
                  <c:v>1330460</c:v>
                </c:pt>
                <c:pt idx="32">
                  <c:v>1686432.21</c:v>
                </c:pt>
                <c:pt idx="33">
                  <c:v>1394945.42</c:v>
                </c:pt>
                <c:pt idx="34">
                  <c:v>1475600</c:v>
                </c:pt>
              </c:numCache>
            </c:numRef>
          </c:val>
          <c:extLst>
            <c:ext xmlns:c16="http://schemas.microsoft.com/office/drawing/2014/chart" uri="{C3380CC4-5D6E-409C-BE32-E72D297353CC}">
              <c16:uniqueId val="{00000009-E3B3-4B3D-AD22-AA4720C8B03C}"/>
            </c:ext>
          </c:extLst>
        </c:ser>
        <c:dLbls>
          <c:showLegendKey val="0"/>
          <c:showVal val="1"/>
          <c:showCatName val="0"/>
          <c:showSerName val="0"/>
          <c:showPercent val="0"/>
          <c:showBubbleSize val="0"/>
        </c:dLbls>
        <c:gapWidth val="75"/>
        <c:shape val="box"/>
        <c:axId val="785347104"/>
        <c:axId val="785344944"/>
        <c:axId val="0"/>
      </c:bar3DChart>
      <c:catAx>
        <c:axId val="785347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00" b="1" i="0" u="none" strike="noStrike" kern="1200" spc="0" baseline="0">
                <a:solidFill>
                  <a:schemeClr val="accent5">
                    <a:lumMod val="50000"/>
                  </a:schemeClr>
                </a:solidFill>
                <a:latin typeface="+mn-lt"/>
                <a:ea typeface="+mn-ea"/>
                <a:cs typeface="+mn-cs"/>
              </a:defRPr>
            </a:pPr>
            <a:endParaRPr lang="en-US"/>
          </a:p>
        </c:txPr>
        <c:crossAx val="785344944"/>
        <c:crosses val="autoZero"/>
        <c:auto val="1"/>
        <c:lblAlgn val="ctr"/>
        <c:lblOffset val="100"/>
        <c:noMultiLvlLbl val="0"/>
      </c:catAx>
      <c:valAx>
        <c:axId val="785344944"/>
        <c:scaling>
          <c:orientation val="minMax"/>
        </c:scaling>
        <c:delete val="1"/>
        <c:axPos val="b"/>
        <c:numFmt formatCode="_(* #,##0.00_);_(* \(#,##0.00\);_(* &quot;-&quot;??_);_(@_)" sourceLinked="1"/>
        <c:majorTickMark val="none"/>
        <c:minorTickMark val="none"/>
        <c:tickLblPos val="nextTo"/>
        <c:crossAx val="785347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[Estate Transactions for Year 2024.xlsx]Pivot Tables!Office &amp;Common Area</c:name>
    <c:fmtId val="3"/>
  </c:pivotSource>
  <c:chart>
    <c:title>
      <c:tx>
        <c:rich>
          <a:bodyPr rot="0" spcFirstLastPara="1" vertOverflow="ellipsis" vert="horz" wrap="square" anchor="ctr" anchorCtr="1"/>
          <a:lstStyle/>
          <a:p>
            <a:pPr algn="ctr" rtl="0">
              <a:defRPr lang="en-US" sz="1100" b="1" i="0" u="none" strike="noStrike" kern="1200" spc="0" baseline="0">
                <a:solidFill>
                  <a:schemeClr val="accent5">
                    <a:lumMod val="50000"/>
                  </a:schemeClr>
                </a:solidFill>
                <a:latin typeface="+mn-lt"/>
                <a:ea typeface="+mn-ea"/>
                <a:cs typeface="+mn-cs"/>
              </a:defRPr>
            </a:pPr>
            <a:r>
              <a:rPr lang="en-US" sz="1100" b="1" i="0" u="none" strike="noStrike" kern="1200" spc="0" baseline="0">
                <a:solidFill>
                  <a:schemeClr val="accent5">
                    <a:lumMod val="50000"/>
                  </a:schemeClr>
                </a:solidFill>
                <a:latin typeface="+mn-lt"/>
                <a:ea typeface="+mn-ea"/>
                <a:cs typeface="+mn-cs"/>
              </a:rPr>
              <a:t>Common Area &amp; Mgt. Office</a:t>
            </a:r>
          </a:p>
        </c:rich>
      </c:tx>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spc="0" baseline="0">
                  <a:solidFill>
                    <a:schemeClr val="accent5">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numFmt formatCode="0.0%" sourceLinked="0"/>
          <c:spPr>
            <a:noFill/>
            <a:ln>
              <a:noFill/>
            </a:ln>
            <a:effectLst/>
          </c:spPr>
          <c:txPr>
            <a:bodyPr rot="0" spcFirstLastPara="1" vertOverflow="ellipsis" vert="horz" wrap="square" anchor="ctr" anchorCtr="0"/>
            <a:lstStyle/>
            <a:p>
              <a:pPr algn="ctr" rtl="0">
                <a:defRPr lang="en-US" sz="1100" b="1" i="0" u="none" strike="noStrike" kern="1200" spc="0" baseline="0">
                  <a:solidFill>
                    <a:schemeClr val="accent5">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7260711514388487"/>
                  <c:h val="0.21004809805472877"/>
                </c:manualLayout>
              </c15:layout>
            </c:ext>
          </c:extLst>
        </c:dLbl>
      </c:pivotFmt>
      <c:pivotFmt>
        <c:idx val="10"/>
        <c:spPr>
          <a:solidFill>
            <a:schemeClr val="accent1"/>
          </a:solidFill>
          <a:ln w="19050">
            <a:solidFill>
              <a:schemeClr val="lt1"/>
            </a:solidFill>
          </a:ln>
          <a:effectLst/>
        </c:spPr>
        <c:dLbl>
          <c:idx val="0"/>
          <c:numFmt formatCode="0.0%" sourceLinked="0"/>
          <c:spPr>
            <a:noFill/>
            <a:ln>
              <a:noFill/>
            </a:ln>
            <a:effectLst/>
          </c:spPr>
          <c:txPr>
            <a:bodyPr rot="0" spcFirstLastPara="1" vertOverflow="ellipsis" vert="horz" wrap="square" anchor="ctr" anchorCtr="0"/>
            <a:lstStyle/>
            <a:p>
              <a:pPr algn="ctr" rtl="0">
                <a:defRPr lang="en-US" sz="1100" b="1" i="0" u="none" strike="noStrike" kern="1200" spc="0" baseline="0">
                  <a:solidFill>
                    <a:schemeClr val="accent5">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3387078406960278"/>
                  <c:h val="0.22937824159539866"/>
                </c:manualLayout>
              </c15:layout>
            </c:ext>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002060"/>
          </a:solidFill>
          <a:ln w="19050">
            <a:solidFill>
              <a:schemeClr val="lt1"/>
            </a:solidFill>
          </a:ln>
          <a:effectLst/>
        </c:spPr>
      </c:pivotFmt>
      <c:pivotFmt>
        <c:idx val="16"/>
        <c:dLbl>
          <c:idx val="0"/>
          <c:spPr>
            <a:noFill/>
            <a:ln>
              <a:noFill/>
            </a:ln>
            <a:effectLst/>
          </c:spPr>
          <c:txPr>
            <a:bodyPr rot="0" spcFirstLastPara="1" vertOverflow="ellipsis" vert="horz" wrap="square" lIns="38100" tIns="19050" rIns="38100" bIns="19050" anchor="ctr" anchorCtr="1">
              <a:no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4259161168553872"/>
                  <c:h val="0.13106039370737005"/>
                </c:manualLayout>
              </c15:layout>
            </c:ext>
          </c:extLst>
        </c:dLbl>
      </c:pivotFmt>
    </c:pivotFmts>
    <c:plotArea>
      <c:layout>
        <c:manualLayout>
          <c:layoutTarget val="inner"/>
          <c:xMode val="edge"/>
          <c:yMode val="edge"/>
          <c:x val="2.7156348511186135E-2"/>
          <c:y val="0.12782915520864005"/>
          <c:w val="0.95195703118233532"/>
          <c:h val="0.61196071612355984"/>
        </c:manualLayout>
      </c:layout>
      <c:doughnutChart>
        <c:varyColors val="1"/>
        <c:ser>
          <c:idx val="0"/>
          <c:order val="0"/>
          <c:tx>
            <c:strRef>
              <c:f>'Pivot Tables'!$U$9:$U$10</c:f>
              <c:strCache>
                <c:ptCount val="1"/>
                <c:pt idx="0">
                  <c:v>Electricity Recharge</c:v>
                </c:pt>
              </c:strCache>
            </c:strRef>
          </c:tx>
          <c:dPt>
            <c:idx val="0"/>
            <c:bubble3D val="0"/>
            <c:spPr>
              <a:solidFill>
                <a:schemeClr val="accent1">
                  <a:shade val="76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Lbls>
            <c:dLbl>
              <c:idx val="0"/>
              <c:numFmt formatCode="0.0%" sourceLinked="0"/>
              <c:spPr>
                <a:noFill/>
                <a:ln>
                  <a:noFill/>
                </a:ln>
                <a:effectLst/>
              </c:spPr>
              <c:txPr>
                <a:bodyPr rot="0" spcFirstLastPara="1" vertOverflow="ellipsis" vert="horz" wrap="square" anchor="ctr" anchorCtr="0"/>
                <a:lstStyle/>
                <a:p>
                  <a:pPr algn="ctr" rtl="0">
                    <a:defRPr lang="en-US" sz="1100" b="1" i="0" u="none" strike="noStrike" kern="1200" spc="0" baseline="0">
                      <a:solidFill>
                        <a:schemeClr val="accent5">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7260711514388487"/>
                      <c:h val="0.21004809805472877"/>
                    </c:manualLayout>
                  </c15:layout>
                </c:ext>
              </c:extLst>
            </c:dLbl>
            <c:dLbl>
              <c:idx val="1"/>
              <c:numFmt formatCode="0.0%" sourceLinked="0"/>
              <c:spPr>
                <a:noFill/>
                <a:ln>
                  <a:noFill/>
                </a:ln>
                <a:effectLst/>
              </c:spPr>
              <c:txPr>
                <a:bodyPr rot="0" spcFirstLastPara="1" vertOverflow="ellipsis" vert="horz" wrap="square" anchor="ctr" anchorCtr="0"/>
                <a:lstStyle/>
                <a:p>
                  <a:pPr algn="ctr" rtl="0">
                    <a:defRPr lang="en-US" sz="1100" b="1" i="0" u="none" strike="noStrike" kern="1200" spc="0" baseline="0">
                      <a:solidFill>
                        <a:schemeClr val="accent5">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3387078406960278"/>
                      <c:h val="0.22937824159539866"/>
                    </c:manualLayout>
                  </c15:layout>
                </c:ext>
              </c:extLst>
            </c:dLbl>
            <c:numFmt formatCode="0.0%" sourceLinked="0"/>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spc="0" baseline="0">
                    <a:solidFill>
                      <a:schemeClr val="accent5">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Tables'!$T$11:$T$13</c:f>
              <c:strCache>
                <c:ptCount val="2"/>
                <c:pt idx="0">
                  <c:v>Common Area</c:v>
                </c:pt>
                <c:pt idx="1">
                  <c:v>Office</c:v>
                </c:pt>
              </c:strCache>
            </c:strRef>
          </c:cat>
          <c:val>
            <c:numRef>
              <c:f>'Pivot Tables'!$U$11:$U$13</c:f>
              <c:numCache>
                <c:formatCode>_(* #,##0.00_);_(* \(#,##0.00\);_(* "-"??_);_(@_)</c:formatCode>
                <c:ptCount val="2"/>
                <c:pt idx="0">
                  <c:v>22092500</c:v>
                </c:pt>
                <c:pt idx="1">
                  <c:v>1090200</c:v>
                </c:pt>
              </c:numCache>
            </c:numRef>
          </c:val>
          <c:extLst>
            <c:ext xmlns:c16="http://schemas.microsoft.com/office/drawing/2014/chart" uri="{C3380CC4-5D6E-409C-BE32-E72D297353CC}">
              <c16:uniqueId val="{00000008-A165-4BBC-A86D-73BCCF6994F9}"/>
            </c:ext>
          </c:extLst>
        </c:ser>
        <c:ser>
          <c:idx val="1"/>
          <c:order val="1"/>
          <c:tx>
            <c:strRef>
              <c:f>'Pivot Tables'!$V$9:$V$10</c:f>
              <c:strCache>
                <c:ptCount val="1"/>
                <c:pt idx="0">
                  <c:v>Water Bill</c:v>
                </c:pt>
              </c:strCache>
            </c:strRef>
          </c:tx>
          <c:dPt>
            <c:idx val="0"/>
            <c:bubble3D val="0"/>
            <c:spPr>
              <a:solidFill>
                <a:schemeClr val="accent1">
                  <a:shade val="76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Tables'!$T$11:$T$13</c:f>
              <c:strCache>
                <c:ptCount val="2"/>
                <c:pt idx="0">
                  <c:v>Common Area</c:v>
                </c:pt>
                <c:pt idx="1">
                  <c:v>Office</c:v>
                </c:pt>
              </c:strCache>
            </c:strRef>
          </c:cat>
          <c:val>
            <c:numRef>
              <c:f>'Pivot Tables'!$V$11:$V$13</c:f>
              <c:numCache>
                <c:formatCode>_(* #,##0.00_);_(* \(#,##0.00\);_(* "-"??_);_(@_)</c:formatCode>
                <c:ptCount val="2"/>
                <c:pt idx="0">
                  <c:v>10000</c:v>
                </c:pt>
              </c:numCache>
            </c:numRef>
          </c:val>
          <c:extLst>
            <c:ext xmlns:c16="http://schemas.microsoft.com/office/drawing/2014/chart" uri="{C3380CC4-5D6E-409C-BE32-E72D297353CC}">
              <c16:uniqueId val="{0000000B-A165-4BBC-A86D-73BCCF6994F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0.1525497784414129"/>
          <c:y val="0.73159894993736552"/>
          <c:w val="0.69490044311717414"/>
          <c:h val="5.9236957812835327E-2"/>
        </c:manualLayout>
      </c:layout>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chemeClr val="accent5">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[Estate Transactions for Year 2024.xlsx]Pivot Tables!Water Payment</c:name>
    <c:fmtId val="3"/>
  </c:pivotSource>
  <c:chart>
    <c:title>
      <c:tx>
        <c:rich>
          <a:bodyPr rot="0" spcFirstLastPara="1" vertOverflow="ellipsis" vert="horz" wrap="square" anchor="ctr" anchorCtr="1"/>
          <a:lstStyle/>
          <a:p>
            <a:pPr algn="ctr" rtl="0">
              <a:defRPr lang="en-US" sz="1200" b="1" i="0" u="none" strike="noStrike" kern="1200" spc="0" baseline="0">
                <a:solidFill>
                  <a:schemeClr val="accent5">
                    <a:lumMod val="50000"/>
                  </a:schemeClr>
                </a:solidFill>
                <a:latin typeface="+mn-lt"/>
                <a:ea typeface="+mn-ea"/>
                <a:cs typeface="+mn-cs"/>
              </a:defRPr>
            </a:pPr>
            <a:r>
              <a:rPr lang="en-US"/>
              <a:t>Water Bill</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900"/>
          </a:soli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9900"/>
          </a:solidFill>
          <a:ln>
            <a:noFill/>
          </a:ln>
          <a:effectLst>
            <a:outerShdw blurRad="50800" dist="38100" dir="14700000" algn="t" rotWithShape="0">
              <a:srgbClr val="000000">
                <a:alpha val="60000"/>
              </a:srgbClr>
            </a:outerShdw>
          </a:effectLst>
        </c:spPr>
      </c:pivotFmt>
      <c:pivotFmt>
        <c:idx val="8"/>
        <c:spPr>
          <a:solidFill>
            <a:srgbClr val="FF9900"/>
          </a:solidFill>
          <a:ln>
            <a:noFill/>
          </a:ln>
          <a:effectLst>
            <a:outerShdw blurRad="50800" dist="38100" dir="14700000" algn="t" rotWithShape="0">
              <a:srgbClr val="000000">
                <a:alpha val="60000"/>
              </a:srgbClr>
            </a:outerShdw>
          </a:effectLst>
        </c:spPr>
      </c:pivotFmt>
      <c:pivotFmt>
        <c:idx val="9"/>
        <c:spPr>
          <a:solidFill>
            <a:srgbClr val="FF9900"/>
          </a:solidFill>
          <a:ln>
            <a:noFill/>
          </a:ln>
          <a:effectLst>
            <a:outerShdw blurRad="50800" dist="38100" dir="14700000" algn="t" rotWithShape="0">
              <a:srgbClr val="000000">
                <a:alpha val="60000"/>
              </a:srgbClr>
            </a:outerShdw>
          </a:effectLst>
        </c:spPr>
      </c:pivotFmt>
      <c:pivotFmt>
        <c:idx val="10"/>
        <c:spPr>
          <a:solidFill>
            <a:srgbClr val="FF9900"/>
          </a:solidFill>
          <a:ln>
            <a:noFill/>
          </a:ln>
          <a:effectLst>
            <a:outerShdw blurRad="50800" dist="38100" dir="14700000" algn="t" rotWithShape="0">
              <a:srgbClr val="000000">
                <a:alpha val="60000"/>
              </a:srgbClr>
            </a:outerShdw>
          </a:effectLst>
        </c:spPr>
      </c:pivotFmt>
      <c:pivotFmt>
        <c:idx val="11"/>
        <c:spPr>
          <a:solidFill>
            <a:srgbClr val="FF9900"/>
          </a:solidFill>
          <a:ln>
            <a:noFill/>
          </a:ln>
          <a:effectLst>
            <a:outerShdw blurRad="50800" dist="38100" dir="14700000" algn="t" rotWithShape="0">
              <a:srgbClr val="000000">
                <a:alpha val="60000"/>
              </a:srgbClr>
            </a:outerShdw>
          </a:effectLst>
        </c:spPr>
      </c:pivotFmt>
      <c:pivotFmt>
        <c:idx val="12"/>
        <c:spPr>
          <a:solidFill>
            <a:srgbClr val="FF9900"/>
          </a:solidFill>
          <a:ln>
            <a:noFill/>
          </a:ln>
          <a:effectLst>
            <a:outerShdw blurRad="50800" dist="38100" dir="14700000" algn="t" rotWithShape="0">
              <a:srgbClr val="000000">
                <a:alpha val="60000"/>
              </a:srgbClr>
            </a:outerShdw>
          </a:effectLst>
        </c:spPr>
      </c:pivotFmt>
    </c:pivotFmts>
    <c:plotArea>
      <c:layout/>
      <c:barChart>
        <c:barDir val="col"/>
        <c:grouping val="clustered"/>
        <c:varyColors val="0"/>
        <c:ser>
          <c:idx val="0"/>
          <c:order val="0"/>
          <c:tx>
            <c:strRef>
              <c:f>'Pivot Tables'!$N$9:$N$10</c:f>
              <c:strCache>
                <c:ptCount val="1"/>
                <c:pt idx="0">
                  <c:v>Water Bill</c:v>
                </c:pt>
              </c:strCache>
            </c:strRef>
          </c:tx>
          <c:spPr>
            <a:solidFill>
              <a:srgbClr val="FF9900"/>
            </a:solidFill>
            <a:ln>
              <a:noFill/>
            </a:ln>
            <a:effectLst>
              <a:outerShdw blurRad="50800" dist="38100" dir="14700000" algn="t" rotWithShape="0">
                <a:srgbClr val="000000">
                  <a:alpha val="60000"/>
                </a:srgbClr>
              </a:outerShdw>
            </a:effectLst>
          </c:spPr>
          <c:invertIfNegative val="0"/>
          <c:cat>
            <c:strRef>
              <c:f>'Pivot Tables'!$M$11:$M$48</c:f>
              <c:strCache>
                <c:ptCount val="37"/>
                <c:pt idx="0">
                  <c:v>A1</c:v>
                </c:pt>
                <c:pt idx="1">
                  <c:v>A2</c:v>
                </c:pt>
                <c:pt idx="2">
                  <c:v>A3</c:v>
                </c:pt>
                <c:pt idx="3">
                  <c:v>A4</c:v>
                </c:pt>
                <c:pt idx="4">
                  <c:v>A5</c:v>
                </c:pt>
                <c:pt idx="5">
                  <c:v>A7</c:v>
                </c:pt>
                <c:pt idx="6">
                  <c:v>A8</c:v>
                </c:pt>
                <c:pt idx="7">
                  <c:v>B1</c:v>
                </c:pt>
                <c:pt idx="8">
                  <c:v>B2</c:v>
                </c:pt>
                <c:pt idx="9">
                  <c:v>B3</c:v>
                </c:pt>
                <c:pt idx="10">
                  <c:v>B4</c:v>
                </c:pt>
                <c:pt idx="11">
                  <c:v>B5</c:v>
                </c:pt>
                <c:pt idx="12">
                  <c:v>B6</c:v>
                </c:pt>
                <c:pt idx="13">
                  <c:v>B7</c:v>
                </c:pt>
                <c:pt idx="14">
                  <c:v>B8</c:v>
                </c:pt>
                <c:pt idx="15">
                  <c:v>C1</c:v>
                </c:pt>
                <c:pt idx="16">
                  <c:v>C2</c:v>
                </c:pt>
                <c:pt idx="17">
                  <c:v>C3</c:v>
                </c:pt>
                <c:pt idx="18">
                  <c:v>C4</c:v>
                </c:pt>
                <c:pt idx="19">
                  <c:v>C5</c:v>
                </c:pt>
                <c:pt idx="20">
                  <c:v>C6</c:v>
                </c:pt>
                <c:pt idx="21">
                  <c:v>C7</c:v>
                </c:pt>
                <c:pt idx="22">
                  <c:v>C8</c:v>
                </c:pt>
                <c:pt idx="23">
                  <c:v>Common Area</c:v>
                </c:pt>
                <c:pt idx="24">
                  <c:v>D1</c:v>
                </c:pt>
                <c:pt idx="25">
                  <c:v>D2</c:v>
                </c:pt>
                <c:pt idx="26">
                  <c:v>D3</c:v>
                </c:pt>
                <c:pt idx="27">
                  <c:v>D4</c:v>
                </c:pt>
                <c:pt idx="28">
                  <c:v>D5</c:v>
                </c:pt>
                <c:pt idx="29">
                  <c:v>D6</c:v>
                </c:pt>
                <c:pt idx="30">
                  <c:v>D7</c:v>
                </c:pt>
                <c:pt idx="31">
                  <c:v>D8</c:v>
                </c:pt>
                <c:pt idx="32">
                  <c:v>DPH</c:v>
                </c:pt>
                <c:pt idx="33">
                  <c:v>I1</c:v>
                </c:pt>
                <c:pt idx="34">
                  <c:v>I2</c:v>
                </c:pt>
                <c:pt idx="35">
                  <c:v>I3</c:v>
                </c:pt>
                <c:pt idx="36">
                  <c:v>I4</c:v>
                </c:pt>
              </c:strCache>
            </c:strRef>
          </c:cat>
          <c:val>
            <c:numRef>
              <c:f>'Pivot Tables'!$N$11:$N$48</c:f>
              <c:numCache>
                <c:formatCode>_(* #,##0.00_);_(* \(#,##0.00\);_(* "-"??_);_(@_)</c:formatCode>
                <c:ptCount val="37"/>
                <c:pt idx="0">
                  <c:v>120000</c:v>
                </c:pt>
                <c:pt idx="1">
                  <c:v>90000</c:v>
                </c:pt>
                <c:pt idx="2">
                  <c:v>90000</c:v>
                </c:pt>
                <c:pt idx="3">
                  <c:v>130000</c:v>
                </c:pt>
                <c:pt idx="4">
                  <c:v>80000</c:v>
                </c:pt>
                <c:pt idx="5">
                  <c:v>40000</c:v>
                </c:pt>
                <c:pt idx="6">
                  <c:v>10000</c:v>
                </c:pt>
                <c:pt idx="7">
                  <c:v>40000</c:v>
                </c:pt>
                <c:pt idx="8">
                  <c:v>120000</c:v>
                </c:pt>
                <c:pt idx="9">
                  <c:v>90000</c:v>
                </c:pt>
                <c:pt idx="10">
                  <c:v>70000</c:v>
                </c:pt>
                <c:pt idx="11">
                  <c:v>130000</c:v>
                </c:pt>
                <c:pt idx="12">
                  <c:v>110000</c:v>
                </c:pt>
                <c:pt idx="13">
                  <c:v>120000</c:v>
                </c:pt>
                <c:pt idx="14">
                  <c:v>130000</c:v>
                </c:pt>
                <c:pt idx="15">
                  <c:v>100000</c:v>
                </c:pt>
                <c:pt idx="16">
                  <c:v>120000</c:v>
                </c:pt>
                <c:pt idx="17">
                  <c:v>157500</c:v>
                </c:pt>
                <c:pt idx="18">
                  <c:v>90000</c:v>
                </c:pt>
                <c:pt idx="19">
                  <c:v>177500</c:v>
                </c:pt>
                <c:pt idx="20">
                  <c:v>120000</c:v>
                </c:pt>
                <c:pt idx="21">
                  <c:v>120000</c:v>
                </c:pt>
                <c:pt idx="22">
                  <c:v>20000</c:v>
                </c:pt>
                <c:pt idx="23">
                  <c:v>10000</c:v>
                </c:pt>
                <c:pt idx="24">
                  <c:v>130000</c:v>
                </c:pt>
                <c:pt idx="25">
                  <c:v>120000</c:v>
                </c:pt>
                <c:pt idx="26">
                  <c:v>110000</c:v>
                </c:pt>
                <c:pt idx="27">
                  <c:v>138250</c:v>
                </c:pt>
                <c:pt idx="28">
                  <c:v>120000</c:v>
                </c:pt>
                <c:pt idx="29">
                  <c:v>260000</c:v>
                </c:pt>
                <c:pt idx="30">
                  <c:v>130000</c:v>
                </c:pt>
                <c:pt idx="31">
                  <c:v>110000</c:v>
                </c:pt>
                <c:pt idx="32">
                  <c:v>100000</c:v>
                </c:pt>
                <c:pt idx="33">
                  <c:v>100000</c:v>
                </c:pt>
                <c:pt idx="34">
                  <c:v>90000</c:v>
                </c:pt>
                <c:pt idx="35">
                  <c:v>80000</c:v>
                </c:pt>
                <c:pt idx="36">
                  <c:v>80000</c:v>
                </c:pt>
              </c:numCache>
            </c:numRef>
          </c:val>
          <c:extLst>
            <c:ext xmlns:c16="http://schemas.microsoft.com/office/drawing/2014/chart" uri="{C3380CC4-5D6E-409C-BE32-E72D297353CC}">
              <c16:uniqueId val="{00000005-09B7-4BA9-9BEA-1BAB7A64ADAF}"/>
            </c:ext>
          </c:extLst>
        </c:ser>
        <c:ser>
          <c:idx val="1"/>
          <c:order val="1"/>
          <c:tx>
            <c:strRef>
              <c:f>'Pivot Tables'!$O$9:$O$10</c:f>
              <c:strCache>
                <c:ptCount val="1"/>
                <c:pt idx="0">
                  <c:v>Water Bill Late Payment Charge</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'Pivot Tables'!$M$11:$M$48</c:f>
              <c:strCache>
                <c:ptCount val="37"/>
                <c:pt idx="0">
                  <c:v>A1</c:v>
                </c:pt>
                <c:pt idx="1">
                  <c:v>A2</c:v>
                </c:pt>
                <c:pt idx="2">
                  <c:v>A3</c:v>
                </c:pt>
                <c:pt idx="3">
                  <c:v>A4</c:v>
                </c:pt>
                <c:pt idx="4">
                  <c:v>A5</c:v>
                </c:pt>
                <c:pt idx="5">
                  <c:v>A7</c:v>
                </c:pt>
                <c:pt idx="6">
                  <c:v>A8</c:v>
                </c:pt>
                <c:pt idx="7">
                  <c:v>B1</c:v>
                </c:pt>
                <c:pt idx="8">
                  <c:v>B2</c:v>
                </c:pt>
                <c:pt idx="9">
                  <c:v>B3</c:v>
                </c:pt>
                <c:pt idx="10">
                  <c:v>B4</c:v>
                </c:pt>
                <c:pt idx="11">
                  <c:v>B5</c:v>
                </c:pt>
                <c:pt idx="12">
                  <c:v>B6</c:v>
                </c:pt>
                <c:pt idx="13">
                  <c:v>B7</c:v>
                </c:pt>
                <c:pt idx="14">
                  <c:v>B8</c:v>
                </c:pt>
                <c:pt idx="15">
                  <c:v>C1</c:v>
                </c:pt>
                <c:pt idx="16">
                  <c:v>C2</c:v>
                </c:pt>
                <c:pt idx="17">
                  <c:v>C3</c:v>
                </c:pt>
                <c:pt idx="18">
                  <c:v>C4</c:v>
                </c:pt>
                <c:pt idx="19">
                  <c:v>C5</c:v>
                </c:pt>
                <c:pt idx="20">
                  <c:v>C6</c:v>
                </c:pt>
                <c:pt idx="21">
                  <c:v>C7</c:v>
                </c:pt>
                <c:pt idx="22">
                  <c:v>C8</c:v>
                </c:pt>
                <c:pt idx="23">
                  <c:v>Common Area</c:v>
                </c:pt>
                <c:pt idx="24">
                  <c:v>D1</c:v>
                </c:pt>
                <c:pt idx="25">
                  <c:v>D2</c:v>
                </c:pt>
                <c:pt idx="26">
                  <c:v>D3</c:v>
                </c:pt>
                <c:pt idx="27">
                  <c:v>D4</c:v>
                </c:pt>
                <c:pt idx="28">
                  <c:v>D5</c:v>
                </c:pt>
                <c:pt idx="29">
                  <c:v>D6</c:v>
                </c:pt>
                <c:pt idx="30">
                  <c:v>D7</c:v>
                </c:pt>
                <c:pt idx="31">
                  <c:v>D8</c:v>
                </c:pt>
                <c:pt idx="32">
                  <c:v>DPH</c:v>
                </c:pt>
                <c:pt idx="33">
                  <c:v>I1</c:v>
                </c:pt>
                <c:pt idx="34">
                  <c:v>I2</c:v>
                </c:pt>
                <c:pt idx="35">
                  <c:v>I3</c:v>
                </c:pt>
                <c:pt idx="36">
                  <c:v>I4</c:v>
                </c:pt>
              </c:strCache>
            </c:strRef>
          </c:cat>
          <c:val>
            <c:numRef>
              <c:f>'Pivot Tables'!$O$11:$O$48</c:f>
              <c:numCache>
                <c:formatCode>_(* #,##0.00_);_(* \(#,##0.00\);_(* "-"??_);_(@_)</c:formatCode>
                <c:ptCount val="37"/>
                <c:pt idx="17">
                  <c:v>4750</c:v>
                </c:pt>
                <c:pt idx="19">
                  <c:v>4750</c:v>
                </c:pt>
              </c:numCache>
            </c:numRef>
          </c:val>
          <c:extLst>
            <c:ext xmlns:c16="http://schemas.microsoft.com/office/drawing/2014/chart" uri="{C3380CC4-5D6E-409C-BE32-E72D297353CC}">
              <c16:uniqueId val="{00000002-D4C5-4351-A28D-01C61A81E65C}"/>
            </c:ext>
          </c:extLst>
        </c:ser>
        <c:dLbls>
          <c:showLegendKey val="0"/>
          <c:showVal val="0"/>
          <c:showCatName val="0"/>
          <c:showSerName val="0"/>
          <c:showPercent val="0"/>
          <c:showBubbleSize val="0"/>
        </c:dLbls>
        <c:gapWidth val="0"/>
        <c:axId val="845394328"/>
        <c:axId val="845394688"/>
      </c:barChart>
      <c:catAx>
        <c:axId val="8453943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rtl="0">
              <a:defRPr lang="en-US" sz="1000" b="1" i="0" u="none" strike="noStrike" kern="1200" spc="0" baseline="0">
                <a:solidFill>
                  <a:schemeClr val="accent5">
                    <a:lumMod val="50000"/>
                  </a:schemeClr>
                </a:solidFill>
                <a:latin typeface="+mn-lt"/>
                <a:ea typeface="+mn-ea"/>
                <a:cs typeface="+mn-cs"/>
              </a:defRPr>
            </a:pPr>
            <a:endParaRPr lang="en-US"/>
          </a:p>
        </c:txPr>
        <c:crossAx val="845394688"/>
        <c:crosses val="autoZero"/>
        <c:auto val="1"/>
        <c:lblAlgn val="ctr"/>
        <c:lblOffset val="100"/>
        <c:noMultiLvlLbl val="0"/>
      </c:catAx>
      <c:valAx>
        <c:axId val="845394688"/>
        <c:scaling>
          <c:orientation val="minMax"/>
        </c:scaling>
        <c:delete val="0"/>
        <c:axPos val="l"/>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spc="0" baseline="0">
                <a:solidFill>
                  <a:schemeClr val="accent5">
                    <a:lumMod val="50000"/>
                  </a:schemeClr>
                </a:solidFill>
                <a:latin typeface="+mn-lt"/>
                <a:ea typeface="+mn-ea"/>
                <a:cs typeface="+mn-cs"/>
              </a:defRPr>
            </a:pPr>
            <a:endParaRPr lang="en-US"/>
          </a:p>
        </c:txPr>
        <c:crossAx val="845394328"/>
        <c:crosses val="autoZero"/>
        <c:crossBetween val="between"/>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BFC3DD"/>
    </a:solidFill>
    <a:ln w="9525" cap="flat" cmpd="sng" algn="ctr">
      <a:solidFill>
        <a:schemeClr val="tx2">
          <a:lumMod val="15000"/>
          <a:lumOff val="85000"/>
        </a:schemeClr>
      </a:solidFill>
      <a:round/>
    </a:ln>
    <a:effectLst/>
  </c:spPr>
  <c:txPr>
    <a:bodyPr/>
    <a:lstStyle/>
    <a:p>
      <a:pPr algn="ctr" rtl="0">
        <a:defRPr lang="en-US" sz="1000" b="1" i="0" u="none" strike="noStrike" kern="1200" spc="0" baseline="0">
          <a:solidFill>
            <a:schemeClr val="accent5">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[Estate Transactions for Year 2024.xlsx]Pivot Tables!Access Fee</c:name>
    <c:fmtId val="7"/>
  </c:pivotSource>
  <c:chart>
    <c:title>
      <c:overlay val="0"/>
      <c:spPr>
        <a:noFill/>
        <a:ln>
          <a:noFill/>
        </a:ln>
        <a:effectLst/>
      </c:spPr>
      <c:txPr>
        <a:bodyPr rot="0" spcFirstLastPara="1" vertOverflow="ellipsis" vert="horz" wrap="square" anchor="ctr" anchorCtr="1"/>
        <a:lstStyle/>
        <a:p>
          <a:pPr>
            <a:defRPr lang="en-US" sz="132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spc="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Tables'!$R$9:$R$10</c:f>
              <c:strCache>
                <c:ptCount val="1"/>
                <c:pt idx="0">
                  <c:v>Fixed Charge</c:v>
                </c:pt>
              </c:strCache>
            </c:strRef>
          </c:tx>
          <c:spPr>
            <a:ln w="28575" cap="rnd">
              <a:solidFill>
                <a:schemeClr val="accent1"/>
              </a:solidFill>
              <a:round/>
            </a:ln>
            <a:effectLst/>
          </c:spPr>
          <c:marker>
            <c:symbol val="none"/>
          </c:marker>
          <c:cat>
            <c:strRef>
              <c:f>'Pivot Tables'!$Q$11:$Q$47</c:f>
              <c:strCache>
                <c:ptCount val="36"/>
                <c:pt idx="0">
                  <c:v>A1</c:v>
                </c:pt>
                <c:pt idx="1">
                  <c:v>A2</c:v>
                </c:pt>
                <c:pt idx="2">
                  <c:v>A3</c:v>
                </c:pt>
                <c:pt idx="3">
                  <c:v>A4</c:v>
                </c:pt>
                <c:pt idx="4">
                  <c:v>A5</c:v>
                </c:pt>
                <c:pt idx="5">
                  <c:v>A7</c:v>
                </c:pt>
                <c:pt idx="6">
                  <c:v>A8</c:v>
                </c:pt>
                <c:pt idx="7">
                  <c:v>B1</c:v>
                </c:pt>
                <c:pt idx="8">
                  <c:v>B2</c:v>
                </c:pt>
                <c:pt idx="9">
                  <c:v>B3</c:v>
                </c:pt>
                <c:pt idx="10">
                  <c:v>B4</c:v>
                </c:pt>
                <c:pt idx="11">
                  <c:v>B5</c:v>
                </c:pt>
                <c:pt idx="12">
                  <c:v>B6</c:v>
                </c:pt>
                <c:pt idx="13">
                  <c:v>B7</c:v>
                </c:pt>
                <c:pt idx="14">
                  <c:v>B8</c:v>
                </c:pt>
                <c:pt idx="15">
                  <c:v>C1</c:v>
                </c:pt>
                <c:pt idx="16">
                  <c:v>C2</c:v>
                </c:pt>
                <c:pt idx="17">
                  <c:v>C3</c:v>
                </c:pt>
                <c:pt idx="18">
                  <c:v>C4</c:v>
                </c:pt>
                <c:pt idx="19">
                  <c:v>C5</c:v>
                </c:pt>
                <c:pt idx="20">
                  <c:v>C6</c:v>
                </c:pt>
                <c:pt idx="21">
                  <c:v>C7</c:v>
                </c:pt>
                <c:pt idx="22">
                  <c:v>C8</c:v>
                </c:pt>
                <c:pt idx="23">
                  <c:v>D1</c:v>
                </c:pt>
                <c:pt idx="24">
                  <c:v>D2</c:v>
                </c:pt>
                <c:pt idx="25">
                  <c:v>D3</c:v>
                </c:pt>
                <c:pt idx="26">
                  <c:v>D4</c:v>
                </c:pt>
                <c:pt idx="27">
                  <c:v>D5</c:v>
                </c:pt>
                <c:pt idx="28">
                  <c:v>D6</c:v>
                </c:pt>
                <c:pt idx="29">
                  <c:v>D7</c:v>
                </c:pt>
                <c:pt idx="30">
                  <c:v>D8</c:v>
                </c:pt>
                <c:pt idx="31">
                  <c:v>DPH</c:v>
                </c:pt>
                <c:pt idx="32">
                  <c:v>I1</c:v>
                </c:pt>
                <c:pt idx="33">
                  <c:v>I2</c:v>
                </c:pt>
                <c:pt idx="34">
                  <c:v>I3</c:v>
                </c:pt>
                <c:pt idx="35">
                  <c:v>I4</c:v>
                </c:pt>
              </c:strCache>
            </c:strRef>
          </c:cat>
          <c:val>
            <c:numRef>
              <c:f>'Pivot Tables'!$R$11:$R$47</c:f>
              <c:numCache>
                <c:formatCode>_(* #,##0.00_);_(* \(#,##0.00\);_(* "-"??_);_(@_)</c:formatCode>
                <c:ptCount val="36"/>
                <c:pt idx="0">
                  <c:v>376330.41000000003</c:v>
                </c:pt>
                <c:pt idx="1">
                  <c:v>376330.41000000003</c:v>
                </c:pt>
                <c:pt idx="2">
                  <c:v>64912.4</c:v>
                </c:pt>
                <c:pt idx="3">
                  <c:v>64912.4</c:v>
                </c:pt>
                <c:pt idx="4">
                  <c:v>250376.4</c:v>
                </c:pt>
                <c:pt idx="5">
                  <c:v>376330.41000000003</c:v>
                </c:pt>
                <c:pt idx="6">
                  <c:v>376330.41000000003</c:v>
                </c:pt>
                <c:pt idx="7">
                  <c:v>376330.41000000003</c:v>
                </c:pt>
                <c:pt idx="8">
                  <c:v>376330.41000000003</c:v>
                </c:pt>
                <c:pt idx="9">
                  <c:v>376330.41000000003</c:v>
                </c:pt>
                <c:pt idx="10">
                  <c:v>376330.41000000003</c:v>
                </c:pt>
                <c:pt idx="11">
                  <c:v>376330.41000000003</c:v>
                </c:pt>
                <c:pt idx="12">
                  <c:v>376330.41000000003</c:v>
                </c:pt>
                <c:pt idx="13">
                  <c:v>376330.41000000003</c:v>
                </c:pt>
                <c:pt idx="14">
                  <c:v>376330.41000000003</c:v>
                </c:pt>
                <c:pt idx="15">
                  <c:v>376330.41000000003</c:v>
                </c:pt>
                <c:pt idx="16">
                  <c:v>376330.41000000003</c:v>
                </c:pt>
                <c:pt idx="17">
                  <c:v>250376.4</c:v>
                </c:pt>
                <c:pt idx="18">
                  <c:v>376330.41000000003</c:v>
                </c:pt>
                <c:pt idx="19">
                  <c:v>376330.41000000003</c:v>
                </c:pt>
                <c:pt idx="20">
                  <c:v>376330.41000000003</c:v>
                </c:pt>
                <c:pt idx="21">
                  <c:v>376330.41000000003</c:v>
                </c:pt>
                <c:pt idx="22">
                  <c:v>376330.41000000003</c:v>
                </c:pt>
                <c:pt idx="23">
                  <c:v>376330.41000000003</c:v>
                </c:pt>
                <c:pt idx="24">
                  <c:v>376330.41000000003</c:v>
                </c:pt>
                <c:pt idx="25">
                  <c:v>376330.41000000003</c:v>
                </c:pt>
                <c:pt idx="26">
                  <c:v>376330.41000000003</c:v>
                </c:pt>
                <c:pt idx="27">
                  <c:v>376330.41000000003</c:v>
                </c:pt>
                <c:pt idx="28">
                  <c:v>752660.82000000007</c:v>
                </c:pt>
                <c:pt idx="29">
                  <c:v>376330.41000000003</c:v>
                </c:pt>
                <c:pt idx="30">
                  <c:v>376330.41000000003</c:v>
                </c:pt>
                <c:pt idx="31">
                  <c:v>376330.41000000003</c:v>
                </c:pt>
                <c:pt idx="32">
                  <c:v>376330.41000000003</c:v>
                </c:pt>
                <c:pt idx="33">
                  <c:v>376330.41000000003</c:v>
                </c:pt>
                <c:pt idx="34">
                  <c:v>376330.41000000003</c:v>
                </c:pt>
                <c:pt idx="35">
                  <c:v>376330.41000000003</c:v>
                </c:pt>
              </c:numCache>
            </c:numRef>
          </c:val>
          <c:smooth val="0"/>
          <c:extLst>
            <c:ext xmlns:c16="http://schemas.microsoft.com/office/drawing/2014/chart" uri="{C3380CC4-5D6E-409C-BE32-E72D297353CC}">
              <c16:uniqueId val="{00000000-0A34-4BF0-852B-E6B62872A3EB}"/>
            </c:ext>
          </c:extLst>
        </c:ser>
        <c:dLbls>
          <c:showLegendKey val="0"/>
          <c:showVal val="0"/>
          <c:showCatName val="0"/>
          <c:showSerName val="0"/>
          <c:showPercent val="0"/>
          <c:showBubbleSize val="0"/>
        </c:dLbls>
        <c:smooth val="0"/>
        <c:axId val="699175936"/>
        <c:axId val="699176656"/>
      </c:lineChart>
      <c:catAx>
        <c:axId val="69917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spc="0" baseline="0">
                <a:solidFill>
                  <a:schemeClr val="accent5">
                    <a:lumMod val="50000"/>
                  </a:schemeClr>
                </a:solidFill>
                <a:latin typeface="+mn-lt"/>
                <a:ea typeface="+mn-ea"/>
                <a:cs typeface="+mn-cs"/>
              </a:defRPr>
            </a:pPr>
            <a:endParaRPr lang="en-US"/>
          </a:p>
        </c:txPr>
        <c:crossAx val="699176656"/>
        <c:crosses val="autoZero"/>
        <c:auto val="1"/>
        <c:lblAlgn val="ctr"/>
        <c:lblOffset val="100"/>
        <c:noMultiLvlLbl val="0"/>
      </c:catAx>
      <c:valAx>
        <c:axId val="699176656"/>
        <c:scaling>
          <c:orientation val="minMax"/>
        </c:scaling>
        <c:delete val="0"/>
        <c:axPos val="l"/>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lgn="ctr" rtl="0">
              <a:defRPr lang="en-US" sz="1000" b="1" i="0" u="none" strike="noStrike" kern="1200" spc="0" baseline="0">
                <a:solidFill>
                  <a:schemeClr val="accent5">
                    <a:lumMod val="50000"/>
                  </a:schemeClr>
                </a:solidFill>
                <a:latin typeface="+mn-lt"/>
                <a:ea typeface="+mn-ea"/>
                <a:cs typeface="+mn-cs"/>
              </a:defRPr>
            </a:pPr>
            <a:endParaRPr lang="en-US"/>
          </a:p>
        </c:txPr>
        <c:crossAx val="69917593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lgn="ctr" rtl="0">
        <a:defRPr lang="en-US" sz="1100" b="1" i="0" u="none" strike="noStrike" kern="1200" spc="0" baseline="0">
          <a:solidFill>
            <a:schemeClr val="accent5">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99988</xdr:colOff>
      <xdr:row>0</xdr:row>
      <xdr:rowOff>34019</xdr:rowOff>
    </xdr:from>
    <xdr:to>
      <xdr:col>14</xdr:col>
      <xdr:colOff>172690</xdr:colOff>
      <xdr:row>7</xdr:row>
      <xdr:rowOff>125351</xdr:rowOff>
    </xdr:to>
    <mc:AlternateContent xmlns:mc="http://schemas.openxmlformats.org/markup-compatibility/2006" xmlns:a14="http://schemas.microsoft.com/office/drawing/2010/main">
      <mc:Choice Requires="a14">
        <xdr:graphicFrame macro="">
          <xdr:nvGraphicFramePr>
            <xdr:cNvPr id="2" name="Apartment ID">
              <a:extLst>
                <a:ext uri="{FF2B5EF4-FFF2-40B4-BE49-F238E27FC236}">
                  <a16:creationId xmlns:a16="http://schemas.microsoft.com/office/drawing/2014/main" id="{32979294-BA20-48D5-DF3F-1CCFCECA593B}"/>
                </a:ext>
              </a:extLst>
            </xdr:cNvPr>
            <xdr:cNvGraphicFramePr/>
          </xdr:nvGraphicFramePr>
          <xdr:xfrm>
            <a:off x="0" y="0"/>
            <a:ext cx="0" cy="0"/>
          </xdr:xfrm>
          <a:graphic>
            <a:graphicData uri="http://schemas.microsoft.com/office/drawing/2010/slicer">
              <sle:slicer xmlns:sle="http://schemas.microsoft.com/office/drawing/2010/slicer" name="Apartment ID"/>
            </a:graphicData>
          </a:graphic>
        </xdr:graphicFrame>
      </mc:Choice>
      <mc:Fallback xmlns="">
        <xdr:sp macro="" textlink="">
          <xdr:nvSpPr>
            <xdr:cNvPr id="0" name=""/>
            <xdr:cNvSpPr>
              <a:spLocks noTextEdit="1"/>
            </xdr:cNvSpPr>
          </xdr:nvSpPr>
          <xdr:spPr>
            <a:xfrm>
              <a:off x="99988" y="34019"/>
              <a:ext cx="10799666" cy="1440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84948</xdr:colOff>
      <xdr:row>2</xdr:row>
      <xdr:rowOff>0</xdr:rowOff>
    </xdr:from>
    <xdr:to>
      <xdr:col>11</xdr:col>
      <xdr:colOff>285750</xdr:colOff>
      <xdr:row>38</xdr:row>
      <xdr:rowOff>152400</xdr:rowOff>
    </xdr:to>
    <xdr:graphicFrame macro="">
      <xdr:nvGraphicFramePr>
        <xdr:cNvPr id="4" name="Chart 3">
          <a:extLst>
            <a:ext uri="{FF2B5EF4-FFF2-40B4-BE49-F238E27FC236}">
              <a16:creationId xmlns:a16="http://schemas.microsoft.com/office/drawing/2014/main" id="{20B2A481-376E-4BF6-BF93-7444C28A2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315187</xdr:colOff>
      <xdr:row>2</xdr:row>
      <xdr:rowOff>0</xdr:rowOff>
    </xdr:from>
    <xdr:to>
      <xdr:col>16</xdr:col>
      <xdr:colOff>222731</xdr:colOff>
      <xdr:row>38</xdr:row>
      <xdr:rowOff>155448</xdr:rowOff>
    </xdr:to>
    <xdr:graphicFrame macro="">
      <xdr:nvGraphicFramePr>
        <xdr:cNvPr id="5" name="Chart 4">
          <a:extLst>
            <a:ext uri="{FF2B5EF4-FFF2-40B4-BE49-F238E27FC236}">
              <a16:creationId xmlns:a16="http://schemas.microsoft.com/office/drawing/2014/main" id="{EC768BFF-B82E-4E9D-9146-21A035D77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46264</xdr:colOff>
      <xdr:row>2</xdr:row>
      <xdr:rowOff>0</xdr:rowOff>
    </xdr:from>
    <xdr:to>
      <xdr:col>4</xdr:col>
      <xdr:colOff>38100</xdr:colOff>
      <xdr:row>9</xdr:row>
      <xdr:rowOff>178837</xdr:rowOff>
    </xdr:to>
    <mc:AlternateContent xmlns:mc="http://schemas.openxmlformats.org/markup-compatibility/2006" xmlns:a14="http://schemas.microsoft.com/office/drawing/2010/main">
      <mc:Choice Requires="a14">
        <xdr:graphicFrame macro="">
          <xdr:nvGraphicFramePr>
            <xdr:cNvPr id="7" name="Block">
              <a:extLst>
                <a:ext uri="{FF2B5EF4-FFF2-40B4-BE49-F238E27FC236}">
                  <a16:creationId xmlns:a16="http://schemas.microsoft.com/office/drawing/2014/main" id="{0B673FC8-41C7-24B6-D55B-EAE5C526B907}"/>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46264" y="660918"/>
              <a:ext cx="2411186" cy="1543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38099</xdr:colOff>
      <xdr:row>17</xdr:row>
      <xdr:rowOff>125413</xdr:rowOff>
    </xdr:from>
    <xdr:to>
      <xdr:col>4</xdr:col>
      <xdr:colOff>28574</xdr:colOff>
      <xdr:row>38</xdr:row>
      <xdr:rowOff>132293</xdr:rowOff>
    </xdr:to>
    <xdr:graphicFrame macro="">
      <xdr:nvGraphicFramePr>
        <xdr:cNvPr id="9" name="Chart 8">
          <a:extLst>
            <a:ext uri="{FF2B5EF4-FFF2-40B4-BE49-F238E27FC236}">
              <a16:creationId xmlns:a16="http://schemas.microsoft.com/office/drawing/2014/main" id="{D2432C4C-10DE-4C03-ABC0-027F1A182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36740</xdr:colOff>
      <xdr:row>9</xdr:row>
      <xdr:rowOff>133349</xdr:rowOff>
    </xdr:from>
    <xdr:to>
      <xdr:col>4</xdr:col>
      <xdr:colOff>4825</xdr:colOff>
      <xdr:row>17</xdr:row>
      <xdr:rowOff>76200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E1F3CD4D-BDA6-3E20-0731-2DF97A63D6B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740" y="2242456"/>
              <a:ext cx="2411185" cy="149795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16</xdr:col>
      <xdr:colOff>273355</xdr:colOff>
      <xdr:row>2</xdr:row>
      <xdr:rowOff>2644</xdr:rowOff>
    </xdr:from>
    <xdr:to>
      <xdr:col>25</xdr:col>
      <xdr:colOff>166440</xdr:colOff>
      <xdr:row>20</xdr:row>
      <xdr:rowOff>39688</xdr:rowOff>
    </xdr:to>
    <xdr:graphicFrame macro="">
      <xdr:nvGraphicFramePr>
        <xdr:cNvPr id="3" name="Chart 2">
          <a:extLst>
            <a:ext uri="{FF2B5EF4-FFF2-40B4-BE49-F238E27FC236}">
              <a16:creationId xmlns:a16="http://schemas.microsoft.com/office/drawing/2014/main" id="{01704B47-C2F9-4203-AA5A-CF7DF6B13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280565</xdr:colOff>
      <xdr:row>20</xdr:row>
      <xdr:rowOff>86783</xdr:rowOff>
    </xdr:from>
    <xdr:to>
      <xdr:col>25</xdr:col>
      <xdr:colOff>173653</xdr:colOff>
      <xdr:row>38</xdr:row>
      <xdr:rowOff>158750</xdr:rowOff>
    </xdr:to>
    <xdr:graphicFrame macro="">
      <xdr:nvGraphicFramePr>
        <xdr:cNvPr id="8" name="Chart 7">
          <a:extLst>
            <a:ext uri="{FF2B5EF4-FFF2-40B4-BE49-F238E27FC236}">
              <a16:creationId xmlns:a16="http://schemas.microsoft.com/office/drawing/2014/main" id="{1CDA1098-1D40-47EC-8D5C-385DA5825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10583</xdr:colOff>
      <xdr:row>0</xdr:row>
      <xdr:rowOff>0</xdr:rowOff>
    </xdr:from>
    <xdr:to>
      <xdr:col>12</xdr:col>
      <xdr:colOff>1238250</xdr:colOff>
      <xdr:row>1</xdr:row>
      <xdr:rowOff>101600</xdr:rowOff>
    </xdr:to>
    <xdr:sp macro="" textlink="Total_Revenue">
      <xdr:nvSpPr>
        <xdr:cNvPr id="6" name="TextBox 5">
          <a:extLst>
            <a:ext uri="{FF2B5EF4-FFF2-40B4-BE49-F238E27FC236}">
              <a16:creationId xmlns:a16="http://schemas.microsoft.com/office/drawing/2014/main" id="{87C26D4C-F3D8-74AE-4BF6-8CF1A4198D20}"/>
            </a:ext>
            <a:ext uri="{C183D7F6-B498-43B3-948B-1728B52AA6E4}">
              <adec:decorative xmlns:adec="http://schemas.microsoft.com/office/drawing/2017/decorative" val="1"/>
            </a:ext>
          </a:extLst>
        </xdr:cNvPr>
        <xdr:cNvSpPr txBox="1"/>
      </xdr:nvSpPr>
      <xdr:spPr>
        <a:xfrm>
          <a:off x="7668683" y="0"/>
          <a:ext cx="1227667" cy="800100"/>
        </a:xfrm>
        <a:prstGeom prst="roundRect">
          <a:avLst/>
        </a:prstGeom>
        <a:solidFill>
          <a:schemeClr val="tx2">
            <a:lumMod val="10000"/>
            <a:lumOff val="90000"/>
          </a:schemeClr>
        </a:solidFill>
        <a:ln>
          <a:solidFill>
            <a:schemeClr val="accent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pPr marL="0" indent="0" algn="ctr"/>
          <a:r>
            <a:rPr lang="en-US" sz="1200" b="1" i="0" u="none" strike="noStrike">
              <a:solidFill>
                <a:schemeClr val="accent4">
                  <a:lumMod val="50000"/>
                </a:schemeClr>
              </a:solidFill>
              <a:effectLst/>
              <a:latin typeface="Aptos Narrow"/>
              <a:ea typeface="+mn-ea"/>
              <a:cs typeface="+mn-cs"/>
            </a:rPr>
            <a:t>Total Revenue</a:t>
          </a:r>
        </a:p>
        <a:p>
          <a:pPr marL="0" indent="0" algn="ctr"/>
          <a:fld id="{28D80783-6B3A-43B6-8CE0-0D39F9A8E5EB}" type="TxLink">
            <a:rPr lang="en-US" sz="1600" b="1" i="0" u="none" strike="noStrike">
              <a:solidFill>
                <a:schemeClr val="accent4">
                  <a:lumMod val="50000"/>
                </a:schemeClr>
              </a:solidFill>
              <a:effectLst/>
              <a:latin typeface="Aptos Narrow"/>
              <a:ea typeface="+mn-ea"/>
              <a:cs typeface="+mn-cs"/>
            </a:rPr>
            <a:pPr marL="0" indent="0" algn="ctr"/>
            <a:t>$ 126.9M</a:t>
          </a:fld>
          <a:endParaRPr lang="en-US" sz="1200" b="1" i="0" u="none" strike="noStrike">
            <a:solidFill>
              <a:schemeClr val="accent4">
                <a:lumMod val="50000"/>
              </a:schemeClr>
            </a:solidFill>
            <a:effectLst/>
            <a:latin typeface="Aptos Narrow"/>
            <a:ea typeface="+mn-ea"/>
            <a:cs typeface="+mn-cs"/>
          </a:endParaRPr>
        </a:p>
      </xdr:txBody>
    </xdr:sp>
    <xdr:clientData/>
  </xdr:twoCellAnchor>
  <xdr:oneCellAnchor>
    <xdr:from>
      <xdr:col>15</xdr:col>
      <xdr:colOff>190500</xdr:colOff>
      <xdr:row>0</xdr:row>
      <xdr:rowOff>529167</xdr:rowOff>
    </xdr:from>
    <xdr:ext cx="184731" cy="264560"/>
    <xdr:sp macro="" textlink="">
      <xdr:nvSpPr>
        <xdr:cNvPr id="13" name="TextBox 12">
          <a:extLst>
            <a:ext uri="{FF2B5EF4-FFF2-40B4-BE49-F238E27FC236}">
              <a16:creationId xmlns:a16="http://schemas.microsoft.com/office/drawing/2014/main" id="{7CAD585B-61A9-80ED-E97B-8AA7754A1FF5}"/>
            </a:ext>
          </a:extLst>
        </xdr:cNvPr>
        <xdr:cNvSpPr txBox="1"/>
      </xdr:nvSpPr>
      <xdr:spPr>
        <a:xfrm>
          <a:off x="11059583" y="719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13</xdr:col>
      <xdr:colOff>78618</xdr:colOff>
      <xdr:row>0</xdr:row>
      <xdr:rowOff>0</xdr:rowOff>
    </xdr:from>
    <xdr:to>
      <xdr:col>14</xdr:col>
      <xdr:colOff>23331</xdr:colOff>
      <xdr:row>1</xdr:row>
      <xdr:rowOff>106172</xdr:rowOff>
    </xdr:to>
    <xdr:sp macro="" textlink="Electricity">
      <xdr:nvSpPr>
        <xdr:cNvPr id="12" name="TextBox 11">
          <a:extLst>
            <a:ext uri="{FF2B5EF4-FFF2-40B4-BE49-F238E27FC236}">
              <a16:creationId xmlns:a16="http://schemas.microsoft.com/office/drawing/2014/main" id="{70DAFE2B-FE64-D1BD-71AC-3DF9D75FEEE2}"/>
            </a:ext>
          </a:extLst>
        </xdr:cNvPr>
        <xdr:cNvSpPr txBox="1"/>
      </xdr:nvSpPr>
      <xdr:spPr>
        <a:xfrm>
          <a:off x="9032118" y="0"/>
          <a:ext cx="1223784" cy="800136"/>
        </a:xfrm>
        <a:prstGeom prst="roundRect">
          <a:avLst/>
        </a:prstGeom>
        <a:solidFill>
          <a:schemeClr val="tx2">
            <a:lumMod val="10000"/>
            <a:lumOff val="90000"/>
          </a:schemeClr>
        </a:solidFill>
        <a:ln>
          <a:solidFill>
            <a:schemeClr val="accent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accent4">
                  <a:lumMod val="50000"/>
                </a:schemeClr>
              </a:solidFill>
              <a:effectLst/>
              <a:latin typeface="Aptos Narrow"/>
              <a:ea typeface="+mn-ea"/>
              <a:cs typeface="+mn-cs"/>
            </a:rPr>
            <a:t>Electricy  Revenue</a:t>
          </a:r>
        </a:p>
        <a:p>
          <a:pPr marL="0" marR="0" lvl="0" indent="0" algn="ctr" defTabSz="914400" eaLnBrk="1" fontAlgn="auto" latinLnBrk="0" hangingPunct="1">
            <a:lnSpc>
              <a:spcPct val="100000"/>
            </a:lnSpc>
            <a:spcBef>
              <a:spcPts val="0"/>
            </a:spcBef>
            <a:spcAft>
              <a:spcPts val="0"/>
            </a:spcAft>
            <a:buClrTx/>
            <a:buSzTx/>
            <a:buFontTx/>
            <a:buNone/>
            <a:tabLst/>
            <a:defRPr/>
          </a:pPr>
          <a:fld id="{D9123BC0-5E03-43AF-8F36-38D0230B6033}" type="TxLink">
            <a:rPr lang="en-US" sz="1600" b="1" i="0" u="none" strike="noStrike">
              <a:solidFill>
                <a:schemeClr val="accent4">
                  <a:lumMod val="50000"/>
                </a:schemeClr>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$ 49.1M</a:t>
          </a:fld>
          <a:endParaRPr lang="en-US" sz="1600" b="1" i="0" u="none" strike="noStrike">
            <a:solidFill>
              <a:schemeClr val="accent4">
                <a:lumMod val="50000"/>
              </a:schemeClr>
            </a:solidFill>
            <a:effectLst/>
            <a:latin typeface="Aptos Narrow"/>
            <a:ea typeface="+mn-ea"/>
            <a:cs typeface="+mn-cs"/>
          </a:endParaRPr>
        </a:p>
      </xdr:txBody>
    </xdr:sp>
    <xdr:clientData/>
  </xdr:twoCellAnchor>
  <xdr:twoCellAnchor>
    <xdr:from>
      <xdr:col>0</xdr:col>
      <xdr:colOff>21167</xdr:colOff>
      <xdr:row>0</xdr:row>
      <xdr:rowOff>0</xdr:rowOff>
    </xdr:from>
    <xdr:to>
      <xdr:col>11</xdr:col>
      <xdr:colOff>497417</xdr:colOff>
      <xdr:row>1</xdr:row>
      <xdr:rowOff>148167</xdr:rowOff>
    </xdr:to>
    <xdr:sp macro="" textlink="">
      <xdr:nvSpPr>
        <xdr:cNvPr id="14" name="TextBox 13">
          <a:extLst>
            <a:ext uri="{FF2B5EF4-FFF2-40B4-BE49-F238E27FC236}">
              <a16:creationId xmlns:a16="http://schemas.microsoft.com/office/drawing/2014/main" id="{86555B0C-E537-CFD1-5D0B-68E74C0C4FF2}"/>
            </a:ext>
            <a:ext uri="{C183D7F6-B498-43B3-948B-1728B52AA6E4}">
              <adec:decorative xmlns:adec="http://schemas.microsoft.com/office/drawing/2017/decorative" val="1"/>
            </a:ext>
          </a:extLst>
        </xdr:cNvPr>
        <xdr:cNvSpPr txBox="1"/>
      </xdr:nvSpPr>
      <xdr:spPr>
        <a:xfrm>
          <a:off x="21167" y="190500"/>
          <a:ext cx="7567083" cy="846667"/>
        </a:xfrm>
        <a:prstGeom prst="homePlate">
          <a:avLst/>
        </a:prstGeom>
        <a:solidFill>
          <a:schemeClr val="accent3">
            <a:lumMod val="75000"/>
          </a:schemeClr>
        </a:solidFill>
        <a:ln w="9525" cmpd="sng">
          <a:noFill/>
        </a:ln>
        <a:effectLst>
          <a:outerShdw blurRad="107950" dist="12700" dir="5400000" algn="ctr">
            <a:srgbClr val="000000"/>
          </a:outerShdw>
        </a:effectLst>
        <a:scene3d>
          <a:camera prst="obliqueBottomLeft"/>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cap="none" spc="0">
              <a:ln>
                <a:noFill/>
              </a:ln>
              <a:solidFill>
                <a:schemeClr val="bg1"/>
              </a:solidFill>
              <a:effectLst/>
            </a:rPr>
            <a:t>ESTATE FINANCIAL TRANSACTIONS FOR THE PERIOD OF  </a:t>
          </a:r>
        </a:p>
        <a:p>
          <a:pPr algn="ctr"/>
          <a:r>
            <a:rPr lang="en-US" sz="1800" b="1" cap="none" spc="0">
              <a:ln>
                <a:noFill/>
              </a:ln>
              <a:solidFill>
                <a:schemeClr val="bg1"/>
              </a:solidFill>
              <a:effectLst/>
            </a:rPr>
            <a:t>JANUARY - DECEMBER 2024</a:t>
          </a:r>
        </a:p>
      </xdr:txBody>
    </xdr:sp>
    <xdr:clientData/>
  </xdr:twoCellAnchor>
  <xdr:twoCellAnchor>
    <xdr:from>
      <xdr:col>14</xdr:col>
      <xdr:colOff>136072</xdr:colOff>
      <xdr:row>0</xdr:row>
      <xdr:rowOff>0</xdr:rowOff>
    </xdr:from>
    <xdr:to>
      <xdr:col>15</xdr:col>
      <xdr:colOff>751768</xdr:colOff>
      <xdr:row>1</xdr:row>
      <xdr:rowOff>106172</xdr:rowOff>
    </xdr:to>
    <xdr:sp macro="" textlink="Service_charge">
      <xdr:nvSpPr>
        <xdr:cNvPr id="16" name="TextBox 15">
          <a:extLst>
            <a:ext uri="{FF2B5EF4-FFF2-40B4-BE49-F238E27FC236}">
              <a16:creationId xmlns:a16="http://schemas.microsoft.com/office/drawing/2014/main" id="{AB2A882B-FF6B-CAA7-2FB5-A37F32E2C133}"/>
            </a:ext>
          </a:extLst>
        </xdr:cNvPr>
        <xdr:cNvSpPr txBox="1"/>
      </xdr:nvSpPr>
      <xdr:spPr>
        <a:xfrm flipH="1">
          <a:off x="10368643" y="0"/>
          <a:ext cx="1228018" cy="800136"/>
        </a:xfrm>
        <a:prstGeom prst="roundRect">
          <a:avLst/>
        </a:prstGeom>
        <a:solidFill>
          <a:schemeClr val="tx2">
            <a:lumMod val="10000"/>
            <a:lumOff val="90000"/>
          </a:schemeClr>
        </a:solidFill>
        <a:ln>
          <a:solidFill>
            <a:schemeClr val="accent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accent4">
                  <a:lumMod val="50000"/>
                </a:schemeClr>
              </a:solidFill>
              <a:effectLst/>
              <a:latin typeface="Aptos Narrow"/>
              <a:ea typeface="+mn-ea"/>
              <a:cs typeface="+mn-cs"/>
            </a:rPr>
            <a:t>Service Charge Revenue</a:t>
          </a:r>
        </a:p>
        <a:p>
          <a:pPr marL="0" marR="0" lvl="0" indent="0" algn="ctr" defTabSz="914400" eaLnBrk="1" fontAlgn="auto" latinLnBrk="0" hangingPunct="1">
            <a:lnSpc>
              <a:spcPct val="100000"/>
            </a:lnSpc>
            <a:spcBef>
              <a:spcPts val="0"/>
            </a:spcBef>
            <a:spcAft>
              <a:spcPts val="0"/>
            </a:spcAft>
            <a:buClrTx/>
            <a:buSzTx/>
            <a:buFontTx/>
            <a:buNone/>
            <a:tabLst/>
            <a:defRPr/>
          </a:pPr>
          <a:fld id="{31060485-67FE-48C4-B129-7158440F47B6}" type="TxLink">
            <a:rPr lang="en-US" sz="1600" b="1" i="0" u="none" strike="noStrike">
              <a:solidFill>
                <a:schemeClr val="accent4">
                  <a:lumMod val="50000"/>
                </a:schemeClr>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$ 51.9M</a:t>
          </a:fld>
          <a:endParaRPr lang="en-US" sz="1600" b="1" i="0" u="none" strike="noStrike">
            <a:solidFill>
              <a:schemeClr val="accent4">
                <a:lumMod val="50000"/>
              </a:schemeClr>
            </a:solidFill>
            <a:effectLst/>
            <a:latin typeface="Aptos Narrow"/>
            <a:ea typeface="+mn-ea"/>
            <a:cs typeface="+mn-cs"/>
          </a:endParaRPr>
        </a:p>
      </xdr:txBody>
    </xdr:sp>
    <xdr:clientData/>
  </xdr:twoCellAnchor>
  <xdr:twoCellAnchor>
    <xdr:from>
      <xdr:col>15</xdr:col>
      <xdr:colOff>872671</xdr:colOff>
      <xdr:row>0</xdr:row>
      <xdr:rowOff>0</xdr:rowOff>
    </xdr:from>
    <xdr:to>
      <xdr:col>17</xdr:col>
      <xdr:colOff>358067</xdr:colOff>
      <xdr:row>1</xdr:row>
      <xdr:rowOff>106172</xdr:rowOff>
    </xdr:to>
    <xdr:sp macro="" textlink="Fixed_charge">
      <xdr:nvSpPr>
        <xdr:cNvPr id="11" name="TextBox 10">
          <a:extLst>
            <a:ext uri="{FF2B5EF4-FFF2-40B4-BE49-F238E27FC236}">
              <a16:creationId xmlns:a16="http://schemas.microsoft.com/office/drawing/2014/main" id="{DC8A93E2-DB90-40EF-B284-ABF7BE16236B}"/>
            </a:ext>
          </a:extLst>
        </xdr:cNvPr>
        <xdr:cNvSpPr txBox="1"/>
      </xdr:nvSpPr>
      <xdr:spPr>
        <a:xfrm flipH="1">
          <a:off x="11717564" y="0"/>
          <a:ext cx="1227110" cy="800136"/>
        </a:xfrm>
        <a:prstGeom prst="roundRect">
          <a:avLst/>
        </a:prstGeom>
        <a:solidFill>
          <a:schemeClr val="tx2">
            <a:lumMod val="10000"/>
            <a:lumOff val="90000"/>
          </a:schemeClr>
        </a:solidFill>
        <a:ln>
          <a:solidFill>
            <a:schemeClr val="accent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accent4">
                  <a:lumMod val="50000"/>
                </a:schemeClr>
              </a:solidFill>
              <a:effectLst/>
              <a:latin typeface="Aptos Narrow"/>
              <a:ea typeface="+mn-ea"/>
              <a:cs typeface="+mn-cs"/>
            </a:rPr>
            <a:t>Fixed Charge Revenue</a:t>
          </a:r>
        </a:p>
        <a:p>
          <a:pPr marL="0" marR="0" lvl="0" indent="0" algn="ctr" defTabSz="914400" eaLnBrk="1" fontAlgn="auto" latinLnBrk="0" hangingPunct="1">
            <a:lnSpc>
              <a:spcPct val="100000"/>
            </a:lnSpc>
            <a:spcBef>
              <a:spcPts val="0"/>
            </a:spcBef>
            <a:spcAft>
              <a:spcPts val="0"/>
            </a:spcAft>
            <a:buClrTx/>
            <a:buSzTx/>
            <a:buFontTx/>
            <a:buNone/>
            <a:tabLst/>
            <a:defRPr/>
          </a:pPr>
          <a:fld id="{FC85C829-2FEC-439F-8C26-26952F5993E1}" type="TxLink">
            <a:rPr lang="en-US" sz="1600" b="1" i="0" u="none" strike="noStrike">
              <a:solidFill>
                <a:schemeClr val="accent4">
                  <a:lumMod val="50000"/>
                </a:schemeClr>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$ 13.0M</a:t>
          </a:fld>
          <a:endParaRPr lang="en-US" sz="1200" b="1" i="0" u="none" strike="noStrike">
            <a:solidFill>
              <a:schemeClr val="accent4">
                <a:lumMod val="50000"/>
              </a:schemeClr>
            </a:solidFill>
            <a:effectLst/>
            <a:latin typeface="Aptos Narrow"/>
            <a:ea typeface="+mn-ea"/>
            <a:cs typeface="+mn-cs"/>
          </a:endParaRPr>
        </a:p>
      </xdr:txBody>
    </xdr:sp>
    <xdr:clientData/>
  </xdr:twoCellAnchor>
  <xdr:twoCellAnchor>
    <xdr:from>
      <xdr:col>17</xdr:col>
      <xdr:colOff>463550</xdr:colOff>
      <xdr:row>0</xdr:row>
      <xdr:rowOff>0</xdr:rowOff>
    </xdr:from>
    <xdr:to>
      <xdr:col>19</xdr:col>
      <xdr:colOff>469646</xdr:colOff>
      <xdr:row>1</xdr:row>
      <xdr:rowOff>106172</xdr:rowOff>
    </xdr:to>
    <xdr:sp macro="" textlink="Water_Bill">
      <xdr:nvSpPr>
        <xdr:cNvPr id="15" name="TextBox 14">
          <a:extLst>
            <a:ext uri="{FF2B5EF4-FFF2-40B4-BE49-F238E27FC236}">
              <a16:creationId xmlns:a16="http://schemas.microsoft.com/office/drawing/2014/main" id="{A86BAEE4-0B4F-4A46-B9A2-B45BD7E85669}"/>
            </a:ext>
          </a:extLst>
        </xdr:cNvPr>
        <xdr:cNvSpPr txBox="1"/>
      </xdr:nvSpPr>
      <xdr:spPr>
        <a:xfrm flipH="1">
          <a:off x="13050157" y="0"/>
          <a:ext cx="1230739" cy="800136"/>
        </a:xfrm>
        <a:prstGeom prst="roundRect">
          <a:avLst/>
        </a:prstGeom>
        <a:solidFill>
          <a:schemeClr val="tx2">
            <a:lumMod val="10000"/>
            <a:lumOff val="90000"/>
          </a:schemeClr>
        </a:solidFill>
        <a:ln>
          <a:solidFill>
            <a:schemeClr val="accent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accent4">
                  <a:lumMod val="50000"/>
                </a:schemeClr>
              </a:solidFill>
              <a:effectLst/>
              <a:latin typeface="Aptos Narrow"/>
              <a:ea typeface="+mn-ea"/>
              <a:cs typeface="+mn-cs"/>
            </a:rPr>
            <a:t>Water Bill Revenue</a:t>
          </a:r>
        </a:p>
        <a:p>
          <a:pPr marL="0" marR="0" lvl="0" indent="0" algn="ctr" defTabSz="914400" eaLnBrk="1" fontAlgn="auto" latinLnBrk="0" hangingPunct="1">
            <a:lnSpc>
              <a:spcPct val="100000"/>
            </a:lnSpc>
            <a:spcBef>
              <a:spcPts val="0"/>
            </a:spcBef>
            <a:spcAft>
              <a:spcPts val="0"/>
            </a:spcAft>
            <a:buClrTx/>
            <a:buSzTx/>
            <a:buFontTx/>
            <a:buNone/>
            <a:tabLst/>
            <a:defRPr/>
          </a:pPr>
          <a:fld id="{874C5CAA-4499-44F8-8507-E9787597F5BF}" type="TxLink">
            <a:rPr lang="en-US" sz="1600" b="1" i="0" u="none" strike="noStrike">
              <a:solidFill>
                <a:schemeClr val="accent4">
                  <a:lumMod val="50000"/>
                </a:schemeClr>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$ 3.9M</a:t>
          </a:fld>
          <a:endParaRPr lang="en-US" sz="1600" b="1" i="0" u="none" strike="noStrike">
            <a:solidFill>
              <a:schemeClr val="accent4">
                <a:lumMod val="50000"/>
              </a:schemeClr>
            </a:solidFill>
            <a:effectLst/>
            <a:latin typeface="Aptos Narrow"/>
            <a:ea typeface="+mn-ea"/>
            <a:cs typeface="+mn-cs"/>
          </a:endParaRPr>
        </a:p>
      </xdr:txBody>
    </xdr:sp>
    <xdr:clientData/>
  </xdr:twoCellAnchor>
  <xdr:twoCellAnchor>
    <xdr:from>
      <xdr:col>19</xdr:col>
      <xdr:colOff>578751</xdr:colOff>
      <xdr:row>0</xdr:row>
      <xdr:rowOff>0</xdr:rowOff>
    </xdr:from>
    <xdr:to>
      <xdr:col>22</xdr:col>
      <xdr:colOff>435426</xdr:colOff>
      <xdr:row>1</xdr:row>
      <xdr:rowOff>176894</xdr:rowOff>
    </xdr:to>
    <xdr:sp macro="" textlink="Highest_paid">
      <xdr:nvSpPr>
        <xdr:cNvPr id="17" name="TextBox 16">
          <a:extLst>
            <a:ext uri="{FF2B5EF4-FFF2-40B4-BE49-F238E27FC236}">
              <a16:creationId xmlns:a16="http://schemas.microsoft.com/office/drawing/2014/main" id="{5976496D-CF01-43D1-885B-1FA8EEA51BE2}"/>
            </a:ext>
          </a:extLst>
        </xdr:cNvPr>
        <xdr:cNvSpPr txBox="1"/>
      </xdr:nvSpPr>
      <xdr:spPr>
        <a:xfrm flipH="1">
          <a:off x="14390001" y="0"/>
          <a:ext cx="1693639" cy="870858"/>
        </a:xfrm>
        <a:prstGeom prst="horizontalScroll">
          <a:avLst/>
        </a:prstGeom>
        <a:solidFill>
          <a:schemeClr val="tx2">
            <a:lumMod val="10000"/>
            <a:lumOff val="90000"/>
          </a:schemeClr>
        </a:solidFill>
        <a:ln>
          <a:solidFill>
            <a:schemeClr val="accent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accent4">
                  <a:lumMod val="50000"/>
                </a:schemeClr>
              </a:solidFill>
              <a:effectLst/>
              <a:latin typeface="Aptos Narrow"/>
              <a:ea typeface="+mn-ea"/>
              <a:cs typeface="+mn-cs"/>
            </a:rPr>
            <a:t>Top Paying Unit</a:t>
          </a:r>
        </a:p>
        <a:p>
          <a:pPr marL="0" marR="0" lvl="0" indent="0" algn="ctr" defTabSz="914400" eaLnBrk="1" fontAlgn="auto" latinLnBrk="0" hangingPunct="1">
            <a:lnSpc>
              <a:spcPct val="100000"/>
            </a:lnSpc>
            <a:spcBef>
              <a:spcPts val="0"/>
            </a:spcBef>
            <a:spcAft>
              <a:spcPts val="0"/>
            </a:spcAft>
            <a:buClrTx/>
            <a:buSzTx/>
            <a:buFontTx/>
            <a:buNone/>
            <a:tabLst/>
            <a:defRPr/>
          </a:pPr>
          <a:fld id="{58977C25-30BF-4D21-A5C9-87174B6642FC}" type="TxLink">
            <a:rPr lang="en-US" sz="1400" b="1" i="0" u="none" strike="noStrike">
              <a:solidFill>
                <a:schemeClr val="accent4">
                  <a:lumMod val="50000"/>
                </a:schemeClr>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D6</a:t>
          </a:fld>
          <a:endParaRPr lang="en-US" sz="1200" b="1" i="0" u="none" strike="noStrike">
            <a:solidFill>
              <a:schemeClr val="accent4">
                <a:lumMod val="50000"/>
              </a:schemeClr>
            </a:solidFill>
            <a:effectLst/>
            <a:latin typeface="Aptos Narrow"/>
            <a:ea typeface="+mn-ea"/>
            <a:cs typeface="+mn-cs"/>
          </a:endParaRPr>
        </a:p>
      </xdr:txBody>
    </xdr:sp>
    <xdr:clientData/>
  </xdr:twoCellAnchor>
  <xdr:twoCellAnchor>
    <xdr:from>
      <xdr:col>22</xdr:col>
      <xdr:colOff>530676</xdr:colOff>
      <xdr:row>0</xdr:row>
      <xdr:rowOff>0</xdr:rowOff>
    </xdr:from>
    <xdr:to>
      <xdr:col>25</xdr:col>
      <xdr:colOff>176892</xdr:colOff>
      <xdr:row>2</xdr:row>
      <xdr:rowOff>13608</xdr:rowOff>
    </xdr:to>
    <xdr:sp macro="" textlink="Lowest_paid">
      <xdr:nvSpPr>
        <xdr:cNvPr id="20" name="TextBox 19">
          <a:extLst>
            <a:ext uri="{FF2B5EF4-FFF2-40B4-BE49-F238E27FC236}">
              <a16:creationId xmlns:a16="http://schemas.microsoft.com/office/drawing/2014/main" id="{E104758D-6707-4C87-A594-30930822181E}"/>
            </a:ext>
          </a:extLst>
        </xdr:cNvPr>
        <xdr:cNvSpPr txBox="1"/>
      </xdr:nvSpPr>
      <xdr:spPr>
        <a:xfrm flipH="1">
          <a:off x="16178890" y="0"/>
          <a:ext cx="1632859" cy="911679"/>
        </a:xfrm>
        <a:prstGeom prst="horizontalScroll">
          <a:avLst/>
        </a:prstGeom>
        <a:solidFill>
          <a:schemeClr val="tx2">
            <a:lumMod val="10000"/>
            <a:lumOff val="90000"/>
          </a:schemeClr>
        </a:solidFill>
        <a:ln>
          <a:solidFill>
            <a:schemeClr val="accent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accent4">
                  <a:lumMod val="50000"/>
                </a:schemeClr>
              </a:solidFill>
              <a:effectLst/>
              <a:latin typeface="Aptos Narrow"/>
              <a:ea typeface="+mn-ea"/>
              <a:cs typeface="+mn-cs"/>
            </a:rPr>
            <a:t>Lowest Paying Unit</a:t>
          </a:r>
        </a:p>
        <a:p>
          <a:pPr marL="0" marR="0" lvl="0" indent="0" algn="ctr" defTabSz="914400" eaLnBrk="1" fontAlgn="auto" latinLnBrk="0" hangingPunct="1">
            <a:lnSpc>
              <a:spcPct val="100000"/>
            </a:lnSpc>
            <a:spcBef>
              <a:spcPts val="0"/>
            </a:spcBef>
            <a:spcAft>
              <a:spcPts val="0"/>
            </a:spcAft>
            <a:buClrTx/>
            <a:buSzTx/>
            <a:buFontTx/>
            <a:buNone/>
            <a:tabLst/>
            <a:defRPr/>
          </a:pPr>
          <a:fld id="{E732A153-6233-4A7A-8823-E0F40898AF2C}" type="TxLink">
            <a:rPr lang="en-US" sz="1400" b="1" i="0" u="none" strike="noStrike">
              <a:solidFill>
                <a:schemeClr val="accent4">
                  <a:lumMod val="50000"/>
                </a:schemeClr>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A4</a:t>
          </a:fld>
          <a:endParaRPr lang="en-US" sz="1600" b="1" i="0" u="none" strike="noStrike">
            <a:solidFill>
              <a:schemeClr val="accent4">
                <a:lumMod val="50000"/>
              </a:schemeClr>
            </a:solidFill>
            <a:effectLst/>
            <a:latin typeface="Aptos Narrow"/>
            <a:ea typeface="+mn-ea"/>
            <a:cs typeface="+mn-cs"/>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hinde ojo" refreshedDate="45725.068973379632" createdVersion="8" refreshedVersion="8" minRefreshableVersion="3" recordCount="2510" xr:uid="{CB08E04D-E4C7-4DFD-8DD1-079A820FA92F}">
  <cacheSource type="worksheet">
    <worksheetSource name="Estate_bills"/>
  </cacheSource>
  <cacheFields count="13">
    <cacheField name="Order ID" numFmtId="0">
      <sharedItems/>
    </cacheField>
    <cacheField name="Full Name" numFmtId="0">
      <sharedItems/>
    </cacheField>
    <cacheField name="Unit Type" numFmtId="0">
      <sharedItems/>
    </cacheField>
    <cacheField name="Block" numFmtId="0">
      <sharedItems count="10">
        <s v="Block C"/>
        <s v="Power House"/>
        <s v="Block B"/>
        <s v="Block D"/>
        <s v="Block A"/>
        <s v="Management"/>
        <s v="Security Utilities"/>
        <s v="Block I"/>
        <s v="Massionette"/>
        <s v="Terrace"/>
      </sharedItems>
    </cacheField>
    <cacheField name="Apartment ID" numFmtId="0">
      <sharedItems count="40">
        <s v="C3"/>
        <s v="Common Area"/>
        <s v="B5"/>
        <s v="A4"/>
        <s v="B4"/>
        <s v="Office"/>
        <s v="B2"/>
        <s v="D2"/>
        <s v="D3"/>
        <s v="D5"/>
        <s v="C4"/>
        <s v="D7"/>
        <s v="I1"/>
        <s v="I2"/>
        <s v="D6"/>
        <s v="B1"/>
        <s v="D1"/>
        <s v="I4"/>
        <s v="B8"/>
        <s v="C2"/>
        <s v="Construction"/>
        <s v="A7"/>
        <s v="B7"/>
        <s v="C6"/>
        <s v="A1"/>
        <s v="B6"/>
        <s v="C5"/>
        <s v="A2"/>
        <s v="DPH"/>
        <s v="A8"/>
        <s v="C7"/>
        <s v="APH"/>
        <s v="C8"/>
        <s v="A5"/>
        <s v="D4"/>
        <s v="I3"/>
        <s v="D8"/>
        <s v="C1"/>
        <s v="A3"/>
        <s v="B3"/>
      </sharedItems>
    </cacheField>
    <cacheField name="Bill" numFmtId="0">
      <sharedItems count="19">
        <s v="Access Fee"/>
        <s v="Ante room annual rental charge (March 2024 -February 2025)"/>
        <s v="Electricity Recharge"/>
        <s v="Fixed Charge"/>
        <s v="Insurance Premium"/>
        <s v="Insurance Premium Late Payment Charge"/>
        <s v="Obstruction Infraction"/>
        <s v="Parking Infraction"/>
        <s v="Service Charge"/>
        <s v="Sinking Fund"/>
        <s v="Sinking Fund + Penalty"/>
        <s v="Sinking Fund Penalty"/>
        <s v="Supplementary Service"/>
        <s v="Supplementary Service (Prorated)"/>
        <s v="Water Bill"/>
        <s v="Water Bill Late Payment Charge"/>
        <s v="Supplementary Service Charge 2022/0023" u="1"/>
        <s v="Supplementary Service Charge 2023/2024" u="1"/>
        <s v="Supplementary Service Charge 2023/2024 (Prorated)" u="1"/>
      </sharedItems>
    </cacheField>
    <cacheField name="Date" numFmtId="14">
      <sharedItems containsSemiMixedTypes="0" containsNonDate="0" containsDate="1" containsString="0" minDate="2024-01-09T00:00:00" maxDate="2025-01-01T00:00:00" count="344">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8T00:00:00"/>
        <d v="2024-02-09T00:00:00"/>
        <d v="2024-02-10T00:00:00"/>
        <d v="2024-02-11T00:00:00"/>
        <d v="2024-02-12T00:00:00"/>
        <d v="2024-02-14T00:00:00"/>
        <d v="2024-02-15T00:00:00"/>
        <d v="2024-02-16T00:00:00"/>
        <d v="2024-02-19T00:00:00"/>
        <d v="2024-02-20T00:00:00"/>
        <d v="2024-02-21T00:00:00"/>
        <d v="2024-02-22T00:00:00"/>
        <d v="2024-02-23T00:00:00"/>
        <d v="2024-02-25T00:00:00"/>
        <d v="2024-02-26T00:00:00"/>
        <d v="2024-02-27T00:00:00"/>
        <d v="2024-03-01T00:00:00"/>
        <d v="2024-03-02T00:00:00"/>
        <d v="2024-03-03T00:00:00"/>
        <d v="2024-03-04T00:00:00"/>
        <d v="2024-03-05T00:00:00"/>
        <d v="2024-03-06T00:00:00"/>
        <d v="2024-03-07T00:00:00"/>
        <d v="2024-03-08T00:00:00"/>
        <d v="2024-03-09T00:00:00"/>
        <d v="2024-03-10T00:00:00"/>
        <d v="2024-03-11T00:00:00"/>
        <d v="2024-03-13T00:00:00"/>
        <d v="2024-03-15T00:00:00"/>
        <d v="2024-03-18T00:00:00"/>
        <d v="2024-03-20T00:00:00"/>
        <d v="2024-03-21T00:00:00"/>
        <d v="2024-03-22T00:00:00"/>
        <d v="2024-03-24T00:00:00"/>
        <d v="2024-03-25T00:00:00"/>
        <d v="2024-03-26T00:00:00"/>
        <d v="2024-03-28T00:00:00"/>
        <d v="2024-03-30T00:00:00"/>
        <d v="2024-04-01T00:00:00"/>
        <d v="2024-04-02T00:00:00"/>
        <d v="2024-04-03T00:00:00"/>
        <d v="2024-04-04T00:00:00"/>
        <d v="2024-04-05T00:00:00"/>
        <d v="2024-04-06T00:00:00"/>
        <d v="2024-04-07T00:00:00"/>
        <d v="2024-04-08T00:00:00"/>
        <d v="2024-04-09T00:00:00"/>
        <d v="2024-04-11T00:00:00"/>
        <d v="2024-04-12T00:00:00"/>
        <d v="2024-04-13T00:00:00"/>
        <d v="2024-04-15T00:00:00"/>
        <d v="2024-04-19T00:00:00"/>
        <d v="2024-04-22T00:00:00"/>
        <d v="2024-04-24T00:00:00"/>
        <d v="2024-04-25T00:00:00"/>
        <d v="2024-04-27T00:00:00"/>
        <d v="2024-05-01T00:00:00"/>
        <d v="2024-05-02T00:00:00"/>
        <d v="2024-05-03T00:00:00"/>
        <d v="2024-05-04T00:00:00"/>
        <d v="2024-05-06T00:00:00"/>
        <d v="2024-05-07T00:00:00"/>
        <d v="2024-05-08T00:00:00"/>
        <d v="2024-05-10T00:00:00"/>
        <d v="2024-05-11T00:00:00"/>
        <d v="2024-05-13T00:00:00"/>
        <d v="2024-05-14T00:00:00"/>
        <d v="2024-05-16T00:00:00"/>
        <d v="2024-05-20T00:00:00"/>
        <d v="2024-05-21T00:00:00"/>
        <d v="2024-05-22T00:00:00"/>
        <d v="2024-05-25T00:00:00"/>
        <d v="2024-05-29T00:00:00"/>
        <d v="2024-05-31T00:00:00"/>
        <d v="2024-06-01T00:00:00"/>
        <d v="2024-06-02T00:00:00"/>
        <d v="2024-06-03T00:00:00"/>
        <d v="2024-06-04T00:00:00"/>
        <d v="2024-06-05T00:00:00"/>
        <d v="2024-06-06T00:00:00"/>
        <d v="2024-06-07T00:00:00"/>
        <d v="2024-06-10T00:00:00"/>
        <d v="2024-06-11T00:00:00"/>
        <d v="2024-06-14T00:00:00"/>
        <d v="2024-06-15T00:00:00"/>
        <d v="2024-06-16T00:00:00"/>
        <d v="2024-06-17T00:00:00"/>
        <d v="2024-06-21T00:00:00"/>
        <d v="2024-06-26T00:00:00"/>
        <d v="2024-06-27T00:00:00"/>
        <d v="2024-06-28T00:00:00"/>
        <d v="2024-07-01T00:00:00"/>
        <d v="2024-07-02T00:00:00"/>
        <d v="2024-07-03T00:00:00"/>
        <d v="2024-07-04T00:00:00"/>
        <d v="2024-07-05T00:00:00"/>
        <d v="2024-07-08T00:00:00"/>
        <d v="2024-07-10T00:00:00"/>
        <d v="2024-07-11T00:00:00"/>
        <d v="2024-07-14T00:00:00"/>
        <d v="2024-07-15T00:00:00"/>
        <d v="2024-07-16T00:00:00"/>
        <d v="2024-07-19T00:00:00"/>
        <d v="2024-07-22T00:00:00"/>
        <d v="2024-07-25T00:00:00"/>
        <d v="2024-07-26T00:00:00"/>
        <d v="2024-07-27T00:00:00"/>
        <d v="2024-08-01T00:00:00"/>
        <d v="2024-08-02T00:00:00"/>
        <d v="2024-08-03T00:00:00"/>
        <d v="2024-08-04T00:00:00"/>
        <d v="2024-08-06T00:00:00"/>
        <d v="2024-08-07T00:00:00"/>
        <d v="2024-08-08T00:00:00"/>
        <d v="2024-08-09T00:00:00"/>
        <d v="2024-08-11T00:00:00"/>
        <d v="2024-08-14T00:00:00"/>
        <d v="2024-08-21T00:00:00"/>
        <d v="2024-08-22T00:00:00"/>
        <d v="2024-08-24T00:00:00"/>
        <d v="2024-08-26T00:00:00"/>
        <d v="2024-08-28T00:00:00"/>
        <d v="2024-08-31T00:00:00"/>
        <d v="2024-09-01T00:00:00"/>
        <d v="2024-09-02T00:00:00"/>
        <d v="2024-09-03T00:00:00"/>
        <d v="2024-09-04T00:00:00"/>
        <d v="2024-09-05T00:00:00"/>
        <d v="2024-09-06T00:00:00"/>
        <d v="2024-09-07T00:00:00"/>
        <d v="2024-09-08T00:00:00"/>
        <d v="2024-09-10T00:00:00"/>
        <d v="2024-09-11T00:00:00"/>
        <d v="2024-09-12T00:00:00"/>
        <d v="2024-09-14T00:00:00"/>
        <d v="2024-09-20T00:00:00"/>
        <d v="2024-09-22T00:00:00"/>
        <d v="2024-09-24T00:00:00"/>
        <d v="2024-09-25T00:00:00"/>
        <d v="2024-09-27T00:00:00"/>
        <d v="2024-09-28T00:00:00"/>
        <d v="2024-09-29T00:00:00"/>
        <d v="2024-10-01T00:00:00"/>
        <d v="2024-10-02T00:00:00"/>
        <d v="2024-10-03T00:00:00"/>
        <d v="2024-10-04T00:00:00"/>
        <d v="2024-10-05T00:00:00"/>
        <d v="2024-10-06T00:00:00"/>
        <d v="2024-10-07T00:00:00"/>
        <d v="2024-10-08T00:00:00"/>
        <d v="2024-10-10T00:00:00"/>
        <d v="2024-10-11T00:00:00"/>
        <d v="2024-10-14T00:00:00"/>
        <d v="2024-10-16T00:00:00"/>
        <d v="2024-10-19T00:00:00"/>
        <d v="2024-10-20T00:00:00"/>
        <d v="2024-10-22T00:00:00"/>
        <d v="2024-10-24T00:00:00"/>
        <d v="2024-10-25T00:00:00"/>
        <d v="2024-10-26T00:00:00"/>
        <d v="2024-10-27T00:00:00"/>
        <d v="2024-10-28T00:00:00"/>
        <d v="2024-10-30T00:00:00"/>
        <d v="2024-11-01T00:00:00"/>
        <d v="2024-11-02T00:00:00"/>
        <d v="2024-11-03T00:00:00"/>
        <d v="2024-11-04T00:00:00"/>
        <d v="2024-11-05T00:00:00"/>
        <d v="2024-11-06T00:00:00"/>
        <d v="2024-11-07T00:00:00"/>
        <d v="2024-11-08T00:00:00"/>
        <d v="2024-11-09T00:00:00"/>
        <d v="2024-11-10T00:00:00"/>
        <d v="2024-11-11T00:00:00"/>
        <d v="2024-11-12T00:00:00"/>
        <d v="2024-11-16T00:00:00"/>
        <d v="2024-11-19T00:00:00"/>
        <d v="2024-11-23T00:00:00"/>
        <d v="2024-11-24T00:00:00"/>
        <d v="2024-11-28T00:00:00"/>
        <d v="2024-12-01T00:00:00"/>
        <d v="2024-12-02T00:00:00"/>
        <d v="2024-12-03T00:00:00"/>
        <d v="2024-12-04T00:00:00"/>
        <d v="2024-12-05T00:00:00"/>
        <d v="2024-12-06T00:00:00"/>
        <d v="2024-12-07T00:00:00"/>
        <d v="2024-12-08T00:00:00"/>
        <d v="2024-12-09T00:00:00"/>
        <d v="2024-12-10T00:00:00"/>
        <d v="2024-12-14T00:00:00"/>
        <d v="2024-12-16T00:00:00"/>
        <d v="2024-12-17T00:00:00"/>
        <d v="2024-12-20T00:00:00"/>
        <d v="2024-12-21T00:00:00"/>
        <d v="2024-12-23T00:00:00"/>
        <d v="2024-12-26T00:00:00"/>
        <d v="2024-06-12T00:00:00"/>
        <d v="2024-01-09T00:00:00"/>
        <d v="2024-02-07T00:00:00"/>
        <d v="2024-02-13T00:00:00"/>
        <d v="2024-02-17T00:00:00"/>
        <d v="2024-02-18T00:00:00"/>
        <d v="2024-02-28T00:00:00"/>
        <d v="2024-02-29T00:00:00"/>
        <d v="2024-03-12T00:00:00"/>
        <d v="2024-03-16T00:00:00"/>
        <d v="2024-03-17T00:00:00"/>
        <d v="2024-03-19T00:00:00"/>
        <d v="2024-03-23T00:00:00"/>
        <d v="2024-03-29T00:00:00"/>
        <d v="2024-03-31T00:00:00"/>
        <d v="2024-04-16T00:00:00"/>
        <d v="2024-04-17T00:00:00"/>
        <d v="2024-04-18T00:00:00"/>
        <d v="2024-04-20T00:00:00"/>
        <d v="2024-04-21T00:00:00"/>
        <d v="2024-04-23T00:00:00"/>
        <d v="2024-04-26T00:00:00"/>
        <d v="2024-04-28T00:00:00"/>
        <d v="2024-04-29T00:00:00"/>
        <d v="2024-04-30T00:00:00"/>
        <d v="2024-05-09T00:00:00"/>
        <d v="2024-05-12T00:00:00"/>
        <d v="2024-05-15T00:00:00"/>
        <d v="2024-05-17T00:00:00"/>
        <d v="2024-05-18T00:00:00"/>
        <d v="2024-05-19T00:00:00"/>
        <d v="2024-05-23T00:00:00"/>
        <d v="2024-05-24T00:00:00"/>
        <d v="2024-05-26T00:00:00"/>
        <d v="2024-05-27T00:00:00"/>
        <d v="2024-05-28T00:00:00"/>
        <d v="2024-05-30T00:00:00"/>
        <d v="2024-06-08T00:00:00"/>
        <d v="2024-06-09T00:00:00"/>
        <d v="2024-06-13T00:00:00"/>
        <d v="2024-06-18T00:00:00"/>
        <d v="2024-06-19T00:00:00"/>
        <d v="2024-06-20T00:00:00"/>
        <d v="2024-06-22T00:00:00"/>
        <d v="2024-06-23T00:00:00"/>
        <d v="2024-06-24T00:00:00"/>
        <d v="2024-06-25T00:00:00"/>
        <d v="2024-06-29T00:00:00"/>
        <d v="2024-07-07T00:00:00"/>
        <d v="2024-07-09T00:00:00"/>
        <d v="2024-07-12T00:00:00"/>
        <d v="2024-07-13T00:00:00"/>
        <d v="2024-07-17T00:00:00"/>
        <d v="2024-07-18T00:00:00"/>
        <d v="2024-07-20T00:00:00"/>
        <d v="2024-07-21T00:00:00"/>
        <d v="2024-07-23T00:00:00"/>
        <d v="2024-07-24T00:00:00"/>
        <d v="2024-07-29T00:00:00"/>
        <d v="2024-07-30T00:00:00"/>
        <d v="2024-07-31T00:00:00"/>
        <d v="2024-08-05T00:00:00"/>
        <d v="2024-08-10T00:00:00"/>
        <d v="2024-08-12T00:00:00"/>
        <d v="2024-08-15T00:00:00"/>
        <d v="2024-08-16T00:00:00"/>
        <d v="2024-08-17T00:00:00"/>
        <d v="2024-08-18T00:00:00"/>
        <d v="2024-08-19T00:00:00"/>
        <d v="2024-08-20T00:00:00"/>
        <d v="2024-08-23T00:00:00"/>
        <d v="2024-08-25T00:00:00"/>
        <d v="2024-08-27T00:00:00"/>
        <d v="2024-08-29T00:00:00"/>
        <d v="2024-08-30T00:00:00"/>
        <d v="2024-09-13T00:00:00"/>
        <d v="2024-09-15T00:00:00"/>
        <d v="2024-09-16T00:00:00"/>
        <d v="2024-09-17T00:00:00"/>
        <d v="2024-09-18T00:00:00"/>
        <d v="2024-09-19T00:00:00"/>
        <d v="2024-09-21T00:00:00"/>
        <d v="2024-09-23T00:00:00"/>
        <d v="2024-09-26T00:00:00"/>
        <d v="2024-10-12T00:00:00"/>
        <d v="2024-10-15T00:00:00"/>
        <d v="2024-10-17T00:00:00"/>
        <d v="2024-10-18T00:00:00"/>
        <d v="2024-10-21T00:00:00"/>
        <d v="2024-10-23T00:00:00"/>
        <d v="2024-10-29T00:00:00"/>
        <d v="2024-10-31T00:00:00"/>
        <d v="2024-11-13T00:00:00"/>
        <d v="2024-11-14T00:00:00"/>
        <d v="2024-11-15T00:00:00"/>
        <d v="2024-11-17T00:00:00"/>
        <d v="2024-11-18T00:00:00"/>
        <d v="2024-11-20T00:00:00"/>
        <d v="2024-11-21T00:00:00"/>
        <d v="2024-11-22T00:00:00"/>
        <d v="2024-11-25T00:00:00"/>
        <d v="2024-11-26T00:00:00"/>
        <d v="2024-11-27T00:00:00"/>
        <d v="2024-11-29T00:00:00"/>
        <d v="2024-11-30T00:00:00"/>
        <d v="2024-12-11T00:00:00"/>
        <d v="2024-12-12T00:00:00"/>
        <d v="2024-12-13T00:00:00"/>
        <d v="2024-12-15T00:00:00"/>
        <d v="2024-12-18T00:00:00"/>
        <d v="2024-12-19T00:00:00"/>
        <d v="2024-12-24T00:00:00"/>
        <d v="2024-12-25T00:00:00"/>
        <d v="2024-12-27T00:00:00"/>
        <d v="2024-12-28T00:00:00"/>
        <d v="2024-12-29T00:00:00"/>
        <d v="2024-12-30T00:00:00"/>
        <d v="2024-12-31T00:00:00"/>
        <d v="2024-09-30T00:00:00"/>
        <d v="2024-10-09T00:00:00"/>
        <d v="2024-01-11T00:00:00"/>
        <d v="2024-02-24T00:00:00"/>
        <d v="2024-04-10T00:00:00"/>
        <d v="2024-08-13T00:00:00"/>
        <d v="2024-09-09T00:00:00"/>
      </sharedItems>
      <fieldGroup par="12"/>
    </cacheField>
    <cacheField name="Token" numFmtId="0">
      <sharedItems containsMixedTypes="1" containsNumber="1" containsInteger="1" minValue="0" maxValue="0"/>
    </cacheField>
    <cacheField name="Unit" numFmtId="0">
      <sharedItems containsSemiMixedTypes="0" containsString="0" containsNumber="1" minValue="0" maxValue="1157.5"/>
    </cacheField>
    <cacheField name="Unit Price" numFmtId="43">
      <sharedItems containsSemiMixedTypes="0" containsString="0" containsNumber="1" minValue="200" maxValue="1253686.44"/>
    </cacheField>
    <cacheField name="Total Price" numFmtId="43">
      <sharedItems containsSemiMixedTypes="0" containsString="0" containsNumber="1" minValue="200" maxValue="1253686.44"/>
    </cacheField>
    <cacheField name="Days (Date)" numFmtId="0" databaseField="0">
      <fieldGroup base="6">
        <rangePr groupBy="days" startDate="2024-01-09T00:00:00" endDate="2025-01-01T00:00:00"/>
        <groupItems count="368">
          <s v="&lt;1/9/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Months (Date)" numFmtId="0" databaseField="0">
      <fieldGroup base="6">
        <rangePr groupBy="months" startDate="2024-01-09T00:00:00" endDate="2025-01-01T00:00:00"/>
        <groupItems count="14">
          <s v="&lt;1/9/2024"/>
          <s v="Jan"/>
          <s v="Feb"/>
          <s v="Mar"/>
          <s v="Apr"/>
          <s v="May"/>
          <s v="Jun"/>
          <s v="Jul"/>
          <s v="Aug"/>
          <s v="Sep"/>
          <s v="Oct"/>
          <s v="Nov"/>
          <s v="Dec"/>
          <s v="&gt;1/1/2025"/>
        </groupItems>
      </fieldGroup>
    </cacheField>
  </cacheFields>
  <extLst>
    <ext xmlns:x14="http://schemas.microsoft.com/office/spreadsheetml/2009/9/main" uri="{725AE2AE-9491-48be-B2B4-4EB974FC3084}">
      <x14:pivotCacheDefinition pivotCacheId="2145129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0">
  <r>
    <s v="FBFCDK7M98DQ"/>
    <s v="Barbara Martinez"/>
    <s v="Flats"/>
    <x v="0"/>
    <x v="0"/>
    <x v="0"/>
    <x v="0"/>
    <n v="0"/>
    <n v="0"/>
    <n v="500"/>
    <n v="500"/>
  </r>
  <r>
    <s v="FBSQ2CO2IRP2"/>
    <s v="Power House Common Area Area"/>
    <s v="Office"/>
    <x v="1"/>
    <x v="1"/>
    <x v="0"/>
    <x v="0"/>
    <n v="0"/>
    <n v="0"/>
    <n v="500"/>
    <n v="500"/>
  </r>
  <r>
    <s v="FBIUG35BP7HT"/>
    <s v="Patricia Williams"/>
    <s v="Flats"/>
    <x v="2"/>
    <x v="2"/>
    <x v="0"/>
    <x v="0"/>
    <n v="0"/>
    <n v="0"/>
    <n v="500"/>
    <n v="500"/>
  </r>
  <r>
    <s v="FBNCBJF57W9S"/>
    <s v="Block D Common Area"/>
    <s v="Office"/>
    <x v="3"/>
    <x v="1"/>
    <x v="0"/>
    <x v="0"/>
    <n v="0"/>
    <n v="0"/>
    <n v="500"/>
    <n v="500"/>
  </r>
  <r>
    <s v="FBW7CPUUH2I1"/>
    <s v="Williams Jef"/>
    <s v="Flats"/>
    <x v="4"/>
    <x v="3"/>
    <x v="0"/>
    <x v="1"/>
    <n v="0"/>
    <n v="0"/>
    <n v="500"/>
    <n v="500"/>
  </r>
  <r>
    <s v="FBJP8CYMRKX3"/>
    <s v="Andrew Allen"/>
    <s v="Flats"/>
    <x v="2"/>
    <x v="4"/>
    <x v="0"/>
    <x v="1"/>
    <n v="0"/>
    <n v="0"/>
    <n v="500"/>
    <n v="500"/>
  </r>
  <r>
    <s v="FB0DAH5B58LU"/>
    <s v="MANAGMENT Office"/>
    <s v="Office"/>
    <x v="5"/>
    <x v="5"/>
    <x v="0"/>
    <x v="2"/>
    <n v="0"/>
    <n v="0"/>
    <n v="500"/>
    <n v="500"/>
  </r>
  <r>
    <s v="FBZWBY2OZT9F"/>
    <s v="Richard Allen"/>
    <s v="Flats"/>
    <x v="2"/>
    <x v="6"/>
    <x v="0"/>
    <x v="2"/>
    <n v="0"/>
    <n v="0"/>
    <n v="500"/>
    <n v="500"/>
  </r>
  <r>
    <s v="FB1QUKZJEB98"/>
    <s v="Anthony Robinson"/>
    <s v="Flats"/>
    <x v="3"/>
    <x v="7"/>
    <x v="0"/>
    <x v="3"/>
    <n v="0"/>
    <n v="0"/>
    <n v="500"/>
    <n v="500"/>
  </r>
  <r>
    <s v="FBJ4DDISRHYC"/>
    <s v="Donna Torres"/>
    <s v="Flats"/>
    <x v="3"/>
    <x v="8"/>
    <x v="0"/>
    <x v="3"/>
    <n v="0"/>
    <n v="0"/>
    <n v="500"/>
    <n v="500"/>
  </r>
  <r>
    <s v="FBO6H19ZP0LK"/>
    <s v="Michael Wright"/>
    <s v="Flats"/>
    <x v="3"/>
    <x v="9"/>
    <x v="0"/>
    <x v="3"/>
    <n v="0"/>
    <n v="0"/>
    <n v="500"/>
    <n v="500"/>
  </r>
  <r>
    <s v="FBGPF8KEHF2M"/>
    <s v="Donald Jones"/>
    <s v="Flats"/>
    <x v="0"/>
    <x v="10"/>
    <x v="0"/>
    <x v="3"/>
    <n v="0"/>
    <n v="0"/>
    <n v="500"/>
    <n v="500"/>
  </r>
  <r>
    <s v="FBXBWICH8LAQ"/>
    <s v="Paul Garcia"/>
    <s v="Flats"/>
    <x v="3"/>
    <x v="11"/>
    <x v="0"/>
    <x v="3"/>
    <n v="0"/>
    <n v="0"/>
    <n v="500"/>
    <n v="500"/>
  </r>
  <r>
    <s v="FBXUB8UT7Z61"/>
    <s v="Security Utilities Common Area"/>
    <s v="Office"/>
    <x v="6"/>
    <x v="1"/>
    <x v="0"/>
    <x v="3"/>
    <n v="0"/>
    <n v="0"/>
    <n v="500"/>
    <n v="500"/>
  </r>
  <r>
    <s v="FB0Y6MK1WKSR"/>
    <s v="Joshua Harris"/>
    <s v="Terrace"/>
    <x v="7"/>
    <x v="12"/>
    <x v="0"/>
    <x v="3"/>
    <n v="0"/>
    <n v="0"/>
    <n v="500"/>
    <n v="500"/>
  </r>
  <r>
    <s v="FBCESN2HIEL9"/>
    <s v="Karen Rodriguez"/>
    <s v="Terrace"/>
    <x v="7"/>
    <x v="13"/>
    <x v="0"/>
    <x v="3"/>
    <n v="0"/>
    <n v="0"/>
    <n v="500"/>
    <n v="500"/>
  </r>
  <r>
    <s v="FBE6JP8GIPM3"/>
    <s v="Susan Nguyen"/>
    <s v="Flats"/>
    <x v="3"/>
    <x v="14"/>
    <x v="0"/>
    <x v="4"/>
    <n v="0"/>
    <n v="0"/>
    <n v="500"/>
    <n v="500"/>
  </r>
  <r>
    <s v="FBEJZNM1SKLT"/>
    <s v="Paul Torres"/>
    <s v="Flats"/>
    <x v="2"/>
    <x v="15"/>
    <x v="0"/>
    <x v="4"/>
    <n v="0"/>
    <n v="0"/>
    <n v="500"/>
    <n v="500"/>
  </r>
  <r>
    <s v="FB3QW638HYG1"/>
    <s v="Paul Perez"/>
    <s v="Flats"/>
    <x v="3"/>
    <x v="16"/>
    <x v="0"/>
    <x v="4"/>
    <n v="0"/>
    <n v="0"/>
    <n v="500"/>
    <n v="500"/>
  </r>
  <r>
    <s v="FB1308O6A2XM"/>
    <s v="Lisa Clark"/>
    <s v="Flats"/>
    <x v="3"/>
    <x v="14"/>
    <x v="0"/>
    <x v="5"/>
    <n v="0"/>
    <n v="0"/>
    <n v="500"/>
    <n v="500"/>
  </r>
  <r>
    <s v="FBNER5BBI78Q"/>
    <s v="Jennifer Lewis"/>
    <s v="Terrace"/>
    <x v="7"/>
    <x v="17"/>
    <x v="0"/>
    <x v="6"/>
    <n v="0"/>
    <n v="0"/>
    <n v="500"/>
    <n v="500"/>
  </r>
  <r>
    <s v="FB1V1X8433OF"/>
    <s v="Michelle Wilson"/>
    <s v="Flats"/>
    <x v="2"/>
    <x v="18"/>
    <x v="0"/>
    <x v="6"/>
    <n v="0"/>
    <n v="0"/>
    <n v="500"/>
    <n v="500"/>
  </r>
  <r>
    <s v="FBYZ912XK77R"/>
    <s v="Daniel Ramirez"/>
    <s v="Flats"/>
    <x v="0"/>
    <x v="19"/>
    <x v="0"/>
    <x v="6"/>
    <n v="0"/>
    <n v="0"/>
    <n v="500"/>
    <n v="500"/>
  </r>
  <r>
    <s v="FBJOV7170FY4"/>
    <s v="Massionette Area Construction"/>
    <s v="Office"/>
    <x v="8"/>
    <x v="20"/>
    <x v="0"/>
    <x v="7"/>
    <n v="0"/>
    <n v="0"/>
    <n v="500"/>
    <n v="500"/>
  </r>
  <r>
    <s v="FB9HVR7MHQRD"/>
    <s v="Barbara Ramirez"/>
    <s v="Flats"/>
    <x v="4"/>
    <x v="21"/>
    <x v="0"/>
    <x v="7"/>
    <n v="0"/>
    <n v="0"/>
    <n v="500"/>
    <n v="500"/>
  </r>
  <r>
    <s v="FB9VLFFLSFRY"/>
    <s v="Mark Rodriguez"/>
    <s v="Flats"/>
    <x v="2"/>
    <x v="22"/>
    <x v="0"/>
    <x v="7"/>
    <n v="0"/>
    <n v="0"/>
    <n v="500"/>
    <n v="500"/>
  </r>
  <r>
    <s v="FBYXQYOL91YD"/>
    <s v="Emily Thomas"/>
    <s v="Flats"/>
    <x v="0"/>
    <x v="23"/>
    <x v="0"/>
    <x v="8"/>
    <n v="0"/>
    <n v="0"/>
    <n v="500"/>
    <n v="500"/>
  </r>
  <r>
    <s v="FBG4MWEXADFN"/>
    <s v="Daniel Torres"/>
    <s v="Flats"/>
    <x v="4"/>
    <x v="24"/>
    <x v="0"/>
    <x v="9"/>
    <n v="0"/>
    <n v="0"/>
    <n v="500"/>
    <n v="500"/>
  </r>
  <r>
    <s v="FBDU9VGX241K"/>
    <s v="Anthony Lopez"/>
    <s v="Flats"/>
    <x v="2"/>
    <x v="25"/>
    <x v="0"/>
    <x v="10"/>
    <n v="0"/>
    <n v="0"/>
    <n v="500"/>
    <n v="500"/>
  </r>
  <r>
    <s v="FB6ETSFWP2AU"/>
    <s v="Thomas Sanchez"/>
    <s v="Flats"/>
    <x v="0"/>
    <x v="26"/>
    <x v="0"/>
    <x v="11"/>
    <n v="0"/>
    <n v="0"/>
    <n v="500"/>
    <n v="500"/>
  </r>
  <r>
    <s v="FBA8K41BY8PL"/>
    <s v="Betty Lopez"/>
    <s v="Flats"/>
    <x v="4"/>
    <x v="27"/>
    <x v="0"/>
    <x v="12"/>
    <n v="0"/>
    <n v="0"/>
    <n v="500"/>
    <n v="500"/>
  </r>
  <r>
    <s v="FBTJURBASI3K"/>
    <s v="Block C Common Area"/>
    <s v="Office"/>
    <x v="0"/>
    <x v="1"/>
    <x v="0"/>
    <x v="13"/>
    <n v="0"/>
    <n v="0"/>
    <n v="500"/>
    <n v="500"/>
  </r>
  <r>
    <s v="FBEPQXHWWHRV"/>
    <s v="Karen Allen"/>
    <s v="Pent House"/>
    <x v="3"/>
    <x v="28"/>
    <x v="0"/>
    <x v="13"/>
    <n v="0"/>
    <n v="0"/>
    <n v="500"/>
    <n v="500"/>
  </r>
  <r>
    <s v="FB5F4YTQF28S"/>
    <s v="Terrace Area Construction"/>
    <s v="Office"/>
    <x v="9"/>
    <x v="20"/>
    <x v="0"/>
    <x v="14"/>
    <n v="0"/>
    <n v="0"/>
    <n v="500"/>
    <n v="500"/>
  </r>
  <r>
    <s v="FB7A303OZ7FZ"/>
    <s v="Elizabeth Martin"/>
    <s v="Flats"/>
    <x v="4"/>
    <x v="29"/>
    <x v="0"/>
    <x v="15"/>
    <n v="0"/>
    <n v="0"/>
    <n v="500"/>
    <n v="6000"/>
  </r>
  <r>
    <s v="FBWHEE3PU981"/>
    <s v="Robert Robinson"/>
    <s v="Flats"/>
    <x v="0"/>
    <x v="30"/>
    <x v="0"/>
    <x v="15"/>
    <n v="0"/>
    <n v="0"/>
    <n v="500"/>
    <n v="500"/>
  </r>
  <r>
    <s v="FBUMD2OWD0AX"/>
    <s v="Nancy Sanchez"/>
    <s v="Pent House"/>
    <x v="4"/>
    <x v="31"/>
    <x v="0"/>
    <x v="15"/>
    <n v="0"/>
    <n v="0"/>
    <n v="500"/>
    <n v="500"/>
  </r>
  <r>
    <s v="FBIUZ0QZQS8Z"/>
    <s v="Donald Jones"/>
    <s v="Flats"/>
    <x v="0"/>
    <x v="10"/>
    <x v="0"/>
    <x v="16"/>
    <n v="0"/>
    <n v="0"/>
    <n v="500"/>
    <n v="500"/>
  </r>
  <r>
    <s v="FB4LLM6IN50W"/>
    <s v="Daniel Ramirez"/>
    <s v="Flats"/>
    <x v="0"/>
    <x v="19"/>
    <x v="0"/>
    <x v="16"/>
    <n v="0"/>
    <n v="0"/>
    <n v="500"/>
    <n v="500"/>
  </r>
  <r>
    <s v="FBRHSIJ8P0XY"/>
    <s v="Michael Wright"/>
    <s v="Flats"/>
    <x v="3"/>
    <x v="9"/>
    <x v="0"/>
    <x v="16"/>
    <n v="0"/>
    <n v="0"/>
    <n v="500"/>
    <n v="500"/>
  </r>
  <r>
    <s v="FBHMTSH4ED57"/>
    <s v="Patricia Williams"/>
    <s v="Flats"/>
    <x v="2"/>
    <x v="2"/>
    <x v="0"/>
    <x v="16"/>
    <n v="0"/>
    <n v="0"/>
    <n v="500"/>
    <n v="500"/>
  </r>
  <r>
    <s v="FBTESEBCGNPJ"/>
    <s v="Paul Garcia"/>
    <s v="Flats"/>
    <x v="3"/>
    <x v="11"/>
    <x v="0"/>
    <x v="16"/>
    <n v="0"/>
    <n v="0"/>
    <n v="500"/>
    <n v="500"/>
  </r>
  <r>
    <s v="FB52CLMO075Q"/>
    <s v="Mary Hernandez"/>
    <s v="Flats"/>
    <x v="0"/>
    <x v="32"/>
    <x v="0"/>
    <x v="16"/>
    <n v="0"/>
    <n v="0"/>
    <n v="500"/>
    <n v="500"/>
  </r>
  <r>
    <s v="FBVZQMDX5UPP"/>
    <s v="Robert Robinson"/>
    <s v="Flats"/>
    <x v="0"/>
    <x v="30"/>
    <x v="0"/>
    <x v="17"/>
    <n v="0"/>
    <n v="0"/>
    <n v="500"/>
    <n v="500"/>
  </r>
  <r>
    <s v="FBCQW66XXOCX"/>
    <s v="Thomas Sanchez"/>
    <s v="Flats"/>
    <x v="0"/>
    <x v="26"/>
    <x v="0"/>
    <x v="17"/>
    <n v="0"/>
    <n v="0"/>
    <n v="500"/>
    <n v="500"/>
  </r>
  <r>
    <s v="FBE37RT5S25O"/>
    <s v="Joshua Harris"/>
    <s v="Terrace"/>
    <x v="7"/>
    <x v="12"/>
    <x v="0"/>
    <x v="18"/>
    <n v="0"/>
    <n v="0"/>
    <n v="500"/>
    <n v="500"/>
  </r>
  <r>
    <s v="FBNQIOQ9QP9S"/>
    <s v="Williams Jef"/>
    <s v="Flats"/>
    <x v="4"/>
    <x v="3"/>
    <x v="0"/>
    <x v="18"/>
    <n v="0"/>
    <n v="0"/>
    <n v="500"/>
    <n v="500"/>
  </r>
  <r>
    <s v="FB5BCVT9XXW4"/>
    <s v="Block D Common Area"/>
    <s v="Office"/>
    <x v="3"/>
    <x v="1"/>
    <x v="0"/>
    <x v="18"/>
    <n v="0"/>
    <n v="0"/>
    <n v="500"/>
    <n v="500"/>
  </r>
  <r>
    <s v="FBL4SIVPQWQC"/>
    <s v="Power House Common Area Area"/>
    <s v="Office"/>
    <x v="1"/>
    <x v="1"/>
    <x v="0"/>
    <x v="18"/>
    <n v="0"/>
    <n v="0"/>
    <n v="500"/>
    <n v="500"/>
  </r>
  <r>
    <s v="FB9DT5AIXWFK"/>
    <s v="MANAGMENT Office"/>
    <s v="Office"/>
    <x v="5"/>
    <x v="5"/>
    <x v="0"/>
    <x v="18"/>
    <n v="0"/>
    <n v="0"/>
    <n v="500"/>
    <n v="500"/>
  </r>
  <r>
    <s v="FBOTEONCR45D"/>
    <s v="Anthony Robinson"/>
    <s v="Flats"/>
    <x v="3"/>
    <x v="7"/>
    <x v="0"/>
    <x v="19"/>
    <n v="0"/>
    <n v="0"/>
    <n v="500"/>
    <n v="500"/>
  </r>
  <r>
    <s v="FBRCYSLZJ8CJ"/>
    <s v="Barbara Ramirez"/>
    <s v="Flats"/>
    <x v="4"/>
    <x v="21"/>
    <x v="0"/>
    <x v="20"/>
    <n v="0"/>
    <n v="0"/>
    <n v="500"/>
    <n v="500"/>
  </r>
  <r>
    <s v="FBW8PGI9UEMB"/>
    <s v="Richard Allen"/>
    <s v="Flats"/>
    <x v="2"/>
    <x v="6"/>
    <x v="0"/>
    <x v="20"/>
    <n v="0"/>
    <n v="0"/>
    <n v="500"/>
    <n v="500"/>
  </r>
  <r>
    <s v="FBT9YEH2225M"/>
    <s v="Michelle Wilson"/>
    <s v="Flats"/>
    <x v="2"/>
    <x v="18"/>
    <x v="0"/>
    <x v="20"/>
    <n v="0"/>
    <n v="0"/>
    <n v="500"/>
    <n v="500"/>
  </r>
  <r>
    <s v="FBX3F5VQMKMX"/>
    <s v="Daniel Torres"/>
    <s v="Flats"/>
    <x v="4"/>
    <x v="24"/>
    <x v="0"/>
    <x v="21"/>
    <n v="0"/>
    <n v="0"/>
    <n v="500"/>
    <n v="500"/>
  </r>
  <r>
    <s v="FBRSCDCRE0Y2"/>
    <s v="James Clark"/>
    <s v="Flats"/>
    <x v="4"/>
    <x v="33"/>
    <x v="0"/>
    <x v="21"/>
    <n v="0"/>
    <n v="0"/>
    <n v="500"/>
    <n v="500"/>
  </r>
  <r>
    <s v="FBMEXNHOY1SB"/>
    <s v="Security Utilities Common Area"/>
    <s v="Office"/>
    <x v="6"/>
    <x v="1"/>
    <x v="0"/>
    <x v="22"/>
    <n v="0"/>
    <n v="0"/>
    <n v="500"/>
    <n v="500"/>
  </r>
  <r>
    <s v="FB3A3YSXGERK"/>
    <s v="Karen Rodriguez"/>
    <s v="Terrace"/>
    <x v="7"/>
    <x v="13"/>
    <x v="0"/>
    <x v="22"/>
    <n v="0"/>
    <n v="0"/>
    <n v="500"/>
    <n v="500"/>
  </r>
  <r>
    <s v="FBCCV4YZO149"/>
    <s v="Karen Allen"/>
    <s v="Pent House"/>
    <x v="3"/>
    <x v="28"/>
    <x v="0"/>
    <x v="23"/>
    <n v="0"/>
    <n v="0"/>
    <n v="500"/>
    <n v="500"/>
  </r>
  <r>
    <s v="FBZIETG0ZGB5"/>
    <s v="Massionette Area Construction"/>
    <s v="Office"/>
    <x v="8"/>
    <x v="20"/>
    <x v="0"/>
    <x v="23"/>
    <n v="0"/>
    <n v="0"/>
    <n v="500"/>
    <n v="500"/>
  </r>
  <r>
    <s v="FB0AD5L4SAJ1"/>
    <s v="Terrace Area Construction"/>
    <s v="Office"/>
    <x v="9"/>
    <x v="20"/>
    <x v="0"/>
    <x v="23"/>
    <n v="0"/>
    <n v="0"/>
    <n v="500"/>
    <n v="500"/>
  </r>
  <r>
    <s v="FB0HBJJ9MNIT"/>
    <s v="Sarah Wilson"/>
    <s v="Flats"/>
    <x v="3"/>
    <x v="34"/>
    <x v="0"/>
    <x v="24"/>
    <n v="0"/>
    <n v="0"/>
    <n v="500"/>
    <n v="500"/>
  </r>
  <r>
    <s v="FBBOJP13HJ1Z"/>
    <s v="Lisa Clark"/>
    <s v="Flats"/>
    <x v="3"/>
    <x v="14"/>
    <x v="0"/>
    <x v="25"/>
    <n v="0"/>
    <n v="0"/>
    <n v="500"/>
    <n v="500"/>
  </r>
  <r>
    <s v="FBS0UD5SR9FT"/>
    <s v="Emily Thomas"/>
    <s v="Flats"/>
    <x v="0"/>
    <x v="23"/>
    <x v="0"/>
    <x v="25"/>
    <n v="0"/>
    <n v="0"/>
    <n v="500"/>
    <n v="500"/>
  </r>
  <r>
    <s v="FBZ8NIYZPIUS"/>
    <s v="Jennifer Lewis"/>
    <s v="Terrace"/>
    <x v="7"/>
    <x v="17"/>
    <x v="0"/>
    <x v="26"/>
    <n v="0"/>
    <n v="0"/>
    <n v="500"/>
    <n v="500"/>
  </r>
  <r>
    <s v="FBVN57QSKOBT"/>
    <s v="Andrew Allen"/>
    <s v="Flats"/>
    <x v="2"/>
    <x v="4"/>
    <x v="0"/>
    <x v="27"/>
    <n v="0"/>
    <n v="0"/>
    <n v="500"/>
    <n v="500"/>
  </r>
  <r>
    <s v="FB7MG4C3S61Z"/>
    <s v="Betty Lopez"/>
    <s v="Flats"/>
    <x v="4"/>
    <x v="27"/>
    <x v="0"/>
    <x v="28"/>
    <n v="0"/>
    <n v="0"/>
    <n v="500"/>
    <n v="500"/>
  </r>
  <r>
    <s v="FB2IEJ8G78UZ"/>
    <s v="Mary Hernandez"/>
    <s v="Flats"/>
    <x v="0"/>
    <x v="32"/>
    <x v="0"/>
    <x v="28"/>
    <n v="0"/>
    <n v="0"/>
    <n v="500"/>
    <n v="500"/>
  </r>
  <r>
    <s v="FB4P1A8E3HHQ"/>
    <s v="Block A Common Area"/>
    <s v="Office"/>
    <x v="4"/>
    <x v="1"/>
    <x v="0"/>
    <x v="29"/>
    <n v="0"/>
    <n v="0"/>
    <n v="500"/>
    <n v="500"/>
  </r>
  <r>
    <s v="FBJ2MQ0Y5026"/>
    <s v="Block B Common Area"/>
    <s v="Office"/>
    <x v="2"/>
    <x v="1"/>
    <x v="0"/>
    <x v="30"/>
    <n v="0"/>
    <n v="0"/>
    <n v="500"/>
    <n v="500"/>
  </r>
  <r>
    <s v="FBI6TY9208WH"/>
    <s v="Block C Common Area"/>
    <s v="Office"/>
    <x v="0"/>
    <x v="1"/>
    <x v="0"/>
    <x v="30"/>
    <n v="0"/>
    <n v="0"/>
    <n v="500"/>
    <n v="500"/>
  </r>
  <r>
    <s v="FBXIWJAUE6KY"/>
    <s v="Paul Torres"/>
    <s v="Flats"/>
    <x v="2"/>
    <x v="15"/>
    <x v="0"/>
    <x v="31"/>
    <n v="0"/>
    <n v="0"/>
    <n v="500"/>
    <n v="500"/>
  </r>
  <r>
    <s v="FB1VRZXBXW8I"/>
    <s v="Barbara Martinez"/>
    <s v="Flats"/>
    <x v="0"/>
    <x v="0"/>
    <x v="0"/>
    <x v="32"/>
    <n v="0"/>
    <n v="0"/>
    <n v="500"/>
    <n v="500"/>
  </r>
  <r>
    <s v="FBC8W8C71EB9"/>
    <s v="Donna Torres"/>
    <s v="Flats"/>
    <x v="3"/>
    <x v="8"/>
    <x v="0"/>
    <x v="32"/>
    <n v="0"/>
    <n v="0"/>
    <n v="500"/>
    <n v="500"/>
  </r>
  <r>
    <s v="FBGTR5598A2K"/>
    <s v="Susan Nguyen"/>
    <s v="Flats"/>
    <x v="3"/>
    <x v="14"/>
    <x v="0"/>
    <x v="33"/>
    <n v="0"/>
    <n v="0"/>
    <n v="500"/>
    <n v="500"/>
  </r>
  <r>
    <s v="FBTYSUFE03PW"/>
    <s v="Paul Perez"/>
    <s v="Flats"/>
    <x v="3"/>
    <x v="16"/>
    <x v="0"/>
    <x v="34"/>
    <n v="0"/>
    <n v="0"/>
    <n v="500"/>
    <n v="500"/>
  </r>
  <r>
    <s v="FB9ZKAUEIM8R"/>
    <s v="Jennifer Robinson"/>
    <s v="Terrace"/>
    <x v="7"/>
    <x v="35"/>
    <x v="0"/>
    <x v="35"/>
    <n v="0"/>
    <n v="0"/>
    <n v="500"/>
    <n v="500"/>
  </r>
  <r>
    <s v="FB2STRMV9F97"/>
    <s v="Mark Rodriguez"/>
    <s v="Flats"/>
    <x v="2"/>
    <x v="22"/>
    <x v="0"/>
    <x v="35"/>
    <n v="0"/>
    <n v="0"/>
    <n v="500"/>
    <n v="500"/>
  </r>
  <r>
    <s v="FBS26O2JLBAW"/>
    <s v="Richard Garcia"/>
    <s v="Flats"/>
    <x v="3"/>
    <x v="36"/>
    <x v="0"/>
    <x v="35"/>
    <n v="0"/>
    <n v="0"/>
    <n v="500"/>
    <n v="500"/>
  </r>
  <r>
    <s v="FBYGU5395MYM"/>
    <s v="Anthony Lopez"/>
    <s v="Flats"/>
    <x v="2"/>
    <x v="25"/>
    <x v="0"/>
    <x v="36"/>
    <n v="0"/>
    <n v="0"/>
    <n v="500"/>
    <n v="500"/>
  </r>
  <r>
    <s v="FB8E22UVU6QO"/>
    <s v="Dorothy Thomas"/>
    <s v="Flats"/>
    <x v="0"/>
    <x v="37"/>
    <x v="0"/>
    <x v="37"/>
    <n v="0"/>
    <n v="0"/>
    <n v="500"/>
    <n v="500"/>
  </r>
  <r>
    <s v="FBJUA4U7T51J"/>
    <s v="Paul Garcia"/>
    <s v="Flats"/>
    <x v="3"/>
    <x v="11"/>
    <x v="0"/>
    <x v="38"/>
    <n v="0"/>
    <n v="0"/>
    <n v="500"/>
    <n v="500"/>
  </r>
  <r>
    <s v="FB0Z8QP0IXU4"/>
    <s v="MANAGMENT Office"/>
    <s v="Office"/>
    <x v="5"/>
    <x v="5"/>
    <x v="0"/>
    <x v="38"/>
    <n v="0"/>
    <n v="0"/>
    <n v="500"/>
    <n v="500"/>
  </r>
  <r>
    <s v="FBBH30ALR34U"/>
    <s v="Power House Common Area Area"/>
    <s v="Office"/>
    <x v="1"/>
    <x v="1"/>
    <x v="0"/>
    <x v="38"/>
    <n v="0"/>
    <n v="0"/>
    <n v="500"/>
    <n v="500"/>
  </r>
  <r>
    <s v="FB3RHVD9DXE9"/>
    <s v="Block A Common Area"/>
    <s v="Office"/>
    <x v="4"/>
    <x v="1"/>
    <x v="0"/>
    <x v="39"/>
    <n v="0"/>
    <n v="0"/>
    <n v="500"/>
    <n v="500"/>
  </r>
  <r>
    <s v="FBLU3BHFKW4W"/>
    <s v="Block B Common Area"/>
    <s v="Office"/>
    <x v="2"/>
    <x v="1"/>
    <x v="0"/>
    <x v="39"/>
    <n v="0"/>
    <n v="0"/>
    <n v="500"/>
    <n v="500"/>
  </r>
  <r>
    <s v="FBEE1PYC7WL0"/>
    <s v="Block D Common Area"/>
    <s v="Office"/>
    <x v="3"/>
    <x v="1"/>
    <x v="0"/>
    <x v="39"/>
    <n v="0"/>
    <n v="0"/>
    <n v="500"/>
    <n v="500"/>
  </r>
  <r>
    <s v="FBS4L4W6DGD2"/>
    <s v="Security Utilities Common Area"/>
    <s v="Office"/>
    <x v="6"/>
    <x v="1"/>
    <x v="0"/>
    <x v="39"/>
    <n v="0"/>
    <n v="0"/>
    <n v="500"/>
    <n v="500"/>
  </r>
  <r>
    <s v="FBO851FYRHW6"/>
    <s v="Terrace Area Construction"/>
    <s v="Office"/>
    <x v="9"/>
    <x v="20"/>
    <x v="0"/>
    <x v="39"/>
    <n v="0"/>
    <n v="0"/>
    <n v="500"/>
    <n v="500"/>
  </r>
  <r>
    <s v="FBLIP644K2DO"/>
    <s v="Barbara Ramirez"/>
    <s v="Flats"/>
    <x v="4"/>
    <x v="21"/>
    <x v="0"/>
    <x v="40"/>
    <n v="0"/>
    <n v="0"/>
    <n v="500"/>
    <n v="500"/>
  </r>
  <r>
    <s v="FBVHRC2KBXDO"/>
    <s v="Anthony Robinson"/>
    <s v="Flats"/>
    <x v="3"/>
    <x v="7"/>
    <x v="0"/>
    <x v="40"/>
    <n v="0"/>
    <n v="0"/>
    <n v="500"/>
    <n v="500"/>
  </r>
  <r>
    <s v="FB61Q3Z0HQLC"/>
    <s v="Karen Allen"/>
    <s v="Pent House"/>
    <x v="3"/>
    <x v="28"/>
    <x v="0"/>
    <x v="41"/>
    <n v="0"/>
    <n v="0"/>
    <n v="500"/>
    <n v="500"/>
  </r>
  <r>
    <s v="FBTP0LZQBOGS"/>
    <s v="Joshua Harris"/>
    <s v="Terrace"/>
    <x v="7"/>
    <x v="12"/>
    <x v="0"/>
    <x v="41"/>
    <n v="0"/>
    <n v="0"/>
    <n v="500"/>
    <n v="500"/>
  </r>
  <r>
    <s v="FBTGIUYN8UV9"/>
    <s v="Patricia Williams"/>
    <s v="Flats"/>
    <x v="2"/>
    <x v="2"/>
    <x v="0"/>
    <x v="41"/>
    <n v="0"/>
    <n v="0"/>
    <n v="500"/>
    <n v="500"/>
  </r>
  <r>
    <s v="FBNTHGETH16W"/>
    <s v="Sarah Wilson"/>
    <s v="Flats"/>
    <x v="3"/>
    <x v="34"/>
    <x v="0"/>
    <x v="41"/>
    <n v="0"/>
    <n v="0"/>
    <n v="500"/>
    <n v="500"/>
  </r>
  <r>
    <s v="FBL2IO8H0SZM"/>
    <s v="Robert Robinson"/>
    <s v="Flats"/>
    <x v="0"/>
    <x v="30"/>
    <x v="0"/>
    <x v="42"/>
    <n v="0"/>
    <n v="0"/>
    <n v="500"/>
    <n v="500"/>
  </r>
  <r>
    <s v="FBI3XP5KMEA3"/>
    <s v="Williams Jef"/>
    <s v="Flats"/>
    <x v="4"/>
    <x v="3"/>
    <x v="0"/>
    <x v="42"/>
    <n v="0"/>
    <n v="0"/>
    <n v="500"/>
    <n v="1000"/>
  </r>
  <r>
    <s v="FBWPLY2CNG8B"/>
    <s v="Nancy Sanchez"/>
    <s v="Pent House"/>
    <x v="4"/>
    <x v="31"/>
    <x v="0"/>
    <x v="42"/>
    <n v="0"/>
    <n v="0"/>
    <n v="500"/>
    <n v="500"/>
  </r>
  <r>
    <s v="FBSGUAEKRYLH"/>
    <s v="Thomas Sanchez"/>
    <s v="Flats"/>
    <x v="0"/>
    <x v="26"/>
    <x v="0"/>
    <x v="43"/>
    <n v="0"/>
    <n v="0"/>
    <n v="500"/>
    <n v="500"/>
  </r>
  <r>
    <s v="FB8HQIRAS579"/>
    <s v="Betty Lopez"/>
    <s v="Flats"/>
    <x v="4"/>
    <x v="27"/>
    <x v="0"/>
    <x v="43"/>
    <n v="0"/>
    <n v="0"/>
    <n v="500"/>
    <n v="500"/>
  </r>
  <r>
    <s v="FB2I5WQTD1V1"/>
    <s v="Block C Common Area"/>
    <s v="Office"/>
    <x v="0"/>
    <x v="1"/>
    <x v="0"/>
    <x v="44"/>
    <n v="0"/>
    <n v="0"/>
    <n v="500"/>
    <n v="500"/>
  </r>
  <r>
    <s v="FBR5A4NH5XWT"/>
    <s v="Donald Jones"/>
    <s v="Flats"/>
    <x v="0"/>
    <x v="10"/>
    <x v="0"/>
    <x v="44"/>
    <n v="0"/>
    <n v="0"/>
    <n v="500"/>
    <n v="500"/>
  </r>
  <r>
    <s v="FBRQQJHWLRPP"/>
    <s v="Karen Rodriguez"/>
    <s v="Terrace"/>
    <x v="7"/>
    <x v="13"/>
    <x v="0"/>
    <x v="45"/>
    <n v="0"/>
    <n v="0"/>
    <n v="500"/>
    <n v="500"/>
  </r>
  <r>
    <s v="FBHU12G7WA6A"/>
    <s v="Thomas &amp; Jane Jackson"/>
    <s v="Flats"/>
    <x v="4"/>
    <x v="38"/>
    <x v="0"/>
    <x v="45"/>
    <n v="0"/>
    <n v="0"/>
    <n v="500"/>
    <n v="500"/>
  </r>
  <r>
    <s v="FBHU12G7WA6A"/>
    <s v="Thomas &amp; Jane Jackson"/>
    <s v="Flats"/>
    <x v="4"/>
    <x v="38"/>
    <x v="0"/>
    <x v="45"/>
    <n v="0"/>
    <n v="0"/>
    <n v="500"/>
    <n v="500"/>
  </r>
  <r>
    <s v="FBHU12G7WA6A"/>
    <s v="Thomas &amp; Jane Jackson"/>
    <s v="Flats"/>
    <x v="4"/>
    <x v="38"/>
    <x v="0"/>
    <x v="45"/>
    <n v="0"/>
    <n v="0"/>
    <n v="500"/>
    <n v="500"/>
  </r>
  <r>
    <s v="FBPVBX00D8CD"/>
    <s v="Daniel Torres"/>
    <s v="Flats"/>
    <x v="4"/>
    <x v="24"/>
    <x v="0"/>
    <x v="46"/>
    <n v="0"/>
    <n v="0"/>
    <n v="500"/>
    <n v="500"/>
  </r>
  <r>
    <s v="FB2BNPJ5RITJ"/>
    <s v="Michelle Wilson"/>
    <s v="Flats"/>
    <x v="2"/>
    <x v="18"/>
    <x v="0"/>
    <x v="47"/>
    <n v="0"/>
    <n v="0"/>
    <n v="500"/>
    <n v="500"/>
  </r>
  <r>
    <s v="FBQVW8VC621C"/>
    <s v="Richard Allen"/>
    <s v="Flats"/>
    <x v="2"/>
    <x v="6"/>
    <x v="0"/>
    <x v="48"/>
    <n v="0"/>
    <n v="0"/>
    <n v="500"/>
    <n v="500"/>
  </r>
  <r>
    <s v="FBSBQCA6F2MH"/>
    <s v="Emily Thomas"/>
    <s v="Flats"/>
    <x v="0"/>
    <x v="23"/>
    <x v="0"/>
    <x v="48"/>
    <n v="0"/>
    <n v="0"/>
    <n v="500"/>
    <n v="500"/>
  </r>
  <r>
    <s v="FBFL158D72VB"/>
    <s v="Lisa Clark"/>
    <s v="Flats"/>
    <x v="3"/>
    <x v="14"/>
    <x v="0"/>
    <x v="49"/>
    <n v="0"/>
    <n v="0"/>
    <n v="500"/>
    <n v="500"/>
  </r>
  <r>
    <s v="FBIJRPHD6V03"/>
    <s v="Paul Torres"/>
    <s v="Flats"/>
    <x v="2"/>
    <x v="15"/>
    <x v="0"/>
    <x v="50"/>
    <n v="0"/>
    <n v="0"/>
    <n v="500"/>
    <n v="500"/>
  </r>
  <r>
    <s v="FB7NHLEQNL3I"/>
    <s v="Daniel Ramirez"/>
    <s v="Flats"/>
    <x v="0"/>
    <x v="19"/>
    <x v="0"/>
    <x v="51"/>
    <n v="0"/>
    <n v="0"/>
    <n v="500"/>
    <n v="500"/>
  </r>
  <r>
    <s v="FBGRYICBQ0GD"/>
    <s v="Nancy Sanchez"/>
    <s v="Pent House"/>
    <x v="4"/>
    <x v="31"/>
    <x v="0"/>
    <x v="51"/>
    <n v="0"/>
    <n v="0"/>
    <n v="500"/>
    <n v="500"/>
  </r>
  <r>
    <s v="FB1M0OAV6ZAM"/>
    <s v="Paul Perez"/>
    <s v="Flats"/>
    <x v="3"/>
    <x v="16"/>
    <x v="0"/>
    <x v="51"/>
    <n v="0"/>
    <n v="0"/>
    <n v="500"/>
    <n v="500"/>
  </r>
  <r>
    <s v="FBSZJITBK5C6"/>
    <s v="Anthony Lopez"/>
    <s v="Flats"/>
    <x v="2"/>
    <x v="25"/>
    <x v="0"/>
    <x v="52"/>
    <n v="0"/>
    <n v="0"/>
    <n v="500"/>
    <n v="500"/>
  </r>
  <r>
    <s v="FBE8KV99F8VY"/>
    <s v="Mary Hernandez"/>
    <s v="Flats"/>
    <x v="0"/>
    <x v="32"/>
    <x v="0"/>
    <x v="52"/>
    <n v="0"/>
    <n v="0"/>
    <n v="500"/>
    <n v="500"/>
  </r>
  <r>
    <s v="FB2MW45PDQ7W"/>
    <s v="Mark Rodriguez"/>
    <s v="Flats"/>
    <x v="2"/>
    <x v="22"/>
    <x v="0"/>
    <x v="53"/>
    <n v="0"/>
    <n v="0"/>
    <n v="500"/>
    <n v="500"/>
  </r>
  <r>
    <s v="FBHT9UKTFS9L"/>
    <s v="Michael Wright"/>
    <s v="Flats"/>
    <x v="3"/>
    <x v="9"/>
    <x v="0"/>
    <x v="54"/>
    <n v="0"/>
    <n v="0"/>
    <n v="500"/>
    <n v="500"/>
  </r>
  <r>
    <s v="FBJGLHH7MAVI"/>
    <s v="Barbara Martinez"/>
    <s v="Flats"/>
    <x v="0"/>
    <x v="0"/>
    <x v="0"/>
    <x v="55"/>
    <n v="0"/>
    <n v="0"/>
    <n v="500"/>
    <n v="500"/>
  </r>
  <r>
    <s v="FBVQB59SG4XE"/>
    <s v="Jennifer Lewis"/>
    <s v="Terrace"/>
    <x v="7"/>
    <x v="17"/>
    <x v="0"/>
    <x v="56"/>
    <n v="0"/>
    <n v="0"/>
    <n v="500"/>
    <n v="500"/>
  </r>
  <r>
    <s v="FBX1KHA11ZQ5"/>
    <s v="Richard Garcia"/>
    <s v="Flats"/>
    <x v="3"/>
    <x v="36"/>
    <x v="0"/>
    <x v="56"/>
    <n v="0"/>
    <n v="0"/>
    <n v="500"/>
    <n v="500"/>
  </r>
  <r>
    <s v="FBS3R128KPRY"/>
    <s v="Dorothy Thomas"/>
    <s v="Flats"/>
    <x v="0"/>
    <x v="37"/>
    <x v="0"/>
    <x v="57"/>
    <n v="0"/>
    <n v="0"/>
    <n v="500"/>
    <n v="500"/>
  </r>
  <r>
    <s v="FBW28613C8RU"/>
    <s v="Jennifer Robinson"/>
    <s v="Terrace"/>
    <x v="7"/>
    <x v="35"/>
    <x v="0"/>
    <x v="58"/>
    <n v="0"/>
    <n v="0"/>
    <n v="500"/>
    <n v="500"/>
  </r>
  <r>
    <s v="FBDWGHE5R2GB"/>
    <s v="Donna Torres"/>
    <s v="Flats"/>
    <x v="3"/>
    <x v="8"/>
    <x v="0"/>
    <x v="58"/>
    <n v="0"/>
    <n v="0"/>
    <n v="500"/>
    <n v="500"/>
  </r>
  <r>
    <s v="FB5TDXG3UFYZ"/>
    <s v="Susan Nguyen"/>
    <s v="Flats"/>
    <x v="3"/>
    <x v="14"/>
    <x v="0"/>
    <x v="59"/>
    <n v="0"/>
    <n v="0"/>
    <n v="500"/>
    <n v="500"/>
  </r>
  <r>
    <s v="FBNJXC6QDIRJ"/>
    <s v="Anthony Robinson"/>
    <s v="Flats"/>
    <x v="3"/>
    <x v="7"/>
    <x v="0"/>
    <x v="60"/>
    <n v="0"/>
    <n v="0"/>
    <n v="500"/>
    <n v="500"/>
  </r>
  <r>
    <s v="FBFOTA3HZ8HR"/>
    <s v="Barbara Ramirez"/>
    <s v="Flats"/>
    <x v="4"/>
    <x v="21"/>
    <x v="0"/>
    <x v="60"/>
    <n v="0"/>
    <n v="0"/>
    <n v="500"/>
    <n v="500"/>
  </r>
  <r>
    <s v="FBOGULVQ6CTI"/>
    <s v="Patricia Williams"/>
    <s v="Flats"/>
    <x v="2"/>
    <x v="2"/>
    <x v="0"/>
    <x v="60"/>
    <n v="0"/>
    <n v="0"/>
    <n v="500"/>
    <n v="500"/>
  </r>
  <r>
    <s v="FBLH7JJPUJHI"/>
    <s v="Andrew Allen"/>
    <s v="Flats"/>
    <x v="2"/>
    <x v="4"/>
    <x v="0"/>
    <x v="60"/>
    <n v="0"/>
    <n v="0"/>
    <n v="500"/>
    <n v="500"/>
  </r>
  <r>
    <s v="FBSKKIV0O2FG"/>
    <s v="Donald Jones"/>
    <s v="Flats"/>
    <x v="0"/>
    <x v="10"/>
    <x v="0"/>
    <x v="61"/>
    <n v="0"/>
    <n v="0"/>
    <n v="500"/>
    <n v="500"/>
  </r>
  <r>
    <s v="FB1PMLD6GQS2"/>
    <s v="Betty Lopez"/>
    <s v="Flats"/>
    <x v="4"/>
    <x v="27"/>
    <x v="0"/>
    <x v="61"/>
    <n v="0"/>
    <n v="0"/>
    <n v="500"/>
    <n v="500"/>
  </r>
  <r>
    <s v="FBZ643R3UQQ3"/>
    <s v="Donna Torres"/>
    <s v="Flats"/>
    <x v="3"/>
    <x v="8"/>
    <x v="0"/>
    <x v="61"/>
    <n v="0"/>
    <n v="0"/>
    <n v="500"/>
    <n v="500"/>
  </r>
  <r>
    <s v="FBFZWABHXKDH"/>
    <s v="Joshua Harris"/>
    <s v="Terrace"/>
    <x v="7"/>
    <x v="12"/>
    <x v="0"/>
    <x v="62"/>
    <n v="0"/>
    <n v="0"/>
    <n v="500"/>
    <n v="500"/>
  </r>
  <r>
    <s v="FB420TZLAOTS"/>
    <s v="Block C Common Area"/>
    <s v="Office"/>
    <x v="0"/>
    <x v="1"/>
    <x v="0"/>
    <x v="62"/>
    <n v="0"/>
    <n v="0"/>
    <n v="500"/>
    <n v="500"/>
  </r>
  <r>
    <s v="FBUMCCZDSXZM"/>
    <s v="Block B Common Area"/>
    <s v="Office"/>
    <x v="2"/>
    <x v="1"/>
    <x v="0"/>
    <x v="62"/>
    <n v="0"/>
    <n v="0"/>
    <n v="500"/>
    <n v="500"/>
  </r>
  <r>
    <s v="FBB0CNC5EMLS"/>
    <s v="Power House Common Area Area"/>
    <s v="Office"/>
    <x v="1"/>
    <x v="1"/>
    <x v="0"/>
    <x v="62"/>
    <n v="0"/>
    <n v="0"/>
    <n v="500"/>
    <n v="500"/>
  </r>
  <r>
    <s v="FBQWR9FC8WLN"/>
    <s v="Robert Walker"/>
    <s v="Flats"/>
    <x v="2"/>
    <x v="39"/>
    <x v="0"/>
    <x v="62"/>
    <n v="0"/>
    <n v="0"/>
    <n v="500"/>
    <n v="500"/>
  </r>
  <r>
    <s v="FB1EVL01XPNI"/>
    <s v="Daniel Ramirez"/>
    <s v="Flats"/>
    <x v="0"/>
    <x v="19"/>
    <x v="0"/>
    <x v="62"/>
    <n v="0"/>
    <n v="0"/>
    <n v="500"/>
    <n v="500"/>
  </r>
  <r>
    <s v="FBUX0KMP8V4V"/>
    <s v="Robert Walker"/>
    <s v="Flats"/>
    <x v="2"/>
    <x v="39"/>
    <x v="0"/>
    <x v="62"/>
    <n v="0"/>
    <n v="0"/>
    <n v="500"/>
    <n v="500"/>
  </r>
  <r>
    <s v="FBUX0KMP8V4V"/>
    <s v="Robert Walker"/>
    <s v="Flats"/>
    <x v="2"/>
    <x v="39"/>
    <x v="0"/>
    <x v="62"/>
    <n v="0"/>
    <n v="0"/>
    <n v="500"/>
    <n v="500"/>
  </r>
  <r>
    <s v="FBUX0KMP8V4V"/>
    <s v="Robert Walker"/>
    <s v="Flats"/>
    <x v="2"/>
    <x v="39"/>
    <x v="0"/>
    <x v="62"/>
    <n v="0"/>
    <n v="0"/>
    <n v="500"/>
    <n v="500"/>
  </r>
  <r>
    <s v="FBRPNV6BG5H8"/>
    <s v="Anthony Lopez"/>
    <s v="Flats"/>
    <x v="2"/>
    <x v="25"/>
    <x v="0"/>
    <x v="63"/>
    <n v="0"/>
    <n v="0"/>
    <n v="500"/>
    <n v="500"/>
  </r>
  <r>
    <s v="FBYL3NPULDTL"/>
    <s v="Thomas Sanchez"/>
    <s v="Flats"/>
    <x v="0"/>
    <x v="26"/>
    <x v="0"/>
    <x v="63"/>
    <n v="0"/>
    <n v="0"/>
    <n v="500"/>
    <n v="500"/>
  </r>
  <r>
    <s v="FB15PBR5L8IC"/>
    <s v="Emily Thomas"/>
    <s v="Flats"/>
    <x v="0"/>
    <x v="23"/>
    <x v="0"/>
    <x v="63"/>
    <n v="0"/>
    <n v="0"/>
    <n v="500"/>
    <n v="500"/>
  </r>
  <r>
    <s v="FBCF8ENFBP1T"/>
    <s v="Thomas &amp; Jane Jackson"/>
    <s v="Flats"/>
    <x v="4"/>
    <x v="38"/>
    <x v="0"/>
    <x v="64"/>
    <n v="0"/>
    <n v="0"/>
    <n v="500"/>
    <n v="500"/>
  </r>
  <r>
    <s v="FBYC11FMXO58"/>
    <s v="Sarah Wilson"/>
    <s v="Flats"/>
    <x v="3"/>
    <x v="34"/>
    <x v="0"/>
    <x v="65"/>
    <n v="0"/>
    <n v="0"/>
    <n v="500"/>
    <n v="500"/>
  </r>
  <r>
    <s v="FB1BWKSX8DU9"/>
    <s v="Robert Robinson"/>
    <s v="Flats"/>
    <x v="0"/>
    <x v="30"/>
    <x v="0"/>
    <x v="65"/>
    <n v="0"/>
    <n v="0"/>
    <n v="500"/>
    <n v="500"/>
  </r>
  <r>
    <s v="FB1U3RI91XR9"/>
    <s v="Security Utilities Common Area"/>
    <s v="Office"/>
    <x v="6"/>
    <x v="1"/>
    <x v="0"/>
    <x v="65"/>
    <n v="0"/>
    <n v="0"/>
    <n v="500"/>
    <n v="500"/>
  </r>
  <r>
    <s v="FBPV4N48SU3E"/>
    <s v="Block D Common Area"/>
    <s v="Office"/>
    <x v="3"/>
    <x v="1"/>
    <x v="0"/>
    <x v="65"/>
    <n v="0"/>
    <n v="0"/>
    <n v="500"/>
    <n v="500"/>
  </r>
  <r>
    <s v="FBTIPWI2D0IC"/>
    <s v="MANAGMENT Office"/>
    <s v="Office"/>
    <x v="5"/>
    <x v="5"/>
    <x v="0"/>
    <x v="65"/>
    <n v="0"/>
    <n v="0"/>
    <n v="500"/>
    <n v="500"/>
  </r>
  <r>
    <s v="FBF1HH7XRIIX"/>
    <s v="Karen Allen"/>
    <s v="Pent House"/>
    <x v="3"/>
    <x v="28"/>
    <x v="0"/>
    <x v="66"/>
    <n v="0"/>
    <n v="0"/>
    <n v="500"/>
    <n v="500"/>
  </r>
  <r>
    <s v="FBOHWW9TJ9P1"/>
    <s v="Paul Perez"/>
    <s v="Flats"/>
    <x v="3"/>
    <x v="16"/>
    <x v="0"/>
    <x v="67"/>
    <n v="0"/>
    <n v="0"/>
    <n v="500"/>
    <n v="500"/>
  </r>
  <r>
    <s v="FBVX0T6712Y2"/>
    <s v="Lisa Clark"/>
    <s v="Flats"/>
    <x v="3"/>
    <x v="14"/>
    <x v="0"/>
    <x v="68"/>
    <n v="0"/>
    <n v="0"/>
    <n v="500"/>
    <n v="500"/>
  </r>
  <r>
    <s v="FBO03001HTX9"/>
    <s v="Paul Garcia"/>
    <s v="Flats"/>
    <x v="3"/>
    <x v="11"/>
    <x v="0"/>
    <x v="69"/>
    <n v="0"/>
    <n v="0"/>
    <n v="500"/>
    <n v="500"/>
  </r>
  <r>
    <s v="FBZFCP8RLGW9"/>
    <s v="Richard Allen"/>
    <s v="Flats"/>
    <x v="2"/>
    <x v="6"/>
    <x v="0"/>
    <x v="70"/>
    <n v="0"/>
    <n v="0"/>
    <n v="500"/>
    <n v="500"/>
  </r>
  <r>
    <s v="FBUUXZ2BAOAS"/>
    <s v="Karen Rodriguez"/>
    <s v="Terrace"/>
    <x v="7"/>
    <x v="13"/>
    <x v="0"/>
    <x v="70"/>
    <n v="0"/>
    <n v="0"/>
    <n v="500"/>
    <n v="500"/>
  </r>
  <r>
    <s v="FBXO4FKGVL2O"/>
    <s v="Michelle Wilson"/>
    <s v="Flats"/>
    <x v="2"/>
    <x v="18"/>
    <x v="0"/>
    <x v="70"/>
    <n v="0"/>
    <n v="0"/>
    <n v="500"/>
    <n v="500"/>
  </r>
  <r>
    <s v="FBWW3M22FADM"/>
    <s v="Mark Rodriguez"/>
    <s v="Flats"/>
    <x v="2"/>
    <x v="22"/>
    <x v="0"/>
    <x v="71"/>
    <n v="0"/>
    <n v="0"/>
    <n v="500"/>
    <n v="500"/>
  </r>
  <r>
    <s v="FBMZEK9WBJ1E"/>
    <s v="Barbara Martinez"/>
    <s v="Flats"/>
    <x v="0"/>
    <x v="0"/>
    <x v="0"/>
    <x v="71"/>
    <n v="0"/>
    <n v="0"/>
    <n v="500"/>
    <n v="500"/>
  </r>
  <r>
    <s v="FBZX9W0L362O"/>
    <s v="Jennifer Robinson"/>
    <s v="Terrace"/>
    <x v="7"/>
    <x v="35"/>
    <x v="0"/>
    <x v="71"/>
    <n v="0"/>
    <n v="0"/>
    <n v="500"/>
    <n v="500"/>
  </r>
  <r>
    <s v="FBC7A913PVZ3"/>
    <s v="Susan Nguyen"/>
    <s v="Flats"/>
    <x v="3"/>
    <x v="14"/>
    <x v="0"/>
    <x v="71"/>
    <n v="0"/>
    <n v="0"/>
    <n v="500"/>
    <n v="500"/>
  </r>
  <r>
    <s v="FB4KOT0S207U"/>
    <s v="Block A Common Area"/>
    <s v="Office"/>
    <x v="4"/>
    <x v="1"/>
    <x v="0"/>
    <x v="71"/>
    <n v="0"/>
    <n v="0"/>
    <n v="500"/>
    <n v="500"/>
  </r>
  <r>
    <s v="FBLEOCJXX7S0"/>
    <s v="Daniel Torres"/>
    <s v="Flats"/>
    <x v="4"/>
    <x v="24"/>
    <x v="0"/>
    <x v="72"/>
    <n v="0"/>
    <n v="0"/>
    <n v="500"/>
    <n v="500"/>
  </r>
  <r>
    <s v="FBSJNC08NGG5"/>
    <s v="Andrew Allen"/>
    <s v="Flats"/>
    <x v="2"/>
    <x v="4"/>
    <x v="0"/>
    <x v="72"/>
    <n v="0"/>
    <n v="0"/>
    <n v="500"/>
    <n v="500"/>
  </r>
  <r>
    <s v="FBJIXN7PRJN3"/>
    <s v="Massionette Area Construction"/>
    <s v="Office"/>
    <x v="8"/>
    <x v="20"/>
    <x v="0"/>
    <x v="73"/>
    <n v="0"/>
    <n v="0"/>
    <n v="500"/>
    <n v="500"/>
  </r>
  <r>
    <s v="FBO3JNMEDY9Q"/>
    <s v="Terrace Area Construction"/>
    <s v="Office"/>
    <x v="9"/>
    <x v="20"/>
    <x v="0"/>
    <x v="73"/>
    <n v="0"/>
    <n v="0"/>
    <n v="500"/>
    <n v="500"/>
  </r>
  <r>
    <s v="FBJIXN7PRJN3"/>
    <s v="Massionette Area Construction"/>
    <s v="Office"/>
    <x v="8"/>
    <x v="20"/>
    <x v="0"/>
    <x v="73"/>
    <n v="0"/>
    <n v="0"/>
    <n v="500"/>
    <n v="500"/>
  </r>
  <r>
    <s v="FB24FXX6SJSQ"/>
    <s v="Michael Wright"/>
    <s v="Flats"/>
    <x v="3"/>
    <x v="9"/>
    <x v="0"/>
    <x v="74"/>
    <n v="0"/>
    <n v="0"/>
    <n v="500"/>
    <n v="500"/>
  </r>
  <r>
    <s v="FBYOF98XNH24"/>
    <s v="Richard Garcia"/>
    <s v="Flats"/>
    <x v="3"/>
    <x v="36"/>
    <x v="0"/>
    <x v="75"/>
    <n v="0"/>
    <n v="0"/>
    <n v="500"/>
    <n v="500"/>
  </r>
  <r>
    <s v="FBT3JUSOH6IQ"/>
    <s v="Dorothy Thomas"/>
    <s v="Flats"/>
    <x v="0"/>
    <x v="37"/>
    <x v="0"/>
    <x v="76"/>
    <n v="0"/>
    <n v="0"/>
    <n v="500"/>
    <n v="500"/>
  </r>
  <r>
    <s v="FBXLO33GRQ3P"/>
    <s v="Jennifer Lewis"/>
    <s v="Terrace"/>
    <x v="7"/>
    <x v="17"/>
    <x v="0"/>
    <x v="77"/>
    <n v="0"/>
    <n v="0"/>
    <n v="500"/>
    <n v="500"/>
  </r>
  <r>
    <s v="FB8383VTMZNQ"/>
    <s v="Joshua Harris"/>
    <s v="Terrace"/>
    <x v="7"/>
    <x v="12"/>
    <x v="0"/>
    <x v="78"/>
    <n v="0"/>
    <n v="0"/>
    <n v="500"/>
    <n v="500"/>
  </r>
  <r>
    <s v="FB14G2TYIJZ3"/>
    <s v="Anthony Lopez"/>
    <s v="Flats"/>
    <x v="2"/>
    <x v="25"/>
    <x v="0"/>
    <x v="78"/>
    <n v="0"/>
    <n v="0"/>
    <n v="500"/>
    <n v="500"/>
  </r>
  <r>
    <s v="FB9VUM0UESUI"/>
    <s v="Patricia Williams"/>
    <s v="Flats"/>
    <x v="2"/>
    <x v="2"/>
    <x v="0"/>
    <x v="78"/>
    <n v="0"/>
    <n v="0"/>
    <n v="500"/>
    <n v="500"/>
  </r>
  <r>
    <s v="FBWY35ZATMNX"/>
    <s v="Paul Torres"/>
    <s v="Flats"/>
    <x v="2"/>
    <x v="15"/>
    <x v="0"/>
    <x v="78"/>
    <n v="0"/>
    <n v="0"/>
    <n v="500"/>
    <n v="500"/>
  </r>
  <r>
    <s v="FBFDCWSU4QWT"/>
    <s v="Donald Jones"/>
    <s v="Flats"/>
    <x v="0"/>
    <x v="10"/>
    <x v="0"/>
    <x v="78"/>
    <n v="0"/>
    <n v="0"/>
    <n v="500"/>
    <n v="500"/>
  </r>
  <r>
    <s v="FBWY35ZATMNX"/>
    <s v="Paul Torres"/>
    <s v="Flats"/>
    <x v="2"/>
    <x v="15"/>
    <x v="0"/>
    <x v="78"/>
    <n v="0"/>
    <n v="0"/>
    <n v="500"/>
    <n v="500"/>
  </r>
  <r>
    <s v="FB8QZR79NTB7"/>
    <s v="Betty Lopez"/>
    <s v="Flats"/>
    <x v="4"/>
    <x v="27"/>
    <x v="0"/>
    <x v="79"/>
    <n v="0"/>
    <n v="0"/>
    <n v="500"/>
    <n v="500"/>
  </r>
  <r>
    <s v="FB6GFV70HEE7"/>
    <s v="James Clark"/>
    <s v="Flats"/>
    <x v="4"/>
    <x v="33"/>
    <x v="0"/>
    <x v="79"/>
    <n v="0"/>
    <n v="0"/>
    <n v="500"/>
    <n v="500"/>
  </r>
  <r>
    <s v="FBVJMH73TJS7"/>
    <s v="Daniel Ramirez"/>
    <s v="Flats"/>
    <x v="0"/>
    <x v="19"/>
    <x v="0"/>
    <x v="79"/>
    <n v="0"/>
    <n v="0"/>
    <n v="500"/>
    <n v="2000"/>
  </r>
  <r>
    <s v="FB21QLPTCW7R"/>
    <s v="Anthony Robinson"/>
    <s v="Flats"/>
    <x v="3"/>
    <x v="7"/>
    <x v="0"/>
    <x v="79"/>
    <n v="0"/>
    <n v="0"/>
    <n v="500"/>
    <n v="500"/>
  </r>
  <r>
    <s v="FB6GFV70HEE7"/>
    <s v="James Clark"/>
    <s v="Flats"/>
    <x v="4"/>
    <x v="33"/>
    <x v="0"/>
    <x v="79"/>
    <n v="0"/>
    <n v="0"/>
    <n v="500"/>
    <n v="500"/>
  </r>
  <r>
    <s v="FB6GFV70HEE7"/>
    <s v="James Clark"/>
    <s v="Flats"/>
    <x v="4"/>
    <x v="33"/>
    <x v="0"/>
    <x v="79"/>
    <n v="0"/>
    <n v="0"/>
    <n v="500"/>
    <n v="500"/>
  </r>
  <r>
    <s v="FB6GFV70HEE7"/>
    <s v="James Clark"/>
    <s v="Flats"/>
    <x v="4"/>
    <x v="33"/>
    <x v="0"/>
    <x v="79"/>
    <n v="0"/>
    <n v="0"/>
    <n v="500"/>
    <n v="500"/>
  </r>
  <r>
    <s v="FBG917RYUQKN"/>
    <s v="Thomas &amp; Jane Jackson"/>
    <s v="Flats"/>
    <x v="4"/>
    <x v="38"/>
    <x v="0"/>
    <x v="80"/>
    <n v="0"/>
    <n v="0"/>
    <n v="500"/>
    <n v="500"/>
  </r>
  <r>
    <s v="FBFNTTEUMCEG"/>
    <s v="Robert Robinson"/>
    <s v="Flats"/>
    <x v="0"/>
    <x v="30"/>
    <x v="0"/>
    <x v="80"/>
    <n v="0"/>
    <n v="0"/>
    <n v="500"/>
    <n v="500"/>
  </r>
  <r>
    <s v="FB6DVLRCGNDV"/>
    <s v="MANAGMENT Office"/>
    <s v="Office"/>
    <x v="5"/>
    <x v="5"/>
    <x v="0"/>
    <x v="80"/>
    <n v="0"/>
    <n v="0"/>
    <n v="500"/>
    <n v="500"/>
  </r>
  <r>
    <s v="FBSS1A07J6L8"/>
    <s v="Thomas Sanchez"/>
    <s v="Flats"/>
    <x v="0"/>
    <x v="26"/>
    <x v="0"/>
    <x v="80"/>
    <n v="0"/>
    <n v="0"/>
    <n v="500"/>
    <n v="500"/>
  </r>
  <r>
    <s v="FBX2PC8FUM70"/>
    <s v="Donna Torres"/>
    <s v="Flats"/>
    <x v="3"/>
    <x v="8"/>
    <x v="0"/>
    <x v="81"/>
    <n v="0"/>
    <n v="0"/>
    <n v="500"/>
    <n v="500"/>
  </r>
  <r>
    <s v="FBYVR9NPRIH7"/>
    <s v="Security Utilities Common Area"/>
    <s v="Office"/>
    <x v="6"/>
    <x v="1"/>
    <x v="0"/>
    <x v="81"/>
    <n v="0"/>
    <n v="0"/>
    <n v="500"/>
    <n v="500"/>
  </r>
  <r>
    <s v="FBZ0C8N7HVAX"/>
    <s v="Power House Common Area Area"/>
    <s v="Office"/>
    <x v="1"/>
    <x v="1"/>
    <x v="0"/>
    <x v="81"/>
    <n v="0"/>
    <n v="0"/>
    <n v="500"/>
    <n v="500"/>
  </r>
  <r>
    <s v="FB9AQOKZVXGT"/>
    <s v="Emily Thomas"/>
    <s v="Flats"/>
    <x v="0"/>
    <x v="23"/>
    <x v="0"/>
    <x v="82"/>
    <n v="0"/>
    <n v="0"/>
    <n v="500"/>
    <n v="500"/>
  </r>
  <r>
    <s v="FBI9Y93MIN33"/>
    <s v="Karen Rodriguez"/>
    <s v="Terrace"/>
    <x v="7"/>
    <x v="13"/>
    <x v="0"/>
    <x v="82"/>
    <n v="0"/>
    <n v="0"/>
    <n v="500"/>
    <n v="500"/>
  </r>
  <r>
    <s v="FB7UI6JR2R10"/>
    <s v="Nancy Sanchez"/>
    <s v="Pent House"/>
    <x v="4"/>
    <x v="31"/>
    <x v="0"/>
    <x v="82"/>
    <n v="0"/>
    <n v="0"/>
    <n v="500"/>
    <n v="500"/>
  </r>
  <r>
    <s v="FBAIANHB9XYT"/>
    <s v="Karen Allen"/>
    <s v="Pent House"/>
    <x v="3"/>
    <x v="28"/>
    <x v="0"/>
    <x v="83"/>
    <n v="0"/>
    <n v="0"/>
    <n v="500"/>
    <n v="500"/>
  </r>
  <r>
    <s v="FBK5DANHEDUA"/>
    <s v="Dorothy Thomas"/>
    <s v="Flats"/>
    <x v="0"/>
    <x v="37"/>
    <x v="0"/>
    <x v="83"/>
    <n v="0"/>
    <n v="0"/>
    <n v="500"/>
    <n v="500"/>
  </r>
  <r>
    <s v="FBJTUANBNP4R"/>
    <s v="Sarah Wilson"/>
    <s v="Flats"/>
    <x v="3"/>
    <x v="34"/>
    <x v="0"/>
    <x v="84"/>
    <n v="0"/>
    <n v="0"/>
    <n v="500"/>
    <n v="500"/>
  </r>
  <r>
    <s v="FB3Q1VWEQOC1"/>
    <s v="Block A Common Area"/>
    <s v="Office"/>
    <x v="4"/>
    <x v="1"/>
    <x v="0"/>
    <x v="84"/>
    <n v="0"/>
    <n v="0"/>
    <n v="500"/>
    <n v="500"/>
  </r>
  <r>
    <s v="FBZL5PK3HIIW"/>
    <s v="Block B Common Area"/>
    <s v="Office"/>
    <x v="2"/>
    <x v="1"/>
    <x v="0"/>
    <x v="84"/>
    <n v="0"/>
    <n v="0"/>
    <n v="500"/>
    <n v="500"/>
  </r>
  <r>
    <s v="FBH8LQ47AKNT"/>
    <s v="Block C Common Area"/>
    <s v="Office"/>
    <x v="0"/>
    <x v="1"/>
    <x v="0"/>
    <x v="84"/>
    <n v="0"/>
    <n v="0"/>
    <n v="500"/>
    <n v="500"/>
  </r>
  <r>
    <s v="FBWNDF9KXRLM"/>
    <s v="Block D Common Area"/>
    <s v="Office"/>
    <x v="3"/>
    <x v="1"/>
    <x v="0"/>
    <x v="84"/>
    <n v="0"/>
    <n v="0"/>
    <n v="500"/>
    <n v="500"/>
  </r>
  <r>
    <s v="FB1LS97XTEB4"/>
    <s v="Williams Jef"/>
    <s v="Flats"/>
    <x v="4"/>
    <x v="3"/>
    <x v="0"/>
    <x v="84"/>
    <n v="0"/>
    <n v="0"/>
    <n v="500"/>
    <n v="1000"/>
  </r>
  <r>
    <s v="FBQBXMF3ISKO"/>
    <s v="Barbara Ramirez"/>
    <s v="Flats"/>
    <x v="4"/>
    <x v="21"/>
    <x v="0"/>
    <x v="85"/>
    <n v="0"/>
    <n v="0"/>
    <n v="500"/>
    <n v="500"/>
  </r>
  <r>
    <s v="FBOOJ5CQDI7I"/>
    <s v="Terrace Area Construction"/>
    <s v="Office"/>
    <x v="9"/>
    <x v="20"/>
    <x v="0"/>
    <x v="86"/>
    <n v="0"/>
    <n v="0"/>
    <n v="500"/>
    <n v="500"/>
  </r>
  <r>
    <s v="FBXMV1G4PROB"/>
    <s v="Massionette Area Construction"/>
    <s v="Office"/>
    <x v="8"/>
    <x v="20"/>
    <x v="0"/>
    <x v="86"/>
    <n v="0"/>
    <n v="0"/>
    <n v="500"/>
    <n v="500"/>
  </r>
  <r>
    <s v="FBYXT26OWJ7U"/>
    <s v="Lisa Clark"/>
    <s v="Flats"/>
    <x v="3"/>
    <x v="14"/>
    <x v="0"/>
    <x v="87"/>
    <n v="0"/>
    <n v="0"/>
    <n v="500"/>
    <n v="500"/>
  </r>
  <r>
    <s v="FBFSUC5XCRRK"/>
    <s v="Robert Walker"/>
    <s v="Flats"/>
    <x v="2"/>
    <x v="39"/>
    <x v="0"/>
    <x v="88"/>
    <n v="0"/>
    <n v="0"/>
    <n v="500"/>
    <n v="500"/>
  </r>
  <r>
    <s v="FB0CKD6549WI"/>
    <s v="Richard Allen"/>
    <s v="Flats"/>
    <x v="2"/>
    <x v="6"/>
    <x v="0"/>
    <x v="89"/>
    <n v="0"/>
    <n v="0"/>
    <n v="500"/>
    <n v="500"/>
  </r>
  <r>
    <s v="FB7OMCKWHWZC"/>
    <s v="Michelle Wilson"/>
    <s v="Flats"/>
    <x v="2"/>
    <x v="18"/>
    <x v="0"/>
    <x v="89"/>
    <n v="0"/>
    <n v="0"/>
    <n v="500"/>
    <n v="500"/>
  </r>
  <r>
    <s v="FBA5ZFL9QQC5"/>
    <s v="Michael Wright"/>
    <s v="Flats"/>
    <x v="3"/>
    <x v="9"/>
    <x v="0"/>
    <x v="90"/>
    <n v="0"/>
    <n v="0"/>
    <n v="500"/>
    <n v="500"/>
  </r>
  <r>
    <s v="FBO21HH9RYTU"/>
    <s v="Mark Rodriguez"/>
    <s v="Flats"/>
    <x v="2"/>
    <x v="22"/>
    <x v="0"/>
    <x v="90"/>
    <n v="0"/>
    <n v="0"/>
    <n v="500"/>
    <n v="500"/>
  </r>
  <r>
    <s v="FB2X9SLAKEUD"/>
    <s v="Paul Perez"/>
    <s v="Flats"/>
    <x v="3"/>
    <x v="16"/>
    <x v="0"/>
    <x v="90"/>
    <n v="0"/>
    <n v="0"/>
    <n v="500"/>
    <n v="500"/>
  </r>
  <r>
    <s v="FBAERX46TQSD"/>
    <s v="Nancy Sanchez"/>
    <s v="Pent House"/>
    <x v="4"/>
    <x v="31"/>
    <x v="0"/>
    <x v="91"/>
    <n v="0"/>
    <n v="0"/>
    <n v="500"/>
    <n v="500"/>
  </r>
  <r>
    <s v="FBNSQN85G3WT"/>
    <s v="Daniel Torres"/>
    <s v="Flats"/>
    <x v="4"/>
    <x v="24"/>
    <x v="0"/>
    <x v="92"/>
    <n v="0"/>
    <n v="0"/>
    <n v="500"/>
    <n v="500"/>
  </r>
  <r>
    <s v="FB8POUN43WT9"/>
    <s v="Richard Garcia"/>
    <s v="Flats"/>
    <x v="3"/>
    <x v="36"/>
    <x v="0"/>
    <x v="93"/>
    <n v="0"/>
    <n v="0"/>
    <n v="500"/>
    <n v="500"/>
  </r>
  <r>
    <s v="FB8PZ452GZWX"/>
    <s v="Jennifer Lewis"/>
    <s v="Terrace"/>
    <x v="7"/>
    <x v="17"/>
    <x v="0"/>
    <x v="93"/>
    <n v="0"/>
    <n v="0"/>
    <n v="500"/>
    <n v="500"/>
  </r>
  <r>
    <s v="FB68PZ75KVSL"/>
    <s v="Barbara Martinez"/>
    <s v="Flats"/>
    <x v="0"/>
    <x v="0"/>
    <x v="0"/>
    <x v="94"/>
    <n v="0"/>
    <n v="0"/>
    <n v="500"/>
    <n v="500"/>
  </r>
  <r>
    <s v="FBYK06ZBS9C8"/>
    <s v="Andrew Allen"/>
    <s v="Flats"/>
    <x v="2"/>
    <x v="4"/>
    <x v="0"/>
    <x v="95"/>
    <n v="0"/>
    <n v="0"/>
    <n v="500"/>
    <n v="500"/>
  </r>
  <r>
    <s v="FBJ7R5EXJJYU"/>
    <s v="Jennifer Robinson"/>
    <s v="Terrace"/>
    <x v="7"/>
    <x v="35"/>
    <x v="0"/>
    <x v="95"/>
    <n v="0"/>
    <n v="0"/>
    <n v="500"/>
    <n v="500"/>
  </r>
  <r>
    <s v="FB27DJ683MWW"/>
    <s v="Donald Jones"/>
    <s v="Flats"/>
    <x v="0"/>
    <x v="10"/>
    <x v="0"/>
    <x v="96"/>
    <n v="0"/>
    <n v="0"/>
    <n v="500"/>
    <n v="500"/>
  </r>
  <r>
    <s v="FBABTBO9F2MQ"/>
    <s v="Betty Lopez"/>
    <s v="Flats"/>
    <x v="4"/>
    <x v="27"/>
    <x v="0"/>
    <x v="96"/>
    <n v="0"/>
    <n v="0"/>
    <n v="500"/>
    <n v="500"/>
  </r>
  <r>
    <s v="FB2SK97F2EMC"/>
    <s v="Donna Torres"/>
    <s v="Flats"/>
    <x v="3"/>
    <x v="8"/>
    <x v="0"/>
    <x v="96"/>
    <n v="0"/>
    <n v="0"/>
    <n v="500"/>
    <n v="500"/>
  </r>
  <r>
    <s v="FBUHZBOPKUWM"/>
    <s v="Michelle Wilson"/>
    <s v="Flats"/>
    <x v="2"/>
    <x v="18"/>
    <x v="0"/>
    <x v="96"/>
    <n v="0"/>
    <n v="0"/>
    <n v="500"/>
    <n v="500"/>
  </r>
  <r>
    <s v="FB6C1HD6TRE7"/>
    <s v="Block A Common Area"/>
    <s v="Office"/>
    <x v="4"/>
    <x v="1"/>
    <x v="0"/>
    <x v="96"/>
    <n v="0"/>
    <n v="0"/>
    <n v="500"/>
    <n v="500"/>
  </r>
  <r>
    <s v="FBHB4SLTWN89"/>
    <s v="Block C Common Area"/>
    <s v="Office"/>
    <x v="0"/>
    <x v="1"/>
    <x v="0"/>
    <x v="96"/>
    <n v="0"/>
    <n v="0"/>
    <n v="500"/>
    <n v="500"/>
  </r>
  <r>
    <s v="FB4JJZX9I0MA"/>
    <s v="Security Utilities Common Area"/>
    <s v="Office"/>
    <x v="6"/>
    <x v="1"/>
    <x v="0"/>
    <x v="96"/>
    <n v="0"/>
    <n v="0"/>
    <n v="500"/>
    <n v="500"/>
  </r>
  <r>
    <s v="FB1VXLXRTIQ6"/>
    <s v="Paul Garcia"/>
    <s v="Flats"/>
    <x v="3"/>
    <x v="11"/>
    <x v="0"/>
    <x v="96"/>
    <n v="0"/>
    <n v="0"/>
    <n v="500"/>
    <n v="500"/>
  </r>
  <r>
    <s v="FB13TB1ESG3K"/>
    <s v="Paul Perez"/>
    <s v="Flats"/>
    <x v="3"/>
    <x v="16"/>
    <x v="0"/>
    <x v="96"/>
    <n v="0"/>
    <n v="0"/>
    <n v="500"/>
    <n v="500"/>
  </r>
  <r>
    <s v="FB1VXLXRTIQ6"/>
    <s v="Paul Garcia"/>
    <s v="Flats"/>
    <x v="3"/>
    <x v="11"/>
    <x v="0"/>
    <x v="96"/>
    <n v="0"/>
    <n v="0"/>
    <n v="500"/>
    <n v="500"/>
  </r>
  <r>
    <s v="FBAMY6YWE02N"/>
    <s v="Sarah Wilson"/>
    <s v="Flats"/>
    <x v="3"/>
    <x v="34"/>
    <x v="0"/>
    <x v="97"/>
    <n v="0"/>
    <n v="0"/>
    <n v="500"/>
    <n v="500"/>
  </r>
  <r>
    <s v="FBTQA0Q68WJP"/>
    <s v="Joshua Harris"/>
    <s v="Terrace"/>
    <x v="7"/>
    <x v="12"/>
    <x v="0"/>
    <x v="98"/>
    <n v="0"/>
    <n v="0"/>
    <n v="500"/>
    <n v="500"/>
  </r>
  <r>
    <s v="FB5QQPBM8RBJ"/>
    <s v="Patricia Williams"/>
    <s v="Flats"/>
    <x v="2"/>
    <x v="2"/>
    <x v="0"/>
    <x v="98"/>
    <n v="0"/>
    <n v="0"/>
    <n v="500"/>
    <n v="500"/>
  </r>
  <r>
    <s v="FBX1GYNEDU3C"/>
    <s v="Thomas Sanchez"/>
    <s v="Flats"/>
    <x v="0"/>
    <x v="26"/>
    <x v="0"/>
    <x v="98"/>
    <n v="0"/>
    <n v="0"/>
    <n v="500"/>
    <n v="500"/>
  </r>
  <r>
    <s v="FBC3ED525AAY"/>
    <s v="Power House Common Area Area"/>
    <s v="Office"/>
    <x v="1"/>
    <x v="1"/>
    <x v="0"/>
    <x v="99"/>
    <n v="0"/>
    <n v="0"/>
    <n v="500"/>
    <n v="500"/>
  </r>
  <r>
    <s v="FBGMONZJX1QO"/>
    <s v="Karen Rodriguez"/>
    <s v="Terrace"/>
    <x v="7"/>
    <x v="13"/>
    <x v="0"/>
    <x v="100"/>
    <n v="0"/>
    <n v="0"/>
    <n v="500"/>
    <n v="500"/>
  </r>
  <r>
    <s v="FBWCFR8SF7N5"/>
    <s v="Anthony Robinson"/>
    <s v="Flats"/>
    <x v="3"/>
    <x v="7"/>
    <x v="0"/>
    <x v="100"/>
    <n v="0"/>
    <n v="0"/>
    <n v="500"/>
    <n v="500"/>
  </r>
  <r>
    <s v="FB68CG0Z416R"/>
    <s v="Robert Walker"/>
    <s v="Flats"/>
    <x v="2"/>
    <x v="39"/>
    <x v="0"/>
    <x v="100"/>
    <n v="0"/>
    <n v="0"/>
    <n v="500"/>
    <n v="500"/>
  </r>
  <r>
    <s v="FB7T5XCNDAN3"/>
    <s v="Robert Robinson"/>
    <s v="Flats"/>
    <x v="0"/>
    <x v="30"/>
    <x v="0"/>
    <x v="100"/>
    <n v="0"/>
    <n v="0"/>
    <n v="500"/>
    <n v="500"/>
  </r>
  <r>
    <s v="FB15W1PEZWXS"/>
    <s v="Barbara Martinez"/>
    <s v="Flats"/>
    <x v="0"/>
    <x v="0"/>
    <x v="0"/>
    <x v="100"/>
    <n v="0"/>
    <n v="0"/>
    <n v="500"/>
    <n v="500"/>
  </r>
  <r>
    <s v="FBXWRYRQ1Z3O"/>
    <s v="Barbara Ramirez"/>
    <s v="Flats"/>
    <x v="4"/>
    <x v="21"/>
    <x v="0"/>
    <x v="100"/>
    <n v="0"/>
    <n v="0"/>
    <n v="500"/>
    <n v="500"/>
  </r>
  <r>
    <s v="FB63EJD14RG1"/>
    <s v="Thomas &amp; Jane Jackson"/>
    <s v="Flats"/>
    <x v="4"/>
    <x v="38"/>
    <x v="0"/>
    <x v="100"/>
    <n v="0"/>
    <n v="0"/>
    <n v="500"/>
    <n v="500"/>
  </r>
  <r>
    <s v="FBHURJOZBF5U"/>
    <s v="Emily Thomas"/>
    <s v="Flats"/>
    <x v="0"/>
    <x v="23"/>
    <x v="0"/>
    <x v="100"/>
    <n v="0"/>
    <n v="0"/>
    <n v="500"/>
    <n v="500"/>
  </r>
  <r>
    <s v="FBCLQNTWGB7G"/>
    <s v="James Clark"/>
    <s v="Flats"/>
    <x v="4"/>
    <x v="33"/>
    <x v="0"/>
    <x v="100"/>
    <n v="0"/>
    <n v="0"/>
    <n v="500"/>
    <n v="500"/>
  </r>
  <r>
    <s v="FBWBIQ1EN31Q"/>
    <s v="Susan Nguyen"/>
    <s v="Flats"/>
    <x v="3"/>
    <x v="14"/>
    <x v="0"/>
    <x v="100"/>
    <n v="0"/>
    <n v="0"/>
    <n v="500"/>
    <n v="500"/>
  </r>
  <r>
    <s v="FBWBIQ1EN31Q"/>
    <s v="Susan Nguyen"/>
    <s v="Flats"/>
    <x v="3"/>
    <x v="14"/>
    <x v="0"/>
    <x v="100"/>
    <n v="0"/>
    <n v="0"/>
    <n v="500"/>
    <n v="500"/>
  </r>
  <r>
    <s v="FBJ613SNXKU1"/>
    <s v="Anthony Lopez"/>
    <s v="Flats"/>
    <x v="2"/>
    <x v="25"/>
    <x v="0"/>
    <x v="101"/>
    <n v="0"/>
    <n v="0"/>
    <n v="500"/>
    <n v="500"/>
  </r>
  <r>
    <s v="FBCHL9NCK421"/>
    <s v="MANAGMENT Office"/>
    <s v="Office"/>
    <x v="5"/>
    <x v="5"/>
    <x v="0"/>
    <x v="101"/>
    <n v="0"/>
    <n v="0"/>
    <n v="500"/>
    <n v="500"/>
  </r>
  <r>
    <s v="FBI15GVZ0MMV"/>
    <s v="Lisa Clark"/>
    <s v="Flats"/>
    <x v="3"/>
    <x v="14"/>
    <x v="0"/>
    <x v="102"/>
    <n v="0"/>
    <n v="0"/>
    <n v="500"/>
    <n v="500"/>
  </r>
  <r>
    <s v="FBLXBG6LBPQ1"/>
    <s v="Karen Allen"/>
    <s v="Pent House"/>
    <x v="3"/>
    <x v="28"/>
    <x v="0"/>
    <x v="103"/>
    <n v="0"/>
    <n v="0"/>
    <n v="500"/>
    <n v="500"/>
  </r>
  <r>
    <s v="FBTS9UYGKCVJ"/>
    <s v="Michael Wright"/>
    <s v="Flats"/>
    <x v="3"/>
    <x v="9"/>
    <x v="0"/>
    <x v="103"/>
    <n v="0"/>
    <n v="0"/>
    <n v="500"/>
    <n v="1000"/>
  </r>
  <r>
    <s v="FBL54QBGSI48"/>
    <s v="Block D Common Area"/>
    <s v="Office"/>
    <x v="3"/>
    <x v="1"/>
    <x v="0"/>
    <x v="104"/>
    <n v="0"/>
    <n v="0"/>
    <n v="500"/>
    <n v="500"/>
  </r>
  <r>
    <s v="FBRFYC51J8LV"/>
    <s v="Jennifer Lewis"/>
    <s v="Terrace"/>
    <x v="7"/>
    <x v="17"/>
    <x v="0"/>
    <x v="104"/>
    <n v="0"/>
    <n v="0"/>
    <n v="500"/>
    <n v="500"/>
  </r>
  <r>
    <s v="FB45GV4G28WZ"/>
    <s v="Richard Allen"/>
    <s v="Flats"/>
    <x v="2"/>
    <x v="6"/>
    <x v="0"/>
    <x v="105"/>
    <n v="0"/>
    <n v="0"/>
    <n v="500"/>
    <n v="1000"/>
  </r>
  <r>
    <s v="FBMRGQDZNRGK"/>
    <s v="Block B Common Area"/>
    <s v="Office"/>
    <x v="2"/>
    <x v="1"/>
    <x v="0"/>
    <x v="106"/>
    <n v="0"/>
    <n v="0"/>
    <n v="500"/>
    <n v="500"/>
  </r>
  <r>
    <s v="FBRVUZ48LCPK"/>
    <s v="Richard Garcia"/>
    <s v="Flats"/>
    <x v="3"/>
    <x v="36"/>
    <x v="0"/>
    <x v="107"/>
    <n v="0"/>
    <n v="0"/>
    <n v="500"/>
    <n v="500"/>
  </r>
  <r>
    <s v="FBQC8JMYFM0M"/>
    <s v="Nancy Sanchez"/>
    <s v="Pent House"/>
    <x v="4"/>
    <x v="31"/>
    <x v="0"/>
    <x v="108"/>
    <n v="0"/>
    <n v="0"/>
    <n v="500"/>
    <n v="500"/>
  </r>
  <r>
    <s v="FBJPINYPYO9S"/>
    <s v="Jennifer Robinson"/>
    <s v="Terrace"/>
    <x v="7"/>
    <x v="35"/>
    <x v="0"/>
    <x v="109"/>
    <n v="0"/>
    <n v="0"/>
    <n v="500"/>
    <n v="500"/>
  </r>
  <r>
    <s v="FBVWFMW91KF3"/>
    <s v="Daniel Torres"/>
    <s v="Flats"/>
    <x v="4"/>
    <x v="24"/>
    <x v="0"/>
    <x v="109"/>
    <n v="0"/>
    <n v="0"/>
    <n v="500"/>
    <n v="500"/>
  </r>
  <r>
    <s v="FBO7OUJ3ZK64"/>
    <s v="Dorothy Thomas"/>
    <s v="Flats"/>
    <x v="0"/>
    <x v="37"/>
    <x v="0"/>
    <x v="110"/>
    <n v="0"/>
    <n v="0"/>
    <n v="500"/>
    <n v="500"/>
  </r>
  <r>
    <s v="FB9HXBIZ29Z3"/>
    <s v="Mark Rodriguez"/>
    <s v="Flats"/>
    <x v="2"/>
    <x v="22"/>
    <x v="0"/>
    <x v="110"/>
    <n v="0"/>
    <n v="0"/>
    <n v="500"/>
    <n v="500"/>
  </r>
  <r>
    <s v="FBDXDDBTRGVY"/>
    <s v="Andrew Allen"/>
    <s v="Flats"/>
    <x v="2"/>
    <x v="4"/>
    <x v="0"/>
    <x v="111"/>
    <n v="0"/>
    <n v="0"/>
    <n v="500"/>
    <n v="500"/>
  </r>
  <r>
    <s v="FBS4UW4CAF8D"/>
    <s v="Paul Torres"/>
    <s v="Flats"/>
    <x v="2"/>
    <x v="15"/>
    <x v="0"/>
    <x v="112"/>
    <n v="0"/>
    <n v="0"/>
    <n v="500"/>
    <n v="500"/>
  </r>
  <r>
    <s v="FB35EGFLVD9M"/>
    <s v="Paul Perez"/>
    <s v="Flats"/>
    <x v="3"/>
    <x v="16"/>
    <x v="0"/>
    <x v="113"/>
    <n v="0"/>
    <n v="0"/>
    <n v="500"/>
    <n v="500"/>
  </r>
  <r>
    <s v="FB1AWIUXZUJW"/>
    <s v="Jennifer Lewis"/>
    <s v="Terrace"/>
    <x v="7"/>
    <x v="17"/>
    <x v="0"/>
    <x v="113"/>
    <n v="0"/>
    <n v="0"/>
    <n v="500"/>
    <n v="500"/>
  </r>
  <r>
    <s v="FB64M1FSBJEO"/>
    <s v="Power House Common Area Area"/>
    <s v="Office"/>
    <x v="1"/>
    <x v="1"/>
    <x v="0"/>
    <x v="113"/>
    <n v="0"/>
    <n v="0"/>
    <n v="500"/>
    <n v="500"/>
  </r>
  <r>
    <s v="FBKRPXDA3ZA5"/>
    <s v="Karen Allen"/>
    <s v="Pent House"/>
    <x v="3"/>
    <x v="28"/>
    <x v="0"/>
    <x v="113"/>
    <n v="0"/>
    <n v="0"/>
    <n v="500"/>
    <n v="500"/>
  </r>
  <r>
    <s v="FBLNDC2W8LBB"/>
    <s v="Paul Garcia"/>
    <s v="Flats"/>
    <x v="3"/>
    <x v="11"/>
    <x v="0"/>
    <x v="113"/>
    <n v="0"/>
    <n v="0"/>
    <n v="500"/>
    <n v="500"/>
  </r>
  <r>
    <s v="FBSG3OYRXEZ7"/>
    <s v="Michelle Wilson"/>
    <s v="Flats"/>
    <x v="2"/>
    <x v="18"/>
    <x v="0"/>
    <x v="113"/>
    <n v="0"/>
    <n v="0"/>
    <n v="500"/>
    <n v="500"/>
  </r>
  <r>
    <s v="FBV0AKI5C026"/>
    <s v="Donna Torres"/>
    <s v="Flats"/>
    <x v="3"/>
    <x v="8"/>
    <x v="0"/>
    <x v="113"/>
    <n v="0"/>
    <n v="0"/>
    <n v="500"/>
    <n v="500"/>
  </r>
  <r>
    <s v="FBRG1JRRZIC9"/>
    <s v="Donald Jones"/>
    <s v="Flats"/>
    <x v="0"/>
    <x v="10"/>
    <x v="0"/>
    <x v="113"/>
    <n v="0"/>
    <n v="0"/>
    <n v="500"/>
    <n v="500"/>
  </r>
  <r>
    <s v="FB9848J31XYM"/>
    <s v="Anthony Lopez"/>
    <s v="Flats"/>
    <x v="2"/>
    <x v="25"/>
    <x v="0"/>
    <x v="113"/>
    <n v="0"/>
    <n v="0"/>
    <n v="500"/>
    <n v="500"/>
  </r>
  <r>
    <s v="FBDL1MCGA1UY"/>
    <s v="Joshua Harris"/>
    <s v="Terrace"/>
    <x v="7"/>
    <x v="12"/>
    <x v="0"/>
    <x v="114"/>
    <n v="0"/>
    <n v="0"/>
    <n v="500"/>
    <n v="500"/>
  </r>
  <r>
    <s v="FBTW7PSML2ZP"/>
    <s v="Sarah Wilson"/>
    <s v="Flats"/>
    <x v="3"/>
    <x v="34"/>
    <x v="0"/>
    <x v="115"/>
    <n v="0"/>
    <n v="0"/>
    <n v="500"/>
    <n v="500"/>
  </r>
  <r>
    <s v="FBZ87KGN8YHZ"/>
    <s v="Block B Common Area"/>
    <s v="Office"/>
    <x v="2"/>
    <x v="1"/>
    <x v="0"/>
    <x v="115"/>
    <n v="0"/>
    <n v="0"/>
    <n v="500"/>
    <n v="500"/>
  </r>
  <r>
    <s v="FBFTOEHRK6GB"/>
    <s v="Block A Common Area"/>
    <s v="Office"/>
    <x v="4"/>
    <x v="1"/>
    <x v="0"/>
    <x v="115"/>
    <n v="0"/>
    <n v="0"/>
    <n v="500"/>
    <n v="500"/>
  </r>
  <r>
    <s v="FBYFBF4YKH4G"/>
    <s v="Security Utilities Common Area"/>
    <s v="Office"/>
    <x v="6"/>
    <x v="1"/>
    <x v="0"/>
    <x v="115"/>
    <n v="0"/>
    <n v="0"/>
    <n v="500"/>
    <n v="500"/>
  </r>
  <r>
    <s v="FBTSOBR202NW"/>
    <s v="Paul Torres"/>
    <s v="Flats"/>
    <x v="2"/>
    <x v="15"/>
    <x v="0"/>
    <x v="115"/>
    <n v="0"/>
    <n v="0"/>
    <n v="500"/>
    <n v="500"/>
  </r>
  <r>
    <s v="FBCZP1SOPEFP"/>
    <s v="Barbara Ramirez"/>
    <s v="Flats"/>
    <x v="4"/>
    <x v="21"/>
    <x v="0"/>
    <x v="115"/>
    <n v="0"/>
    <n v="0"/>
    <n v="500"/>
    <n v="500"/>
  </r>
  <r>
    <s v="FBLCLBXKLXUW"/>
    <s v="Block D Common Area"/>
    <s v="Office"/>
    <x v="3"/>
    <x v="1"/>
    <x v="0"/>
    <x v="115"/>
    <n v="0"/>
    <n v="0"/>
    <n v="500"/>
    <n v="500"/>
  </r>
  <r>
    <s v="FBBJ6O9PR4OP"/>
    <s v="Anthony Robinson"/>
    <s v="Flats"/>
    <x v="3"/>
    <x v="7"/>
    <x v="0"/>
    <x v="116"/>
    <n v="0"/>
    <n v="0"/>
    <n v="500"/>
    <n v="500"/>
  </r>
  <r>
    <s v="FBIE0Z9KOV2H"/>
    <s v="Emily Thomas"/>
    <s v="Flats"/>
    <x v="0"/>
    <x v="23"/>
    <x v="0"/>
    <x v="116"/>
    <n v="0"/>
    <n v="0"/>
    <n v="500"/>
    <n v="500"/>
  </r>
  <r>
    <s v="FBM8LMLU2NHB"/>
    <s v="Susan Nguyen"/>
    <s v="Flats"/>
    <x v="3"/>
    <x v="14"/>
    <x v="0"/>
    <x v="116"/>
    <n v="0"/>
    <n v="0"/>
    <n v="500"/>
    <n v="500"/>
  </r>
  <r>
    <s v="FBUMM9NXCEAH"/>
    <s v="Barbara Martinez"/>
    <s v="Flats"/>
    <x v="0"/>
    <x v="0"/>
    <x v="0"/>
    <x v="116"/>
    <n v="0"/>
    <n v="0"/>
    <n v="500"/>
    <n v="500"/>
  </r>
  <r>
    <s v="FBS7BUQM7YSK"/>
    <s v="Williams Jef"/>
    <s v="Flats"/>
    <x v="4"/>
    <x v="3"/>
    <x v="0"/>
    <x v="116"/>
    <n v="0"/>
    <n v="0"/>
    <n v="500"/>
    <n v="1500"/>
  </r>
  <r>
    <s v="FBH8BP9OD69Q"/>
    <s v="Andrew Allen"/>
    <s v="Flats"/>
    <x v="2"/>
    <x v="4"/>
    <x v="0"/>
    <x v="116"/>
    <n v="0"/>
    <n v="0"/>
    <n v="500"/>
    <n v="500"/>
  </r>
  <r>
    <s v="FBWYUC0XICQ5"/>
    <s v="Robert Robinson"/>
    <s v="Flats"/>
    <x v="0"/>
    <x v="30"/>
    <x v="0"/>
    <x v="117"/>
    <n v="0"/>
    <n v="0"/>
    <n v="500"/>
    <n v="500"/>
  </r>
  <r>
    <s v="FBFCSELA3V5G"/>
    <s v="Thomas &amp; Jane Jackson"/>
    <s v="Flats"/>
    <x v="4"/>
    <x v="38"/>
    <x v="0"/>
    <x v="117"/>
    <n v="0"/>
    <n v="0"/>
    <n v="500"/>
    <n v="500"/>
  </r>
  <r>
    <s v="FBRJNX22CWEW"/>
    <s v="Lisa Clark"/>
    <s v="Flats"/>
    <x v="3"/>
    <x v="14"/>
    <x v="0"/>
    <x v="117"/>
    <n v="0"/>
    <n v="0"/>
    <n v="500"/>
    <n v="500"/>
  </r>
  <r>
    <s v="FBQ1SW07K6LK"/>
    <s v="Betty Lopez"/>
    <s v="Flats"/>
    <x v="4"/>
    <x v="27"/>
    <x v="0"/>
    <x v="118"/>
    <n v="0"/>
    <n v="0"/>
    <n v="500"/>
    <n v="500"/>
  </r>
  <r>
    <s v="FBJP75Z4RQEP"/>
    <s v="Nancy Sanchez"/>
    <s v="Pent House"/>
    <x v="4"/>
    <x v="31"/>
    <x v="0"/>
    <x v="119"/>
    <n v="0"/>
    <n v="0"/>
    <n v="500"/>
    <n v="500"/>
  </r>
  <r>
    <s v="FBNOBZJ6TYXK"/>
    <s v="Block C Common Area"/>
    <s v="Office"/>
    <x v="0"/>
    <x v="1"/>
    <x v="0"/>
    <x v="119"/>
    <n v="0"/>
    <n v="0"/>
    <n v="500"/>
    <n v="500"/>
  </r>
  <r>
    <s v="FBIRYR82UXEZ"/>
    <s v="MANAGMENT Office"/>
    <s v="Office"/>
    <x v="5"/>
    <x v="5"/>
    <x v="0"/>
    <x v="120"/>
    <n v="0"/>
    <n v="0"/>
    <n v="500"/>
    <n v="500"/>
  </r>
  <r>
    <s v="FBDRN37Q3SZ0"/>
    <s v="Robert Walker"/>
    <s v="Flats"/>
    <x v="2"/>
    <x v="39"/>
    <x v="0"/>
    <x v="121"/>
    <n v="0"/>
    <n v="0"/>
    <n v="500"/>
    <n v="500"/>
  </r>
  <r>
    <s v="FB7VPMQ5CUGD"/>
    <s v="Thomas Sanchez"/>
    <s v="Flats"/>
    <x v="0"/>
    <x v="26"/>
    <x v="0"/>
    <x v="122"/>
    <n v="0"/>
    <n v="0"/>
    <n v="500"/>
    <n v="500"/>
  </r>
  <r>
    <s v="FBHD1OQ3HJW0"/>
    <s v="Patricia Williams"/>
    <s v="Flats"/>
    <x v="2"/>
    <x v="2"/>
    <x v="0"/>
    <x v="122"/>
    <n v="0"/>
    <n v="0"/>
    <n v="500"/>
    <n v="500"/>
  </r>
  <r>
    <s v="FBYCCIJEIXSG"/>
    <s v="Karen Rodriguez"/>
    <s v="Terrace"/>
    <x v="7"/>
    <x v="13"/>
    <x v="0"/>
    <x v="123"/>
    <n v="0"/>
    <n v="0"/>
    <n v="500"/>
    <n v="500"/>
  </r>
  <r>
    <s v="FBU11497C8MO"/>
    <s v="Terrace Area Construction"/>
    <s v="Office"/>
    <x v="9"/>
    <x v="20"/>
    <x v="0"/>
    <x v="124"/>
    <n v="0"/>
    <n v="0"/>
    <n v="500"/>
    <n v="500"/>
  </r>
  <r>
    <s v="FBX99Q2CAGC2"/>
    <s v="Massionette Area Construction"/>
    <s v="Office"/>
    <x v="8"/>
    <x v="20"/>
    <x v="0"/>
    <x v="124"/>
    <n v="0"/>
    <n v="0"/>
    <n v="500"/>
    <n v="500"/>
  </r>
  <r>
    <s v="FBU11497C8MO"/>
    <s v="Terrace Area Construction"/>
    <s v="Office"/>
    <x v="9"/>
    <x v="20"/>
    <x v="0"/>
    <x v="124"/>
    <n v="0"/>
    <n v="0"/>
    <n v="500"/>
    <n v="500"/>
  </r>
  <r>
    <s v="FBX99Q2CAGC2"/>
    <s v="Massionette Area Construction"/>
    <s v="Office"/>
    <x v="8"/>
    <x v="20"/>
    <x v="0"/>
    <x v="124"/>
    <n v="0"/>
    <n v="0"/>
    <n v="500"/>
    <n v="500"/>
  </r>
  <r>
    <s v="FB21BFIOP3RO"/>
    <s v="Daniel Torres"/>
    <s v="Flats"/>
    <x v="4"/>
    <x v="24"/>
    <x v="0"/>
    <x v="125"/>
    <n v="0"/>
    <n v="0"/>
    <n v="500"/>
    <n v="500"/>
  </r>
  <r>
    <s v="FBHQSK0EO87U"/>
    <s v="Dorothy Thomas"/>
    <s v="Flats"/>
    <x v="0"/>
    <x v="37"/>
    <x v="0"/>
    <x v="125"/>
    <n v="0"/>
    <n v="0"/>
    <n v="500"/>
    <n v="500"/>
  </r>
  <r>
    <s v="FBK6UUNJSWYH"/>
    <s v="Jennifer Robinson"/>
    <s v="Terrace"/>
    <x v="7"/>
    <x v="35"/>
    <x v="0"/>
    <x v="126"/>
    <n v="0"/>
    <n v="0"/>
    <n v="500"/>
    <n v="500"/>
  </r>
  <r>
    <s v="FBQ9X2KVGUL7"/>
    <s v="Richard Garcia"/>
    <s v="Flats"/>
    <x v="3"/>
    <x v="36"/>
    <x v="0"/>
    <x v="127"/>
    <n v="0"/>
    <n v="0"/>
    <n v="500"/>
    <n v="500"/>
  </r>
  <r>
    <s v="FB7FA0L8DR3X"/>
    <s v="Mark Rodriguez"/>
    <s v="Flats"/>
    <x v="2"/>
    <x v="22"/>
    <x v="0"/>
    <x v="128"/>
    <n v="0"/>
    <n v="0"/>
    <n v="500"/>
    <n v="500"/>
  </r>
  <r>
    <s v="FBOMTBZMD904"/>
    <s v="Donald Jones"/>
    <s v="Flats"/>
    <x v="0"/>
    <x v="10"/>
    <x v="0"/>
    <x v="129"/>
    <n v="0"/>
    <n v="0"/>
    <n v="500"/>
    <n v="500"/>
  </r>
  <r>
    <s v="FBJGC0EI2KGY"/>
    <s v="Betty Lopez"/>
    <s v="Flats"/>
    <x v="4"/>
    <x v="27"/>
    <x v="0"/>
    <x v="130"/>
    <n v="0"/>
    <n v="0"/>
    <n v="500"/>
    <n v="500"/>
  </r>
  <r>
    <s v="FBXUWLEL1LRY"/>
    <s v="Barbara Martinez"/>
    <s v="Flats"/>
    <x v="0"/>
    <x v="0"/>
    <x v="0"/>
    <x v="130"/>
    <n v="0"/>
    <n v="0"/>
    <n v="500"/>
    <n v="500"/>
  </r>
  <r>
    <s v="FB3T17T7LL2S"/>
    <s v="Paul Perez"/>
    <s v="Flats"/>
    <x v="3"/>
    <x v="16"/>
    <x v="0"/>
    <x v="130"/>
    <n v="0"/>
    <n v="0"/>
    <n v="500"/>
    <n v="500"/>
  </r>
  <r>
    <s v="FBS0QT8TFWHK"/>
    <s v="Joshua Harris"/>
    <s v="Terrace"/>
    <x v="7"/>
    <x v="12"/>
    <x v="0"/>
    <x v="130"/>
    <n v="0"/>
    <n v="0"/>
    <n v="500"/>
    <n v="500"/>
  </r>
  <r>
    <s v="FBH1OJ0HKL3L"/>
    <s v="Michelle Wilson"/>
    <s v="Flats"/>
    <x v="2"/>
    <x v="18"/>
    <x v="0"/>
    <x v="130"/>
    <n v="0"/>
    <n v="0"/>
    <n v="500"/>
    <n v="500"/>
  </r>
  <r>
    <s v="FBMS5UNM0PQM"/>
    <s v="Jennifer Lewis"/>
    <s v="Terrace"/>
    <x v="7"/>
    <x v="17"/>
    <x v="0"/>
    <x v="130"/>
    <n v="0"/>
    <n v="0"/>
    <n v="500"/>
    <n v="500"/>
  </r>
  <r>
    <s v="FBCS9E3LJ7CA"/>
    <s v="Jennifer Robinson"/>
    <s v="Terrace"/>
    <x v="7"/>
    <x v="35"/>
    <x v="0"/>
    <x v="130"/>
    <n v="0"/>
    <n v="0"/>
    <n v="500"/>
    <n v="500"/>
  </r>
  <r>
    <s v="FB6EMAYELDX3"/>
    <s v="Anthony Lopez"/>
    <s v="Flats"/>
    <x v="2"/>
    <x v="25"/>
    <x v="0"/>
    <x v="131"/>
    <n v="0"/>
    <n v="0"/>
    <n v="500"/>
    <n v="500"/>
  </r>
  <r>
    <s v="FBDFJ6V5YGKT"/>
    <s v="Anthony Robinson"/>
    <s v="Flats"/>
    <x v="3"/>
    <x v="7"/>
    <x v="0"/>
    <x v="131"/>
    <n v="0"/>
    <n v="0"/>
    <n v="500"/>
    <n v="500"/>
  </r>
  <r>
    <s v="FBD9PZXLNPBW"/>
    <s v="Block A Common Area"/>
    <s v="Office"/>
    <x v="4"/>
    <x v="1"/>
    <x v="0"/>
    <x v="131"/>
    <n v="0"/>
    <n v="0"/>
    <n v="500"/>
    <n v="500"/>
  </r>
  <r>
    <s v="FB6SWM36EYR1"/>
    <s v="Block B Common Area"/>
    <s v="Office"/>
    <x v="2"/>
    <x v="1"/>
    <x v="0"/>
    <x v="131"/>
    <n v="0"/>
    <n v="0"/>
    <n v="500"/>
    <n v="500"/>
  </r>
  <r>
    <s v="FB2L37HYOFOV"/>
    <s v="Block C Common Area"/>
    <s v="Office"/>
    <x v="0"/>
    <x v="1"/>
    <x v="0"/>
    <x v="131"/>
    <n v="0"/>
    <n v="0"/>
    <n v="500"/>
    <n v="500"/>
  </r>
  <r>
    <s v="FBV1PBSM4Q7O"/>
    <s v="Security Utilities Common Area"/>
    <s v="Office"/>
    <x v="6"/>
    <x v="1"/>
    <x v="0"/>
    <x v="131"/>
    <n v="0"/>
    <n v="0"/>
    <n v="500"/>
    <n v="500"/>
  </r>
  <r>
    <s v="FBISDUR56TTB"/>
    <s v="Block D Common Area"/>
    <s v="Office"/>
    <x v="3"/>
    <x v="1"/>
    <x v="0"/>
    <x v="131"/>
    <n v="0"/>
    <n v="0"/>
    <n v="500"/>
    <n v="500"/>
  </r>
  <r>
    <s v="FBAYNKL6VL4B"/>
    <s v="Power House Common Area Area"/>
    <s v="Office"/>
    <x v="1"/>
    <x v="1"/>
    <x v="0"/>
    <x v="131"/>
    <n v="0"/>
    <n v="0"/>
    <n v="500"/>
    <n v="500"/>
  </r>
  <r>
    <s v="FBR5ZVC48QNT"/>
    <s v="Richard Allen"/>
    <s v="Flats"/>
    <x v="2"/>
    <x v="6"/>
    <x v="0"/>
    <x v="132"/>
    <n v="0"/>
    <n v="0"/>
    <n v="500"/>
    <n v="500"/>
  </r>
  <r>
    <s v="FBTIIVLKVWM6"/>
    <s v="Paul Torres"/>
    <s v="Flats"/>
    <x v="2"/>
    <x v="15"/>
    <x v="0"/>
    <x v="132"/>
    <n v="0"/>
    <n v="0"/>
    <n v="500"/>
    <n v="500"/>
  </r>
  <r>
    <s v="FBPI665CQN3F"/>
    <s v="Karen Allen"/>
    <s v="Pent House"/>
    <x v="3"/>
    <x v="28"/>
    <x v="0"/>
    <x v="132"/>
    <n v="0"/>
    <n v="0"/>
    <n v="500"/>
    <n v="500"/>
  </r>
  <r>
    <s v="FB6GBS9KQT7Y"/>
    <s v="Karen Rodriguez"/>
    <s v="Terrace"/>
    <x v="7"/>
    <x v="13"/>
    <x v="0"/>
    <x v="132"/>
    <n v="0"/>
    <n v="0"/>
    <n v="500"/>
    <n v="500"/>
  </r>
  <r>
    <s v="FBWBBLBCQSZD"/>
    <s v="Barbara Ramirez"/>
    <s v="Flats"/>
    <x v="4"/>
    <x v="21"/>
    <x v="0"/>
    <x v="133"/>
    <n v="0"/>
    <n v="0"/>
    <n v="500"/>
    <n v="500"/>
  </r>
  <r>
    <s v="FBF2TND92RV8"/>
    <s v="Donna Torres"/>
    <s v="Flats"/>
    <x v="3"/>
    <x v="8"/>
    <x v="0"/>
    <x v="133"/>
    <n v="0"/>
    <n v="0"/>
    <n v="500"/>
    <n v="500"/>
  </r>
  <r>
    <s v="FBS4R3ANWJM7"/>
    <s v="Robert Robinson"/>
    <s v="Flats"/>
    <x v="0"/>
    <x v="30"/>
    <x v="0"/>
    <x v="134"/>
    <n v="0"/>
    <n v="0"/>
    <n v="500"/>
    <n v="500"/>
  </r>
  <r>
    <s v="FBFDLOODDCXY"/>
    <s v="Sarah Wilson"/>
    <s v="Flats"/>
    <x v="3"/>
    <x v="34"/>
    <x v="0"/>
    <x v="134"/>
    <n v="0"/>
    <n v="0"/>
    <n v="500"/>
    <n v="500"/>
  </r>
  <r>
    <s v="FBLSEFQTYUHY"/>
    <s v="Andrew Allen"/>
    <s v="Flats"/>
    <x v="2"/>
    <x v="4"/>
    <x v="0"/>
    <x v="135"/>
    <n v="0"/>
    <n v="0"/>
    <n v="500"/>
    <n v="500"/>
  </r>
  <r>
    <s v="FB341W5AOE0W"/>
    <s v="MANAGMENT Office"/>
    <s v="Office"/>
    <x v="5"/>
    <x v="5"/>
    <x v="0"/>
    <x v="135"/>
    <n v="0"/>
    <n v="0"/>
    <n v="500"/>
    <n v="500"/>
  </r>
  <r>
    <s v="FB0WNC7XU6RA"/>
    <s v="Michael Wright"/>
    <s v="Flats"/>
    <x v="3"/>
    <x v="9"/>
    <x v="0"/>
    <x v="135"/>
    <n v="0"/>
    <n v="0"/>
    <n v="500"/>
    <n v="1000"/>
  </r>
  <r>
    <s v="FBFHE0RT346P"/>
    <s v="Robert Walker"/>
    <s v="Flats"/>
    <x v="2"/>
    <x v="39"/>
    <x v="0"/>
    <x v="136"/>
    <n v="0"/>
    <n v="0"/>
    <n v="500"/>
    <n v="500"/>
  </r>
  <r>
    <s v="FB6CXSXFEJDN"/>
    <s v="Terrace Area Construction"/>
    <s v="Office"/>
    <x v="9"/>
    <x v="20"/>
    <x v="0"/>
    <x v="136"/>
    <n v="0"/>
    <n v="0"/>
    <n v="500"/>
    <n v="500"/>
  </r>
  <r>
    <s v="FBZ0MPT2VGC5"/>
    <s v="Paul Garcia"/>
    <s v="Flats"/>
    <x v="3"/>
    <x v="11"/>
    <x v="0"/>
    <x v="137"/>
    <n v="0"/>
    <n v="0"/>
    <n v="500"/>
    <n v="500"/>
  </r>
  <r>
    <s v="FBX23VA1A6N1"/>
    <s v="Emily Thomas"/>
    <s v="Flats"/>
    <x v="0"/>
    <x v="23"/>
    <x v="0"/>
    <x v="137"/>
    <n v="0"/>
    <n v="0"/>
    <n v="500"/>
    <n v="500"/>
  </r>
  <r>
    <s v="FBOFFNU9ABE5"/>
    <s v="Patricia Williams"/>
    <s v="Flats"/>
    <x v="2"/>
    <x v="2"/>
    <x v="0"/>
    <x v="138"/>
    <n v="0"/>
    <n v="0"/>
    <n v="500"/>
    <n v="500"/>
  </r>
  <r>
    <s v="FBCQ5V7C4QB6"/>
    <s v="Thomas Sanchez"/>
    <s v="Flats"/>
    <x v="0"/>
    <x v="26"/>
    <x v="0"/>
    <x v="139"/>
    <n v="0"/>
    <n v="0"/>
    <n v="500"/>
    <n v="500"/>
  </r>
  <r>
    <s v="FB70Z4YRTP9M"/>
    <s v="Daniel Torres"/>
    <s v="Flats"/>
    <x v="4"/>
    <x v="24"/>
    <x v="0"/>
    <x v="140"/>
    <n v="0"/>
    <n v="0"/>
    <n v="500"/>
    <n v="500"/>
  </r>
  <r>
    <s v="FBC2T89R7WSR"/>
    <s v="Lisa Clark"/>
    <s v="Flats"/>
    <x v="3"/>
    <x v="14"/>
    <x v="0"/>
    <x v="140"/>
    <n v="0"/>
    <n v="0"/>
    <n v="500"/>
    <n v="500"/>
  </r>
  <r>
    <s v="FB2ECMJXBITF"/>
    <s v="Richard Garcia"/>
    <s v="Flats"/>
    <x v="3"/>
    <x v="36"/>
    <x v="0"/>
    <x v="141"/>
    <n v="0"/>
    <n v="0"/>
    <n v="500"/>
    <n v="500"/>
  </r>
  <r>
    <s v="FBIV18BJL6ZL"/>
    <s v="Dorothy Thomas"/>
    <s v="Flats"/>
    <x v="0"/>
    <x v="37"/>
    <x v="0"/>
    <x v="142"/>
    <n v="0"/>
    <n v="0"/>
    <n v="500"/>
    <n v="500"/>
  </r>
  <r>
    <s v="FBHR0AC3DF8T"/>
    <s v="Thomas &amp; Jane Jackson"/>
    <s v="Flats"/>
    <x v="4"/>
    <x v="38"/>
    <x v="0"/>
    <x v="142"/>
    <n v="0"/>
    <n v="0"/>
    <n v="500"/>
    <n v="500"/>
  </r>
  <r>
    <s v="FBMAJ6P13BNL"/>
    <s v="Susan Nguyen"/>
    <s v="Flats"/>
    <x v="3"/>
    <x v="14"/>
    <x v="0"/>
    <x v="143"/>
    <n v="0"/>
    <n v="0"/>
    <n v="500"/>
    <n v="500"/>
  </r>
  <r>
    <s v="FBWS3BW4DBLI"/>
    <s v="Mark Rodriguez"/>
    <s v="Flats"/>
    <x v="2"/>
    <x v="22"/>
    <x v="0"/>
    <x v="143"/>
    <n v="0"/>
    <n v="0"/>
    <n v="500"/>
    <n v="500"/>
  </r>
  <r>
    <s v="FBXHN2MYZLET"/>
    <s v="Nancy Sanchez"/>
    <s v="Pent House"/>
    <x v="4"/>
    <x v="31"/>
    <x v="0"/>
    <x v="144"/>
    <n v="0"/>
    <n v="0"/>
    <n v="500"/>
    <n v="500"/>
  </r>
  <r>
    <s v="FBA8COV68A4S"/>
    <s v="Anthony Robinson"/>
    <s v="Flats"/>
    <x v="3"/>
    <x v="7"/>
    <x v="0"/>
    <x v="145"/>
    <n v="0"/>
    <n v="0"/>
    <n v="500"/>
    <n v="500"/>
  </r>
  <r>
    <s v="FBNPH01KGUGY"/>
    <s v="Anthony Lopez"/>
    <s v="Flats"/>
    <x v="2"/>
    <x v="25"/>
    <x v="0"/>
    <x v="145"/>
    <n v="0"/>
    <n v="0"/>
    <n v="500"/>
    <n v="500"/>
  </r>
  <r>
    <s v="FB7OKDWU3Z9W"/>
    <s v="Donna Torres"/>
    <s v="Flats"/>
    <x v="3"/>
    <x v="8"/>
    <x v="0"/>
    <x v="145"/>
    <n v="0"/>
    <n v="0"/>
    <n v="500"/>
    <n v="500"/>
  </r>
  <r>
    <s v="FBK4LFC9QZBM"/>
    <s v="Betty Lopez"/>
    <s v="Flats"/>
    <x v="4"/>
    <x v="27"/>
    <x v="0"/>
    <x v="145"/>
    <n v="0"/>
    <n v="0"/>
    <n v="500"/>
    <n v="500"/>
  </r>
  <r>
    <s v="FBWXNR2NL519"/>
    <s v="Sarah Wilson"/>
    <s v="Flats"/>
    <x v="3"/>
    <x v="34"/>
    <x v="0"/>
    <x v="146"/>
    <n v="0"/>
    <n v="0"/>
    <n v="500"/>
    <n v="500"/>
  </r>
  <r>
    <s v="FBFT91HCSYGV"/>
    <s v="Paul Perez"/>
    <s v="Flats"/>
    <x v="3"/>
    <x v="16"/>
    <x v="0"/>
    <x v="146"/>
    <n v="0"/>
    <n v="0"/>
    <n v="500"/>
    <n v="500"/>
  </r>
  <r>
    <s v="FBQ5GBS1EGS5"/>
    <s v="Robert Walker"/>
    <s v="Flats"/>
    <x v="2"/>
    <x v="39"/>
    <x v="0"/>
    <x v="146"/>
    <n v="0"/>
    <n v="0"/>
    <n v="500"/>
    <n v="500"/>
  </r>
  <r>
    <s v="FBH4RMEI5MKH"/>
    <s v="Michelle Wilson"/>
    <s v="Flats"/>
    <x v="2"/>
    <x v="18"/>
    <x v="0"/>
    <x v="147"/>
    <n v="0"/>
    <n v="0"/>
    <n v="500"/>
    <n v="500"/>
  </r>
  <r>
    <s v="FBN5ABVCJMI1"/>
    <s v="Donald Jones"/>
    <s v="Flats"/>
    <x v="0"/>
    <x v="10"/>
    <x v="0"/>
    <x v="147"/>
    <n v="0"/>
    <n v="0"/>
    <n v="500"/>
    <n v="500"/>
  </r>
  <r>
    <s v="FBVBPXBVNFMD"/>
    <s v="Emily Thomas"/>
    <s v="Flats"/>
    <x v="0"/>
    <x v="23"/>
    <x v="0"/>
    <x v="147"/>
    <n v="0"/>
    <n v="0"/>
    <n v="500"/>
    <n v="2000"/>
  </r>
  <r>
    <s v="FBOZN5NLZZE5"/>
    <s v="Block D Common Area"/>
    <s v="Office"/>
    <x v="3"/>
    <x v="1"/>
    <x v="0"/>
    <x v="148"/>
    <n v="0"/>
    <n v="0"/>
    <n v="500"/>
    <n v="500"/>
  </r>
  <r>
    <s v="FBHMUWZ96ISL"/>
    <s v="Joshua Harris"/>
    <s v="Terrace"/>
    <x v="7"/>
    <x v="12"/>
    <x v="0"/>
    <x v="148"/>
    <n v="0"/>
    <n v="0"/>
    <n v="500"/>
    <n v="500"/>
  </r>
  <r>
    <s v="FBYNOI142TIH"/>
    <s v="Jennifer Lewis"/>
    <s v="Terrace"/>
    <x v="7"/>
    <x v="17"/>
    <x v="0"/>
    <x v="148"/>
    <n v="0"/>
    <n v="0"/>
    <n v="500"/>
    <n v="500"/>
  </r>
  <r>
    <s v="FBAM969HVFOC"/>
    <s v="Lisa Clark"/>
    <s v="Flats"/>
    <x v="3"/>
    <x v="14"/>
    <x v="0"/>
    <x v="149"/>
    <n v="0"/>
    <n v="0"/>
    <n v="500"/>
    <n v="500"/>
  </r>
  <r>
    <s v="FB5V5YFEX7GN"/>
    <s v="Karen Rodriguez"/>
    <s v="Terrace"/>
    <x v="7"/>
    <x v="13"/>
    <x v="0"/>
    <x v="149"/>
    <n v="0"/>
    <n v="0"/>
    <n v="500"/>
    <n v="500"/>
  </r>
  <r>
    <s v="FBD4XU8C8DL7"/>
    <s v="Power House Common Area Area"/>
    <s v="Office"/>
    <x v="1"/>
    <x v="1"/>
    <x v="0"/>
    <x v="150"/>
    <n v="0"/>
    <n v="0"/>
    <n v="500"/>
    <n v="500"/>
  </r>
  <r>
    <s v="FBRF9NK4VW4M"/>
    <s v="Jennifer Robinson"/>
    <s v="Terrace"/>
    <x v="7"/>
    <x v="35"/>
    <x v="0"/>
    <x v="150"/>
    <n v="0"/>
    <n v="0"/>
    <n v="500"/>
    <n v="500"/>
  </r>
  <r>
    <s v="FBM74DJ58RQ0"/>
    <s v="Paul Garcia"/>
    <s v="Flats"/>
    <x v="3"/>
    <x v="11"/>
    <x v="0"/>
    <x v="150"/>
    <n v="0"/>
    <n v="0"/>
    <n v="500"/>
    <n v="500"/>
  </r>
  <r>
    <s v="FBWDJZ9QHZVU"/>
    <s v="James Clark"/>
    <s v="Flats"/>
    <x v="4"/>
    <x v="33"/>
    <x v="0"/>
    <x v="151"/>
    <n v="0"/>
    <n v="0"/>
    <n v="500"/>
    <n v="500"/>
  </r>
  <r>
    <s v="FBWDJZ9QHZVU"/>
    <s v="James Clark"/>
    <s v="Flats"/>
    <x v="4"/>
    <x v="33"/>
    <x v="0"/>
    <x v="151"/>
    <n v="0"/>
    <n v="0"/>
    <n v="500"/>
    <n v="500"/>
  </r>
  <r>
    <s v="FBGBA5PUWT49"/>
    <s v="Karen Allen"/>
    <s v="Pent House"/>
    <x v="3"/>
    <x v="28"/>
    <x v="0"/>
    <x v="152"/>
    <n v="0"/>
    <n v="0"/>
    <n v="500"/>
    <n v="500"/>
  </r>
  <r>
    <s v="FB32YD6M5MHR"/>
    <s v="Thomas Sanchez"/>
    <s v="Flats"/>
    <x v="0"/>
    <x v="26"/>
    <x v="0"/>
    <x v="152"/>
    <n v="0"/>
    <n v="0"/>
    <n v="500"/>
    <n v="500"/>
  </r>
  <r>
    <s v="FB2EPYZ6EA0X"/>
    <s v="Daniel Ramirez"/>
    <s v="Flats"/>
    <x v="0"/>
    <x v="19"/>
    <x v="0"/>
    <x v="153"/>
    <n v="0"/>
    <n v="0"/>
    <n v="500"/>
    <n v="500"/>
  </r>
  <r>
    <s v="FB4GH610RI3H"/>
    <s v="Robert Robinson"/>
    <s v="Flats"/>
    <x v="0"/>
    <x v="30"/>
    <x v="0"/>
    <x v="154"/>
    <n v="0"/>
    <n v="0"/>
    <n v="500"/>
    <n v="500"/>
  </r>
  <r>
    <s v="FB3RKFOTVERR"/>
    <s v="Block C Common Area"/>
    <s v="Office"/>
    <x v="0"/>
    <x v="1"/>
    <x v="0"/>
    <x v="154"/>
    <n v="0"/>
    <n v="0"/>
    <n v="500"/>
    <n v="500"/>
  </r>
  <r>
    <s v="FBZJYZ7G0PKI"/>
    <s v="Block A Common Area"/>
    <s v="Office"/>
    <x v="4"/>
    <x v="1"/>
    <x v="0"/>
    <x v="154"/>
    <n v="0"/>
    <n v="0"/>
    <n v="500"/>
    <n v="500"/>
  </r>
  <r>
    <s v="FBA59YAS3PA0"/>
    <s v="MANAGMENT Office"/>
    <s v="Office"/>
    <x v="5"/>
    <x v="5"/>
    <x v="0"/>
    <x v="154"/>
    <n v="0"/>
    <n v="0"/>
    <n v="500"/>
    <n v="500"/>
  </r>
  <r>
    <s v="FBOQMVBACJOZ"/>
    <s v="Andrew Allen"/>
    <s v="Flats"/>
    <x v="2"/>
    <x v="4"/>
    <x v="0"/>
    <x v="154"/>
    <n v="0"/>
    <n v="0"/>
    <n v="500"/>
    <n v="500"/>
  </r>
  <r>
    <s v="FBWR0G5E2NET"/>
    <s v="James Clark"/>
    <s v="Flats"/>
    <x v="4"/>
    <x v="33"/>
    <x v="0"/>
    <x v="155"/>
    <n v="0"/>
    <n v="0"/>
    <n v="500"/>
    <n v="500"/>
  </r>
  <r>
    <s v="FB2Q5V9CRMSZ"/>
    <s v="Patricia Williams"/>
    <s v="Flats"/>
    <x v="2"/>
    <x v="2"/>
    <x v="0"/>
    <x v="156"/>
    <n v="0"/>
    <n v="0"/>
    <n v="500"/>
    <n v="500"/>
  </r>
  <r>
    <s v="FB9JJ4CJBFMI"/>
    <s v="Block B Common Area"/>
    <s v="Office"/>
    <x v="2"/>
    <x v="1"/>
    <x v="0"/>
    <x v="156"/>
    <n v="0"/>
    <n v="0"/>
    <n v="500"/>
    <n v="500"/>
  </r>
  <r>
    <s v="FBRBEIYRE9SY"/>
    <s v="Security Utilities Common Area"/>
    <s v="Office"/>
    <x v="6"/>
    <x v="1"/>
    <x v="0"/>
    <x v="156"/>
    <n v="0"/>
    <n v="0"/>
    <n v="500"/>
    <n v="500"/>
  </r>
  <r>
    <s v="FBW9780LSIHT"/>
    <s v="Barbara Ramirez"/>
    <s v="Flats"/>
    <x v="4"/>
    <x v="21"/>
    <x v="0"/>
    <x v="157"/>
    <n v="0"/>
    <n v="0"/>
    <n v="500"/>
    <n v="500"/>
  </r>
  <r>
    <s v="FBG7CODSAAOW"/>
    <s v="Paul Torres"/>
    <s v="Flats"/>
    <x v="2"/>
    <x v="15"/>
    <x v="0"/>
    <x v="158"/>
    <n v="0"/>
    <n v="0"/>
    <n v="500"/>
    <n v="500"/>
  </r>
  <r>
    <s v="FB5P45GYMOQ8"/>
    <s v="Thomas &amp; Jane Jackson"/>
    <s v="Flats"/>
    <x v="4"/>
    <x v="38"/>
    <x v="0"/>
    <x v="159"/>
    <n v="0"/>
    <n v="0"/>
    <n v="500"/>
    <n v="500"/>
  </r>
  <r>
    <s v="FBJ1WKO8W30H"/>
    <s v="Richard Allen"/>
    <s v="Flats"/>
    <x v="2"/>
    <x v="6"/>
    <x v="0"/>
    <x v="160"/>
    <n v="0"/>
    <n v="0"/>
    <n v="500"/>
    <n v="1000"/>
  </r>
  <r>
    <s v="FBOSXYS3I0G7"/>
    <s v="Mark Rodriguez"/>
    <s v="Flats"/>
    <x v="2"/>
    <x v="22"/>
    <x v="0"/>
    <x v="161"/>
    <n v="0"/>
    <n v="0"/>
    <n v="500"/>
    <n v="500"/>
  </r>
  <r>
    <s v="FBAGUE8H5O8X"/>
    <s v="Richard Garcia"/>
    <s v="Flats"/>
    <x v="3"/>
    <x v="36"/>
    <x v="0"/>
    <x v="162"/>
    <n v="0"/>
    <n v="0"/>
    <n v="500"/>
    <n v="500"/>
  </r>
  <r>
    <s v="FBVATG7RIPKR"/>
    <s v="Dorothy Thomas"/>
    <s v="Flats"/>
    <x v="0"/>
    <x v="37"/>
    <x v="0"/>
    <x v="163"/>
    <n v="0"/>
    <n v="0"/>
    <n v="500"/>
    <n v="500"/>
  </r>
  <r>
    <s v="FB1JV5M14Q3O"/>
    <s v="Jennifer Lewis"/>
    <s v="Terrace"/>
    <x v="7"/>
    <x v="17"/>
    <x v="0"/>
    <x v="164"/>
    <n v="0"/>
    <n v="0"/>
    <n v="500"/>
    <n v="500"/>
  </r>
  <r>
    <s v="FBAUUCULQZ4Q"/>
    <s v="Donna Torres"/>
    <s v="Flats"/>
    <x v="3"/>
    <x v="8"/>
    <x v="0"/>
    <x v="164"/>
    <n v="0"/>
    <n v="0"/>
    <n v="500"/>
    <n v="500"/>
  </r>
  <r>
    <s v="FBAZOKOGRUKU"/>
    <s v="Betty Lopez"/>
    <s v="Flats"/>
    <x v="4"/>
    <x v="27"/>
    <x v="0"/>
    <x v="164"/>
    <n v="0"/>
    <n v="0"/>
    <n v="500"/>
    <n v="500"/>
  </r>
  <r>
    <s v="FBRLTMB3F8AV"/>
    <s v="Donald Jones"/>
    <s v="Flats"/>
    <x v="0"/>
    <x v="10"/>
    <x v="0"/>
    <x v="165"/>
    <n v="0"/>
    <n v="0"/>
    <n v="500"/>
    <n v="500"/>
  </r>
  <r>
    <s v="FB54ORQD946V"/>
    <s v="Paul Perez"/>
    <s v="Flats"/>
    <x v="3"/>
    <x v="16"/>
    <x v="0"/>
    <x v="165"/>
    <n v="0"/>
    <n v="0"/>
    <n v="500"/>
    <n v="500"/>
  </r>
  <r>
    <s v="FBOCIL0C6LOW"/>
    <s v="Power House Common Area Area"/>
    <s v="Office"/>
    <x v="1"/>
    <x v="1"/>
    <x v="0"/>
    <x v="165"/>
    <n v="0"/>
    <n v="0"/>
    <n v="500"/>
    <n v="500"/>
  </r>
  <r>
    <s v="FB7I7C4GV6TR"/>
    <s v="Karen Rodriguez"/>
    <s v="Terrace"/>
    <x v="7"/>
    <x v="13"/>
    <x v="0"/>
    <x v="165"/>
    <n v="0"/>
    <n v="0"/>
    <n v="500"/>
    <n v="500"/>
  </r>
  <r>
    <s v="FBRLST7Z2QPM"/>
    <s v="Block D Common Area"/>
    <s v="Office"/>
    <x v="3"/>
    <x v="1"/>
    <x v="0"/>
    <x v="166"/>
    <n v="0"/>
    <n v="0"/>
    <n v="500"/>
    <n v="500"/>
  </r>
  <r>
    <s v="FBLE4BHIUT6U"/>
    <s v="Patricia Williams"/>
    <s v="Flats"/>
    <x v="2"/>
    <x v="2"/>
    <x v="0"/>
    <x v="167"/>
    <n v="0"/>
    <n v="0"/>
    <n v="500"/>
    <n v="500"/>
  </r>
  <r>
    <s v="FB08KPOO05AK"/>
    <s v="Dorothy Thomas"/>
    <s v="Flats"/>
    <x v="0"/>
    <x v="37"/>
    <x v="0"/>
    <x v="167"/>
    <n v="0"/>
    <n v="0"/>
    <n v="500"/>
    <n v="500"/>
  </r>
  <r>
    <s v="FB8AYZQK1DXW"/>
    <s v="Anthony Robinson"/>
    <s v="Flats"/>
    <x v="3"/>
    <x v="7"/>
    <x v="0"/>
    <x v="167"/>
    <n v="0"/>
    <n v="0"/>
    <n v="500"/>
    <n v="500"/>
  </r>
  <r>
    <s v="FBG37IGMGPS6"/>
    <s v="Thomas Sanchez"/>
    <s v="Flats"/>
    <x v="0"/>
    <x v="26"/>
    <x v="0"/>
    <x v="168"/>
    <n v="0"/>
    <n v="0"/>
    <n v="500"/>
    <n v="500"/>
  </r>
  <r>
    <s v="FB9MR11VOKOC"/>
    <s v="Michelle Wilson"/>
    <s v="Flats"/>
    <x v="2"/>
    <x v="18"/>
    <x v="0"/>
    <x v="168"/>
    <n v="0"/>
    <n v="0"/>
    <n v="500"/>
    <n v="500"/>
  </r>
  <r>
    <s v="FBSPV2KI64R2"/>
    <s v="Block B Common Area"/>
    <s v="Office"/>
    <x v="2"/>
    <x v="1"/>
    <x v="0"/>
    <x v="168"/>
    <n v="0"/>
    <n v="0"/>
    <n v="500"/>
    <n v="500"/>
  </r>
  <r>
    <s v="FB5MLJBYRPQ4"/>
    <s v="Sarah Wilson"/>
    <s v="Flats"/>
    <x v="3"/>
    <x v="34"/>
    <x v="0"/>
    <x v="169"/>
    <n v="0"/>
    <n v="0"/>
    <n v="500"/>
    <n v="500"/>
  </r>
  <r>
    <s v="FBWSUXZRK9UN"/>
    <s v="Daniel Ramirez"/>
    <s v="Flats"/>
    <x v="0"/>
    <x v="19"/>
    <x v="0"/>
    <x v="170"/>
    <n v="0"/>
    <n v="0"/>
    <n v="500"/>
    <n v="2000"/>
  </r>
  <r>
    <s v="FBXUNEP5MVKJ"/>
    <s v="Nancy Sanchez"/>
    <s v="Pent House"/>
    <x v="4"/>
    <x v="31"/>
    <x v="0"/>
    <x v="170"/>
    <n v="0"/>
    <n v="0"/>
    <n v="500"/>
    <n v="500"/>
  </r>
  <r>
    <s v="FBXUNEP5MVKJ"/>
    <s v="Nancy Sanchez"/>
    <s v="Pent House"/>
    <x v="4"/>
    <x v="31"/>
    <x v="0"/>
    <x v="170"/>
    <n v="0"/>
    <n v="0"/>
    <n v="500"/>
    <n v="500"/>
  </r>
  <r>
    <s v="FBSCJ6DMUVXK"/>
    <s v="Michael Wright"/>
    <s v="Flats"/>
    <x v="3"/>
    <x v="9"/>
    <x v="0"/>
    <x v="171"/>
    <n v="0"/>
    <n v="0"/>
    <n v="500"/>
    <n v="1500"/>
  </r>
  <r>
    <s v="FBTZWZCWBB5K"/>
    <s v="Robert Walker"/>
    <s v="Flats"/>
    <x v="2"/>
    <x v="39"/>
    <x v="0"/>
    <x v="171"/>
    <n v="0"/>
    <n v="0"/>
    <n v="500"/>
    <n v="500"/>
  </r>
  <r>
    <s v="FB75XPRMPKL3"/>
    <s v="Joshua Harris"/>
    <s v="Terrace"/>
    <x v="7"/>
    <x v="12"/>
    <x v="0"/>
    <x v="171"/>
    <n v="0"/>
    <n v="0"/>
    <n v="500"/>
    <n v="500"/>
  </r>
  <r>
    <s v="FBXCFTNW8XNZ"/>
    <s v="Andrew Allen"/>
    <s v="Flats"/>
    <x v="2"/>
    <x v="4"/>
    <x v="0"/>
    <x v="172"/>
    <n v="0"/>
    <n v="0"/>
    <n v="500"/>
    <n v="500"/>
  </r>
  <r>
    <s v="FBTRB1FO3RI8"/>
    <s v="Anthony Lopez"/>
    <s v="Flats"/>
    <x v="2"/>
    <x v="25"/>
    <x v="0"/>
    <x v="173"/>
    <n v="0"/>
    <n v="0"/>
    <n v="500"/>
    <n v="500"/>
  </r>
  <r>
    <s v="FBEE9NGRPSJU"/>
    <s v="Robert Robinson"/>
    <s v="Flats"/>
    <x v="0"/>
    <x v="30"/>
    <x v="0"/>
    <x v="174"/>
    <n v="0"/>
    <n v="0"/>
    <n v="500"/>
    <n v="500"/>
  </r>
  <r>
    <s v="FBOTFCLTL04N"/>
    <s v="Massionette Area Construction"/>
    <s v="Office"/>
    <x v="8"/>
    <x v="20"/>
    <x v="0"/>
    <x v="175"/>
    <n v="0"/>
    <n v="0"/>
    <n v="500"/>
    <n v="500"/>
  </r>
  <r>
    <s v="FBOTFCLTL04N"/>
    <s v="Massionette Area Construction"/>
    <s v="Office"/>
    <x v="8"/>
    <x v="20"/>
    <x v="0"/>
    <x v="175"/>
    <n v="0"/>
    <n v="0"/>
    <n v="500"/>
    <n v="500"/>
  </r>
  <r>
    <s v="FBOTFCLTL04N"/>
    <s v="Massionette Area Construction"/>
    <s v="Office"/>
    <x v="8"/>
    <x v="20"/>
    <x v="0"/>
    <x v="175"/>
    <n v="0"/>
    <n v="0"/>
    <n v="500"/>
    <n v="500"/>
  </r>
  <r>
    <s v="FBQSVM5KAVG8"/>
    <s v="Karen Allen"/>
    <s v="Pent House"/>
    <x v="3"/>
    <x v="28"/>
    <x v="0"/>
    <x v="176"/>
    <n v="0"/>
    <n v="0"/>
    <n v="500"/>
    <n v="500"/>
  </r>
  <r>
    <s v="FBXITR4F3IHF"/>
    <s v="Lisa Clark"/>
    <s v="Flats"/>
    <x v="3"/>
    <x v="14"/>
    <x v="0"/>
    <x v="177"/>
    <n v="0"/>
    <n v="0"/>
    <n v="500"/>
    <n v="500"/>
  </r>
  <r>
    <s v="FB6YA8NMIC91"/>
    <s v="Susan Nguyen"/>
    <s v="Flats"/>
    <x v="3"/>
    <x v="14"/>
    <x v="0"/>
    <x v="177"/>
    <n v="0"/>
    <n v="0"/>
    <n v="500"/>
    <n v="500"/>
  </r>
  <r>
    <s v="FB6YA8NMIC91"/>
    <s v="Susan Nguyen"/>
    <s v="Flats"/>
    <x v="3"/>
    <x v="14"/>
    <x v="0"/>
    <x v="177"/>
    <n v="0"/>
    <n v="0"/>
    <n v="500"/>
    <n v="500"/>
  </r>
  <r>
    <s v="FBQOPS68ZFQH"/>
    <s v="Barbara Martinez"/>
    <s v="Flats"/>
    <x v="0"/>
    <x v="0"/>
    <x v="0"/>
    <x v="178"/>
    <n v="0"/>
    <n v="0"/>
    <n v="500"/>
    <n v="500"/>
  </r>
  <r>
    <s v="FBPNFOL79JKI"/>
    <s v="Jennifer Robinson"/>
    <s v="Terrace"/>
    <x v="7"/>
    <x v="35"/>
    <x v="0"/>
    <x v="178"/>
    <n v="0"/>
    <n v="0"/>
    <n v="500"/>
    <n v="500"/>
  </r>
  <r>
    <s v="FBQOPS68ZFQH"/>
    <s v="Barbara Martinez"/>
    <s v="Flats"/>
    <x v="0"/>
    <x v="0"/>
    <x v="0"/>
    <x v="178"/>
    <n v="0"/>
    <n v="0"/>
    <n v="500"/>
    <n v="500"/>
  </r>
  <r>
    <s v="FBJZNXJ44SC0"/>
    <s v="Richard Garcia"/>
    <s v="Flats"/>
    <x v="3"/>
    <x v="36"/>
    <x v="0"/>
    <x v="179"/>
    <n v="0"/>
    <n v="0"/>
    <n v="500"/>
    <n v="500"/>
  </r>
  <r>
    <s v="FBKBCU0QCUVF"/>
    <s v="Barbara Ramirez"/>
    <s v="Flats"/>
    <x v="4"/>
    <x v="21"/>
    <x v="0"/>
    <x v="179"/>
    <n v="0"/>
    <n v="0"/>
    <n v="500"/>
    <n v="500"/>
  </r>
  <r>
    <s v="FBNU6V6KUPRR"/>
    <s v="Daniel Torres"/>
    <s v="Flats"/>
    <x v="4"/>
    <x v="24"/>
    <x v="0"/>
    <x v="179"/>
    <n v="0"/>
    <n v="0"/>
    <n v="500"/>
    <n v="500"/>
  </r>
  <r>
    <s v="FBMMYL04ILO5"/>
    <s v="Security Utilities Common Area"/>
    <s v="Office"/>
    <x v="6"/>
    <x v="1"/>
    <x v="0"/>
    <x v="180"/>
    <n v="0"/>
    <n v="0"/>
    <n v="500"/>
    <n v="500"/>
  </r>
  <r>
    <s v="FB60CC019HAH"/>
    <s v="Block C Common Area"/>
    <s v="Office"/>
    <x v="0"/>
    <x v="1"/>
    <x v="0"/>
    <x v="180"/>
    <n v="0"/>
    <n v="0"/>
    <n v="500"/>
    <n v="500"/>
  </r>
  <r>
    <s v="FBM6JJGYSWQM"/>
    <s v="Block A Common Area"/>
    <s v="Office"/>
    <x v="4"/>
    <x v="1"/>
    <x v="0"/>
    <x v="181"/>
    <n v="0"/>
    <n v="0"/>
    <n v="500"/>
    <n v="500"/>
  </r>
  <r>
    <s v="FBKCMMX3W310"/>
    <s v="James Clark"/>
    <s v="Flats"/>
    <x v="4"/>
    <x v="33"/>
    <x v="0"/>
    <x v="182"/>
    <n v="0"/>
    <n v="0"/>
    <n v="500"/>
    <n v="500"/>
  </r>
  <r>
    <s v="FBDWRG7TEF0J"/>
    <s v="MANAGMENT Office"/>
    <s v="Office"/>
    <x v="5"/>
    <x v="5"/>
    <x v="0"/>
    <x v="183"/>
    <n v="0"/>
    <n v="0"/>
    <n v="500"/>
    <n v="500"/>
  </r>
  <r>
    <s v="FBV9CM97U4X2"/>
    <s v="Mark Rodriguez"/>
    <s v="Flats"/>
    <x v="2"/>
    <x v="22"/>
    <x v="0"/>
    <x v="183"/>
    <n v="0"/>
    <n v="0"/>
    <n v="500"/>
    <n v="500"/>
  </r>
  <r>
    <s v="FBYI856CLRXI"/>
    <s v="Daniel Torres"/>
    <s v="Flats"/>
    <x v="4"/>
    <x v="24"/>
    <x v="0"/>
    <x v="184"/>
    <n v="0"/>
    <n v="0"/>
    <n v="500"/>
    <n v="500"/>
  </r>
  <r>
    <s v="FBFJLFQ75JH2"/>
    <s v="Richard Allen"/>
    <s v="Flats"/>
    <x v="2"/>
    <x v="6"/>
    <x v="0"/>
    <x v="185"/>
    <n v="0"/>
    <n v="0"/>
    <n v="500"/>
    <n v="1000"/>
  </r>
  <r>
    <s v="FBBYL4D3MVKL"/>
    <s v="Jennifer Lewis"/>
    <s v="Terrace"/>
    <x v="7"/>
    <x v="17"/>
    <x v="0"/>
    <x v="185"/>
    <n v="0"/>
    <n v="0"/>
    <n v="500"/>
    <n v="500"/>
  </r>
  <r>
    <s v="FBPLVCDUOBQE"/>
    <s v="Dorothy Thomas"/>
    <s v="Flats"/>
    <x v="0"/>
    <x v="37"/>
    <x v="0"/>
    <x v="185"/>
    <n v="0"/>
    <n v="0"/>
    <n v="500"/>
    <n v="500"/>
  </r>
  <r>
    <s v="FB6PNI6XZOHH"/>
    <s v="Paul Torres"/>
    <s v="Flats"/>
    <x v="2"/>
    <x v="15"/>
    <x v="0"/>
    <x v="185"/>
    <n v="0"/>
    <n v="0"/>
    <n v="500"/>
    <n v="500"/>
  </r>
  <r>
    <s v="FB3SFU0O47D5"/>
    <s v="Paul Garcia"/>
    <s v="Flats"/>
    <x v="3"/>
    <x v="11"/>
    <x v="0"/>
    <x v="185"/>
    <n v="0"/>
    <n v="0"/>
    <n v="500"/>
    <n v="500"/>
  </r>
  <r>
    <s v="FB53JBD3J8FU"/>
    <s v="Michelle Wilson"/>
    <s v="Flats"/>
    <x v="2"/>
    <x v="18"/>
    <x v="0"/>
    <x v="186"/>
    <n v="0"/>
    <n v="0"/>
    <n v="500"/>
    <n v="500"/>
  </r>
  <r>
    <s v="FBETQNGLVKH9"/>
    <s v="Betty Lopez"/>
    <s v="Flats"/>
    <x v="4"/>
    <x v="27"/>
    <x v="0"/>
    <x v="186"/>
    <n v="0"/>
    <n v="0"/>
    <n v="500"/>
    <n v="500"/>
  </r>
  <r>
    <s v="FBP52EIWXNNS"/>
    <s v="Block B Common Area"/>
    <s v="Office"/>
    <x v="2"/>
    <x v="1"/>
    <x v="0"/>
    <x v="186"/>
    <n v="0"/>
    <n v="0"/>
    <n v="500"/>
    <n v="500"/>
  </r>
  <r>
    <s v="FBTC0DNTIBR6"/>
    <s v="Block D Common Area"/>
    <s v="Office"/>
    <x v="3"/>
    <x v="1"/>
    <x v="0"/>
    <x v="186"/>
    <n v="0"/>
    <n v="0"/>
    <n v="500"/>
    <n v="500"/>
  </r>
  <r>
    <s v="FBALXB00PMLW"/>
    <s v="Power House Common Area Area"/>
    <s v="Office"/>
    <x v="1"/>
    <x v="1"/>
    <x v="0"/>
    <x v="186"/>
    <n v="0"/>
    <n v="0"/>
    <n v="500"/>
    <n v="500"/>
  </r>
  <r>
    <s v="FBGRJWGWDY1M"/>
    <s v="Paul Perez"/>
    <s v="Flats"/>
    <x v="3"/>
    <x v="16"/>
    <x v="0"/>
    <x v="187"/>
    <n v="0"/>
    <n v="0"/>
    <n v="500"/>
    <n v="500"/>
  </r>
  <r>
    <s v="FB9LY5924QPE"/>
    <s v="Andrew Allen"/>
    <s v="Flats"/>
    <x v="2"/>
    <x v="4"/>
    <x v="0"/>
    <x v="188"/>
    <n v="0"/>
    <n v="0"/>
    <n v="500"/>
    <n v="500"/>
  </r>
  <r>
    <s v="FBFTWCXCE4NF"/>
    <s v="Nancy Sanchez"/>
    <s v="Pent House"/>
    <x v="4"/>
    <x v="31"/>
    <x v="0"/>
    <x v="188"/>
    <n v="0"/>
    <n v="0"/>
    <n v="500"/>
    <n v="500"/>
  </r>
  <r>
    <s v="FBZ47CVDJXV9"/>
    <s v="Joshua Harris"/>
    <s v="Terrace"/>
    <x v="7"/>
    <x v="12"/>
    <x v="0"/>
    <x v="188"/>
    <n v="0"/>
    <n v="0"/>
    <n v="500"/>
    <n v="500"/>
  </r>
  <r>
    <s v="FBSBGB2C9MIE"/>
    <s v="Robert Robinson"/>
    <s v="Flats"/>
    <x v="0"/>
    <x v="30"/>
    <x v="0"/>
    <x v="189"/>
    <n v="0"/>
    <n v="0"/>
    <n v="500"/>
    <n v="500"/>
  </r>
  <r>
    <s v="FB88OZYGPV5V"/>
    <s v="Karen Allen"/>
    <s v="Pent House"/>
    <x v="3"/>
    <x v="28"/>
    <x v="0"/>
    <x v="189"/>
    <n v="0"/>
    <n v="0"/>
    <n v="500"/>
    <n v="500"/>
  </r>
  <r>
    <s v="FBVFPCGK7UJN"/>
    <s v="Paul Torres"/>
    <s v="Flats"/>
    <x v="2"/>
    <x v="15"/>
    <x v="0"/>
    <x v="189"/>
    <n v="0"/>
    <n v="0"/>
    <n v="500"/>
    <n v="500"/>
  </r>
  <r>
    <s v="FBFZAVV55YZN"/>
    <s v="Susan Nguyen"/>
    <s v="Flats"/>
    <x v="3"/>
    <x v="14"/>
    <x v="0"/>
    <x v="190"/>
    <n v="0"/>
    <n v="0"/>
    <n v="500"/>
    <n v="500"/>
  </r>
  <r>
    <s v="FBHYX1RRTIGX"/>
    <s v="Anthony Robinson"/>
    <s v="Flats"/>
    <x v="3"/>
    <x v="7"/>
    <x v="0"/>
    <x v="190"/>
    <n v="0"/>
    <n v="0"/>
    <n v="500"/>
    <n v="500"/>
  </r>
  <r>
    <s v="FB8A1AHJT161"/>
    <s v="Karen Rodriguez"/>
    <s v="Terrace"/>
    <x v="7"/>
    <x v="13"/>
    <x v="0"/>
    <x v="190"/>
    <n v="0"/>
    <n v="0"/>
    <n v="500"/>
    <n v="500"/>
  </r>
  <r>
    <s v="FBTMPK1D1V4B"/>
    <s v="Lisa Clark"/>
    <s v="Flats"/>
    <x v="3"/>
    <x v="14"/>
    <x v="0"/>
    <x v="191"/>
    <n v="0"/>
    <n v="0"/>
    <n v="500"/>
    <n v="500"/>
  </r>
  <r>
    <s v="FBTMKATBF45D"/>
    <s v="Sarah Wilson"/>
    <s v="Flats"/>
    <x v="3"/>
    <x v="34"/>
    <x v="0"/>
    <x v="192"/>
    <n v="0"/>
    <n v="0"/>
    <n v="500"/>
    <n v="500"/>
  </r>
  <r>
    <s v="FBKMWSM8ZUWC"/>
    <s v="Security Utilities Common Area"/>
    <s v="Office"/>
    <x v="6"/>
    <x v="1"/>
    <x v="0"/>
    <x v="192"/>
    <n v="0"/>
    <n v="0"/>
    <n v="500"/>
    <n v="500"/>
  </r>
  <r>
    <s v="FB0S5QTJBCKL"/>
    <s v="Thomas Sanchez"/>
    <s v="Flats"/>
    <x v="0"/>
    <x v="26"/>
    <x v="0"/>
    <x v="193"/>
    <n v="0"/>
    <n v="0"/>
    <n v="500"/>
    <n v="500"/>
  </r>
  <r>
    <s v="FBMYEO5BV3SG"/>
    <s v="Paul Garcia"/>
    <s v="Flats"/>
    <x v="3"/>
    <x v="11"/>
    <x v="0"/>
    <x v="193"/>
    <n v="0"/>
    <n v="0"/>
    <n v="500"/>
    <n v="500"/>
  </r>
  <r>
    <s v="FBTNX89473EC"/>
    <s v="Block A Common Area"/>
    <s v="Office"/>
    <x v="4"/>
    <x v="1"/>
    <x v="0"/>
    <x v="193"/>
    <n v="0"/>
    <n v="0"/>
    <n v="500"/>
    <n v="500"/>
  </r>
  <r>
    <s v="FBR5R0006EB2"/>
    <s v="Block C Common Area"/>
    <s v="Office"/>
    <x v="0"/>
    <x v="1"/>
    <x v="0"/>
    <x v="193"/>
    <n v="0"/>
    <n v="0"/>
    <n v="500"/>
    <n v="500"/>
  </r>
  <r>
    <s v="FBD6IQW6KM2P"/>
    <s v="Robert Walker"/>
    <s v="Flats"/>
    <x v="2"/>
    <x v="39"/>
    <x v="0"/>
    <x v="194"/>
    <n v="0"/>
    <n v="0"/>
    <n v="500"/>
    <n v="500"/>
  </r>
  <r>
    <s v="FBI93EV19T4K"/>
    <s v="Anthony Lopez"/>
    <s v="Flats"/>
    <x v="2"/>
    <x v="25"/>
    <x v="0"/>
    <x v="194"/>
    <n v="0"/>
    <n v="0"/>
    <n v="500"/>
    <n v="500"/>
  </r>
  <r>
    <s v="FBIDRDOFZQ19"/>
    <s v="Patricia Williams"/>
    <s v="Flats"/>
    <x v="2"/>
    <x v="2"/>
    <x v="0"/>
    <x v="195"/>
    <n v="0"/>
    <n v="0"/>
    <n v="500"/>
    <n v="500"/>
  </r>
  <r>
    <s v="FBAXPP4CQWTW"/>
    <s v="Barbara Ramirez"/>
    <s v="Flats"/>
    <x v="4"/>
    <x v="21"/>
    <x v="0"/>
    <x v="196"/>
    <n v="0"/>
    <n v="0"/>
    <n v="500"/>
    <n v="500"/>
  </r>
  <r>
    <s v="FB524LQICY7O"/>
    <s v="MANAGMENT Office"/>
    <s v="Office"/>
    <x v="5"/>
    <x v="5"/>
    <x v="0"/>
    <x v="197"/>
    <n v="0"/>
    <n v="0"/>
    <n v="500"/>
    <n v="500"/>
  </r>
  <r>
    <s v="FB8NYUFYTGD4"/>
    <s v="Donna Torres"/>
    <s v="Flats"/>
    <x v="3"/>
    <x v="8"/>
    <x v="0"/>
    <x v="198"/>
    <n v="0"/>
    <n v="0"/>
    <n v="500"/>
    <n v="500"/>
  </r>
  <r>
    <s v="FB1YT0MWK7Y6"/>
    <s v="Jennifer Robinson"/>
    <s v="Terrace"/>
    <x v="7"/>
    <x v="35"/>
    <x v="0"/>
    <x v="199"/>
    <n v="0"/>
    <n v="0"/>
    <n v="500"/>
    <n v="500"/>
  </r>
  <r>
    <s v="FBTYNUIP2N1I"/>
    <s v="Richard Garcia"/>
    <s v="Flats"/>
    <x v="3"/>
    <x v="36"/>
    <x v="0"/>
    <x v="200"/>
    <n v="0"/>
    <n v="0"/>
    <n v="500"/>
    <n v="500"/>
  </r>
  <r>
    <s v="FBUP92MGQOY0"/>
    <s v="Donald Jones"/>
    <s v="Flats"/>
    <x v="0"/>
    <x v="10"/>
    <x v="0"/>
    <x v="200"/>
    <n v="0"/>
    <n v="0"/>
    <n v="500"/>
    <n v="500"/>
  </r>
  <r>
    <s v="FBJYTX5TG878"/>
    <s v="Barbara Martinez"/>
    <s v="Flats"/>
    <x v="0"/>
    <x v="0"/>
    <x v="0"/>
    <x v="200"/>
    <n v="0"/>
    <n v="0"/>
    <n v="500"/>
    <n v="500"/>
  </r>
  <r>
    <s v="FBKOY6VB6X9W"/>
    <s v="Daniel Torres"/>
    <s v="Flats"/>
    <x v="4"/>
    <x v="24"/>
    <x v="0"/>
    <x v="201"/>
    <n v="0"/>
    <n v="0"/>
    <n v="500"/>
    <n v="500"/>
  </r>
  <r>
    <s v="FBXKG5P0EPBH"/>
    <s v="Mark Rodriguez"/>
    <s v="Flats"/>
    <x v="2"/>
    <x v="22"/>
    <x v="0"/>
    <x v="201"/>
    <n v="0"/>
    <n v="0"/>
    <n v="500"/>
    <n v="500"/>
  </r>
  <r>
    <s v="FBKRY61BAVES"/>
    <s v="Betty Lopez"/>
    <s v="Flats"/>
    <x v="4"/>
    <x v="27"/>
    <x v="0"/>
    <x v="202"/>
    <n v="0"/>
    <n v="0"/>
    <n v="500"/>
    <n v="500"/>
  </r>
  <r>
    <s v="FBAKJS8Q0EJ3"/>
    <s v="Robert Robinson"/>
    <s v="Flats"/>
    <x v="0"/>
    <x v="30"/>
    <x v="0"/>
    <x v="202"/>
    <n v="0"/>
    <n v="0"/>
    <n v="500"/>
    <n v="500"/>
  </r>
  <r>
    <s v="FBBBR1EVU26S"/>
    <s v="Robert Walker"/>
    <s v="Flats"/>
    <x v="2"/>
    <x v="39"/>
    <x v="0"/>
    <x v="202"/>
    <n v="0"/>
    <n v="0"/>
    <n v="500"/>
    <n v="500"/>
  </r>
  <r>
    <s v="FBO4IPHYRBOA"/>
    <s v="Dorothy Thomas"/>
    <s v="Flats"/>
    <x v="0"/>
    <x v="37"/>
    <x v="0"/>
    <x v="202"/>
    <n v="0"/>
    <n v="0"/>
    <n v="500"/>
    <n v="500"/>
  </r>
  <r>
    <s v="FBZNJ14NMARI"/>
    <s v="Jennifer Lewis"/>
    <s v="Terrace"/>
    <x v="7"/>
    <x v="17"/>
    <x v="0"/>
    <x v="202"/>
    <n v="0"/>
    <n v="0"/>
    <n v="500"/>
    <n v="500"/>
  </r>
  <r>
    <s v="FB4JURDFTIZN"/>
    <s v="Michelle Wilson"/>
    <s v="Flats"/>
    <x v="2"/>
    <x v="18"/>
    <x v="0"/>
    <x v="203"/>
    <n v="0"/>
    <n v="0"/>
    <n v="500"/>
    <n v="500"/>
  </r>
  <r>
    <s v="FBLKT0OWOA4E"/>
    <s v="Andrew Allen"/>
    <s v="Flats"/>
    <x v="2"/>
    <x v="4"/>
    <x v="0"/>
    <x v="203"/>
    <n v="0"/>
    <n v="0"/>
    <n v="500"/>
    <n v="500"/>
  </r>
  <r>
    <s v="FBG1QTPQVN12"/>
    <s v="Nancy Sanchez"/>
    <s v="Pent House"/>
    <x v="4"/>
    <x v="31"/>
    <x v="0"/>
    <x v="203"/>
    <n v="0"/>
    <n v="0"/>
    <n v="500"/>
    <n v="500"/>
  </r>
  <r>
    <s v="FBQXOPXYZGXJ"/>
    <s v="Karen Allen"/>
    <s v="Pent House"/>
    <x v="3"/>
    <x v="28"/>
    <x v="0"/>
    <x v="204"/>
    <n v="0"/>
    <n v="0"/>
    <n v="500"/>
    <n v="500"/>
  </r>
  <r>
    <s v="FB2BDP53714I"/>
    <s v="Block D Common Area"/>
    <s v="Office"/>
    <x v="3"/>
    <x v="1"/>
    <x v="0"/>
    <x v="204"/>
    <n v="0"/>
    <n v="0"/>
    <n v="500"/>
    <n v="500"/>
  </r>
  <r>
    <s v="FB17DW2JFGUB"/>
    <s v="Joshua Harris"/>
    <s v="Terrace"/>
    <x v="7"/>
    <x v="12"/>
    <x v="0"/>
    <x v="204"/>
    <n v="0"/>
    <n v="0"/>
    <n v="500"/>
    <n v="500"/>
  </r>
  <r>
    <s v="FBW8ATKVPYWR"/>
    <s v="Anthony Robinson"/>
    <s v="Flats"/>
    <x v="3"/>
    <x v="7"/>
    <x v="0"/>
    <x v="204"/>
    <n v="0"/>
    <n v="0"/>
    <n v="500"/>
    <n v="500"/>
  </r>
  <r>
    <s v="FBDYUBE06TZ6"/>
    <s v="James Clark"/>
    <s v="Flats"/>
    <x v="4"/>
    <x v="33"/>
    <x v="0"/>
    <x v="204"/>
    <n v="0"/>
    <n v="0"/>
    <n v="500"/>
    <n v="500"/>
  </r>
  <r>
    <s v="FBDTAEU4E8S5"/>
    <s v="Security Utilities Common Area"/>
    <s v="Office"/>
    <x v="6"/>
    <x v="1"/>
    <x v="0"/>
    <x v="205"/>
    <n v="0"/>
    <n v="0"/>
    <n v="500"/>
    <n v="500"/>
  </r>
  <r>
    <s v="FB5Z55E2RZK2"/>
    <s v="MANAGMENT Office"/>
    <s v="Office"/>
    <x v="5"/>
    <x v="5"/>
    <x v="0"/>
    <x v="205"/>
    <n v="0"/>
    <n v="0"/>
    <n v="500"/>
    <n v="500"/>
  </r>
  <r>
    <s v="FBQLVKE3FT02"/>
    <s v="Power House Common Area Area"/>
    <s v="Office"/>
    <x v="1"/>
    <x v="1"/>
    <x v="0"/>
    <x v="205"/>
    <n v="0"/>
    <n v="0"/>
    <n v="500"/>
    <n v="500"/>
  </r>
  <r>
    <s v="FBUM56G975S9"/>
    <s v="Sarah Wilson"/>
    <s v="Flats"/>
    <x v="3"/>
    <x v="34"/>
    <x v="0"/>
    <x v="206"/>
    <n v="0"/>
    <n v="0"/>
    <n v="500"/>
    <n v="500"/>
  </r>
  <r>
    <s v="FBCA3OTZ6QD7"/>
    <s v="Paul Garcia"/>
    <s v="Flats"/>
    <x v="3"/>
    <x v="11"/>
    <x v="0"/>
    <x v="206"/>
    <n v="0"/>
    <n v="0"/>
    <n v="500"/>
    <n v="500"/>
  </r>
  <r>
    <s v="FBEEC7158N7Y"/>
    <s v="Jennifer Robinson"/>
    <s v="Terrace"/>
    <x v="7"/>
    <x v="35"/>
    <x v="0"/>
    <x v="207"/>
    <n v="0"/>
    <n v="0"/>
    <n v="500"/>
    <n v="500"/>
  </r>
  <r>
    <s v="FBGO11FYO8ZF"/>
    <s v="Karen Rodriguez"/>
    <s v="Terrace"/>
    <x v="7"/>
    <x v="13"/>
    <x v="0"/>
    <x v="207"/>
    <n v="0"/>
    <n v="0"/>
    <n v="500"/>
    <n v="500"/>
  </r>
  <r>
    <s v="FBX1TLPNMJD2"/>
    <s v="Donna Torres"/>
    <s v="Flats"/>
    <x v="3"/>
    <x v="8"/>
    <x v="0"/>
    <x v="208"/>
    <n v="0"/>
    <n v="0"/>
    <n v="500"/>
    <n v="500"/>
  </r>
  <r>
    <s v="FB2RNOU1X4T4"/>
    <s v="Block A Common Area"/>
    <s v="Office"/>
    <x v="4"/>
    <x v="1"/>
    <x v="0"/>
    <x v="208"/>
    <n v="0"/>
    <n v="0"/>
    <n v="500"/>
    <n v="500"/>
  </r>
  <r>
    <s v="FBSXDA42QDJU"/>
    <s v="Block B Common Area"/>
    <s v="Office"/>
    <x v="2"/>
    <x v="1"/>
    <x v="0"/>
    <x v="208"/>
    <n v="0"/>
    <n v="0"/>
    <n v="500"/>
    <n v="500"/>
  </r>
  <r>
    <s v="FB48Z79XI7HT"/>
    <s v="Block C Common Area"/>
    <s v="Office"/>
    <x v="0"/>
    <x v="1"/>
    <x v="0"/>
    <x v="208"/>
    <n v="0"/>
    <n v="0"/>
    <n v="500"/>
    <n v="500"/>
  </r>
  <r>
    <s v="FBX4M41927KJ"/>
    <s v="Thomas Sanchez"/>
    <s v="Flats"/>
    <x v="0"/>
    <x v="26"/>
    <x v="0"/>
    <x v="209"/>
    <n v="0"/>
    <n v="0"/>
    <n v="500"/>
    <n v="500"/>
  </r>
  <r>
    <s v="FBDJVE95TEFZ"/>
    <s v="Anthony Lopez"/>
    <s v="Flats"/>
    <x v="2"/>
    <x v="25"/>
    <x v="0"/>
    <x v="210"/>
    <n v="0"/>
    <n v="0"/>
    <n v="500"/>
    <n v="500"/>
  </r>
  <r>
    <s v="FBIF6LLXOJAK"/>
    <s v="Barbara Ramirez"/>
    <s v="Flats"/>
    <x v="4"/>
    <x v="21"/>
    <x v="0"/>
    <x v="211"/>
    <n v="0"/>
    <n v="0"/>
    <n v="500"/>
    <n v="500"/>
  </r>
  <r>
    <s v="FBK8QUMYMOVR"/>
    <s v="Richard Garcia"/>
    <s v="Flats"/>
    <x v="3"/>
    <x v="36"/>
    <x v="0"/>
    <x v="212"/>
    <n v="0"/>
    <n v="0"/>
    <n v="500"/>
    <n v="500"/>
  </r>
  <r>
    <s v="FB8V5IJSTA6G"/>
    <s v="Paul Torres"/>
    <s v="Flats"/>
    <x v="2"/>
    <x v="15"/>
    <x v="0"/>
    <x v="212"/>
    <n v="0"/>
    <n v="0"/>
    <n v="500"/>
    <n v="500"/>
  </r>
  <r>
    <s v="FBDW5BKUSJKY"/>
    <s v="Patricia Williams"/>
    <s v="Flats"/>
    <x v="2"/>
    <x v="2"/>
    <x v="0"/>
    <x v="212"/>
    <n v="0"/>
    <n v="0"/>
    <n v="500"/>
    <n v="500"/>
  </r>
  <r>
    <s v="FB0T0DNHR0OJ"/>
    <s v="Paul Perez"/>
    <s v="Flats"/>
    <x v="3"/>
    <x v="16"/>
    <x v="0"/>
    <x v="213"/>
    <n v="0"/>
    <n v="0"/>
    <n v="500"/>
    <n v="500"/>
  </r>
  <r>
    <s v="FBWHQXGBQI72"/>
    <s v="Mark Rodriguez"/>
    <s v="Flats"/>
    <x v="2"/>
    <x v="22"/>
    <x v="0"/>
    <x v="213"/>
    <n v="0"/>
    <n v="0"/>
    <n v="500"/>
    <n v="500"/>
  </r>
  <r>
    <s v="FBZBKFXI7VBJ"/>
    <s v="Lisa Clark"/>
    <s v="Flats"/>
    <x v="3"/>
    <x v="14"/>
    <x v="0"/>
    <x v="214"/>
    <n v="0"/>
    <n v="0"/>
    <n v="500"/>
    <n v="500"/>
  </r>
  <r>
    <s v="FB5Q14S2YD8L"/>
    <s v="Susan Nguyen"/>
    <s v="Flats"/>
    <x v="3"/>
    <x v="14"/>
    <x v="0"/>
    <x v="215"/>
    <n v="0"/>
    <n v="0"/>
    <n v="500"/>
    <n v="500"/>
  </r>
  <r>
    <s v="FB3V5J8PL5ED"/>
    <s v="Donald Jones"/>
    <s v="Flats"/>
    <x v="0"/>
    <x v="10"/>
    <x v="0"/>
    <x v="216"/>
    <n v="0"/>
    <n v="0"/>
    <n v="500"/>
    <n v="500"/>
  </r>
  <r>
    <s v="FBDL8AI9IFET"/>
    <s v="Mary Hernandez"/>
    <s v="Flats"/>
    <x v="0"/>
    <x v="32"/>
    <x v="0"/>
    <x v="217"/>
    <n v="0"/>
    <n v="0"/>
    <n v="500"/>
    <n v="500"/>
  </r>
  <r>
    <s v="FB3W1UHYLE38"/>
    <s v="Mary Hernandez"/>
    <s v="Flats"/>
    <x v="0"/>
    <x v="32"/>
    <x v="0"/>
    <x v="217"/>
    <n v="0"/>
    <n v="0"/>
    <n v="500"/>
    <n v="500"/>
  </r>
  <r>
    <s v="FB3W1UHYLE38"/>
    <s v="Mary Hernandez"/>
    <s v="Flats"/>
    <x v="0"/>
    <x v="32"/>
    <x v="0"/>
    <x v="217"/>
    <n v="0"/>
    <n v="0"/>
    <n v="500"/>
    <n v="500"/>
  </r>
  <r>
    <s v="FBD0OG1Y2CQO"/>
    <s v="Daniel Torres"/>
    <s v="Flats"/>
    <x v="4"/>
    <x v="24"/>
    <x v="0"/>
    <x v="218"/>
    <n v="0"/>
    <n v="0"/>
    <n v="500"/>
    <n v="500"/>
  </r>
  <r>
    <s v="FB2VDU78HREM"/>
    <s v="Barbara Martinez"/>
    <s v="Flats"/>
    <x v="0"/>
    <x v="0"/>
    <x v="1"/>
    <x v="219"/>
    <n v="0"/>
    <n v="0"/>
    <n v="100000"/>
    <n v="100000"/>
  </r>
  <r>
    <s v="FBX3IRC19APV"/>
    <s v="MANAGMENT Office"/>
    <s v="Office"/>
    <x v="5"/>
    <x v="5"/>
    <x v="2"/>
    <x v="220"/>
    <s v="4171 2599 1916 0300 1098 "/>
    <n v="1"/>
    <n v="200"/>
    <n v="200"/>
  </r>
  <r>
    <s v="FBFCDK7M98DQ"/>
    <s v="Barbara Martinez"/>
    <s v="Flats"/>
    <x v="0"/>
    <x v="0"/>
    <x v="2"/>
    <x v="0"/>
    <s v="3446 6037 9260 8339 9302 "/>
    <n v="210.5"/>
    <n v="40000"/>
    <n v="40000"/>
  </r>
  <r>
    <s v="FBSQ2CO2IRP2"/>
    <s v="Power House Common Area Area"/>
    <s v="Office"/>
    <x v="1"/>
    <x v="1"/>
    <x v="2"/>
    <x v="0"/>
    <s v="1481 9068 3005 1342 8693 "/>
    <n v="526.29999999999995"/>
    <n v="100000"/>
    <n v="100000"/>
  </r>
  <r>
    <s v="FBIUG35BP7HT"/>
    <s v="Patricia Williams"/>
    <s v="Flats"/>
    <x v="2"/>
    <x v="2"/>
    <x v="2"/>
    <x v="0"/>
    <s v="1955 4821 7035 2914 4034 "/>
    <n v="131.5"/>
    <n v="25000"/>
    <n v="25000"/>
  </r>
  <r>
    <s v="FBNCBJF57W9S"/>
    <s v="Block D Common Area"/>
    <s v="Office"/>
    <x v="3"/>
    <x v="1"/>
    <x v="2"/>
    <x v="0"/>
    <s v="5765 5477 1290 4259 1775"/>
    <n v="263"/>
    <n v="50000"/>
    <n v="50000"/>
  </r>
  <r>
    <s v="FBJP8CYMRKX3"/>
    <s v="Andrew Allen"/>
    <s v="Flats"/>
    <x v="2"/>
    <x v="4"/>
    <x v="2"/>
    <x v="1"/>
    <s v="1805 4045 6763 6696 1614 "/>
    <n v="394.7"/>
    <n v="75000"/>
    <n v="75000"/>
  </r>
  <r>
    <s v="FBZWBY2OZT9F"/>
    <s v="Richard Allen"/>
    <s v="Flats"/>
    <x v="2"/>
    <x v="6"/>
    <x v="2"/>
    <x v="2"/>
    <s v="1171 5286 4173 3400 5280 "/>
    <n v="421"/>
    <n v="80000"/>
    <n v="80000"/>
  </r>
  <r>
    <s v="FB83EPZM5BGF"/>
    <s v="MANAGMENT Office"/>
    <s v="Office"/>
    <x v="5"/>
    <x v="5"/>
    <x v="2"/>
    <x v="2"/>
    <s v="1502 5537 3637 7452 5280 "/>
    <n v="105.3"/>
    <n v="20000"/>
    <n v="20000"/>
  </r>
  <r>
    <s v="FB1QUKZJEB98"/>
    <s v="Anthony Robinson"/>
    <s v="Flats"/>
    <x v="3"/>
    <x v="7"/>
    <x v="2"/>
    <x v="3"/>
    <s v="3526 9927 4664 2030 5627 "/>
    <n v="131.5"/>
    <n v="25000"/>
    <n v="25000"/>
  </r>
  <r>
    <s v="FBJ4DDISRHYC"/>
    <s v="Donna Torres"/>
    <s v="Flats"/>
    <x v="3"/>
    <x v="8"/>
    <x v="2"/>
    <x v="3"/>
    <s v="3822 0525 9297 6342 0056 "/>
    <n v="105.2"/>
    <n v="20000"/>
    <n v="20000"/>
  </r>
  <r>
    <s v="FBGPF8KEHF2M"/>
    <s v="Donald Jones"/>
    <s v="Flats"/>
    <x v="0"/>
    <x v="10"/>
    <x v="2"/>
    <x v="3"/>
    <s v="5981 7617 3889 5751 9629 "/>
    <n v="263.10000000000002"/>
    <n v="50000"/>
    <n v="50000"/>
  </r>
  <r>
    <s v="FB20FQAKV9UI"/>
    <s v="Paul Garcia"/>
    <s v="Flats"/>
    <x v="3"/>
    <x v="11"/>
    <x v="2"/>
    <x v="3"/>
    <s v="6747 8832 0668 6589 1351 "/>
    <n v="473.6"/>
    <n v="90000"/>
    <n v="90000"/>
  </r>
  <r>
    <s v="FBXUB8UT7Z61"/>
    <s v="Security Utilities Common Area"/>
    <s v="Office"/>
    <x v="6"/>
    <x v="1"/>
    <x v="2"/>
    <x v="3"/>
    <s v="6141 2937 5192 2139 6399 "/>
    <n v="263.2"/>
    <n v="50000"/>
    <n v="50000"/>
  </r>
  <r>
    <s v="FB0Y6MK1WKSR"/>
    <s v="Joshua Harris"/>
    <s v="Terrace"/>
    <x v="7"/>
    <x v="12"/>
    <x v="2"/>
    <x v="3"/>
    <s v="4268 7420 5910 3421 3243 "/>
    <n v="263.10000000000002"/>
    <n v="50000"/>
    <n v="50000"/>
  </r>
  <r>
    <s v="FBCESN2HIEL9"/>
    <s v="Karen Rodriguez"/>
    <s v="Terrace"/>
    <x v="7"/>
    <x v="13"/>
    <x v="2"/>
    <x v="3"/>
    <s v="3449 6691 9977 3426 0213 "/>
    <n v="263.10000000000002"/>
    <n v="50000"/>
    <n v="50000"/>
  </r>
  <r>
    <s v="FBVPK7RDLOEI"/>
    <s v="Block D Common Area"/>
    <s v="Office"/>
    <x v="3"/>
    <x v="1"/>
    <x v="2"/>
    <x v="3"/>
    <s v="5195 4150 5235 4172 8609 "/>
    <n v="2.6"/>
    <n v="500"/>
    <n v="500"/>
  </r>
  <r>
    <s v="FBE6JP8GIPM3"/>
    <s v="Susan Nguyen"/>
    <s v="Flats"/>
    <x v="3"/>
    <x v="14"/>
    <x v="2"/>
    <x v="4"/>
    <s v="3068 6563 8227 5928 0862 "/>
    <n v="263.10000000000002"/>
    <n v="50000"/>
    <n v="50000"/>
  </r>
  <r>
    <s v="FBEJZNM1SKLT"/>
    <s v="Paul Torres"/>
    <s v="Flats"/>
    <x v="2"/>
    <x v="15"/>
    <x v="2"/>
    <x v="4"/>
    <s v="0034 9594 4959 2515 2336 "/>
    <n v="157.80000000000001"/>
    <n v="30000"/>
    <n v="30000"/>
  </r>
  <r>
    <s v="FB1308O6A2XM"/>
    <s v="Lisa Clark"/>
    <s v="Flats"/>
    <x v="3"/>
    <x v="14"/>
    <x v="2"/>
    <x v="5"/>
    <s v="7305 9780 6052 2279 6368 "/>
    <n v="131.5"/>
    <n v="25000"/>
    <n v="25000"/>
  </r>
  <r>
    <s v="FBNER5BBI78Q"/>
    <s v="Jennifer Lewis"/>
    <s v="Terrace"/>
    <x v="7"/>
    <x v="17"/>
    <x v="2"/>
    <x v="6"/>
    <s v="5492 8796 5415 4321 2214 "/>
    <n v="526.29999999999995"/>
    <n v="100000"/>
    <n v="100000"/>
  </r>
  <r>
    <s v="FB1V1X8433OF"/>
    <s v="Michelle Wilson"/>
    <s v="Flats"/>
    <x v="2"/>
    <x v="18"/>
    <x v="2"/>
    <x v="6"/>
    <s v="6156 5195 8111 0565 8648 "/>
    <n v="263.10000000000002"/>
    <n v="50000"/>
    <n v="50000"/>
  </r>
  <r>
    <s v="FB337ACQJHB2"/>
    <s v="Block D Common Area"/>
    <s v="Office"/>
    <x v="3"/>
    <x v="1"/>
    <x v="2"/>
    <x v="6"/>
    <s v="7180 5085 3182 0277 7981 "/>
    <n v="263.10000000000002"/>
    <n v="50000"/>
    <n v="50000"/>
  </r>
  <r>
    <s v="FB8AK0E96SU8"/>
    <s v="Patricia Williams"/>
    <s v="Flats"/>
    <x v="2"/>
    <x v="2"/>
    <x v="2"/>
    <x v="6"/>
    <s v="2190 2709 4737 0282 5243 "/>
    <n v="142.1"/>
    <n v="27000"/>
    <n v="27000"/>
  </r>
  <r>
    <s v="FB43BB38TU47"/>
    <s v="Susan Nguyen"/>
    <s v="Flats"/>
    <x v="3"/>
    <x v="14"/>
    <x v="2"/>
    <x v="6"/>
    <s v="2799 4969 5198 7972 7952 "/>
    <n v="421.1"/>
    <n v="80000"/>
    <n v="80000"/>
  </r>
  <r>
    <s v="FBJOV7170FY4"/>
    <s v="Massionette Area Construction"/>
    <s v="Office"/>
    <x v="8"/>
    <x v="20"/>
    <x v="2"/>
    <x v="7"/>
    <s v="0952 2967 1478 0459 4775 "/>
    <n v="68.5"/>
    <n v="13000"/>
    <n v="13000"/>
  </r>
  <r>
    <s v="FB9HVR7MHQRD"/>
    <s v="Barbara Ramirez"/>
    <s v="Flats"/>
    <x v="4"/>
    <x v="21"/>
    <x v="2"/>
    <x v="7"/>
    <s v="6804 2895 6322 8916 8625 "/>
    <n v="105.2"/>
    <n v="20000"/>
    <n v="20000"/>
  </r>
  <r>
    <s v="FB9VLFFLSFRY"/>
    <s v="Mark Rodriguez"/>
    <s v="Flats"/>
    <x v="2"/>
    <x v="22"/>
    <x v="2"/>
    <x v="7"/>
    <s v="5369 8044 3389 0655 9327 "/>
    <n v="105.2"/>
    <n v="20000"/>
    <n v="20000"/>
  </r>
  <r>
    <s v="FBTZW5W6QOSG"/>
    <s v="MANAGMENT Office"/>
    <s v="Office"/>
    <x v="5"/>
    <x v="5"/>
    <x v="2"/>
    <x v="7"/>
    <s v="0469 7848 0575 4425 3881 "/>
    <n v="105.3"/>
    <n v="20000"/>
    <n v="20000"/>
  </r>
  <r>
    <s v="FBYXQYOL91YD"/>
    <s v="Emily Thomas"/>
    <s v="Flats"/>
    <x v="0"/>
    <x v="23"/>
    <x v="2"/>
    <x v="8"/>
    <s v="1342 4077 6486 5367 8413 "/>
    <n v="105.2"/>
    <n v="20000"/>
    <n v="20000"/>
  </r>
  <r>
    <s v="FBG4MWEXADFN"/>
    <s v="Daniel Torres"/>
    <s v="Flats"/>
    <x v="4"/>
    <x v="24"/>
    <x v="2"/>
    <x v="9"/>
    <s v="0084 6567 4306 5080 1735 "/>
    <n v="210.5"/>
    <n v="40000"/>
    <n v="40000"/>
  </r>
  <r>
    <s v="FBDU9VGX241K"/>
    <s v="Anthony Lopez"/>
    <s v="Flats"/>
    <x v="2"/>
    <x v="25"/>
    <x v="2"/>
    <x v="10"/>
    <s v="0419 3603 7540 1681 7345 "/>
    <n v="315.7"/>
    <n v="60000"/>
    <n v="60000"/>
  </r>
  <r>
    <s v="FB7V0WM6VCA8"/>
    <s v="Paul Perez"/>
    <s v="Flats"/>
    <x v="3"/>
    <x v="16"/>
    <x v="2"/>
    <x v="11"/>
    <s v="0911 1672 2678 3836 3423 "/>
    <n v="421"/>
    <n v="80000"/>
    <n v="80000"/>
  </r>
  <r>
    <s v="FB6ETSFWP2AU"/>
    <s v="Thomas Sanchez"/>
    <s v="Flats"/>
    <x v="0"/>
    <x v="26"/>
    <x v="2"/>
    <x v="11"/>
    <s v="1109 6396 6553 7808 4574 "/>
    <n v="52.6"/>
    <n v="10000"/>
    <n v="10000"/>
  </r>
  <r>
    <s v="FBTJURBASI3K"/>
    <s v="Block C Common Area"/>
    <s v="Office"/>
    <x v="0"/>
    <x v="1"/>
    <x v="2"/>
    <x v="13"/>
    <s v="3834 3550 7463 7363 7415 "/>
    <n v="263.10000000000002"/>
    <n v="50000"/>
    <n v="50000"/>
  </r>
  <r>
    <s v="FBEPQXHWWHRV"/>
    <s v="Karen Allen"/>
    <s v="Pent House"/>
    <x v="3"/>
    <x v="28"/>
    <x v="2"/>
    <x v="13"/>
    <s v="5949 9743 1313 1134 6340 "/>
    <n v="263.10000000000002"/>
    <n v="50000"/>
    <n v="50000"/>
  </r>
  <r>
    <s v="FB5AJBOUMEXY"/>
    <s v="Patricia Williams"/>
    <s v="Flats"/>
    <x v="2"/>
    <x v="2"/>
    <x v="2"/>
    <x v="13"/>
    <s v="3657 5588 0990 7773 9128 "/>
    <n v="63.2"/>
    <n v="12000"/>
    <n v="12000"/>
  </r>
  <r>
    <s v="FB588GH1BNHX"/>
    <s v="Block D Common Area"/>
    <s v="Office"/>
    <x v="3"/>
    <x v="1"/>
    <x v="2"/>
    <x v="13"/>
    <s v="0371 6748 5218 3497 6986 "/>
    <n v="263.2"/>
    <n v="50000"/>
    <n v="50000"/>
  </r>
  <r>
    <s v="FBURSRGX8Q4X"/>
    <s v="MANAGMENT Office"/>
    <s v="Office"/>
    <x v="5"/>
    <x v="5"/>
    <x v="2"/>
    <x v="13"/>
    <s v="4410 2521 6435 3533 3861 "/>
    <n v="105.2"/>
    <n v="20000"/>
    <n v="20000"/>
  </r>
  <r>
    <s v="FBSF1KFREK6C"/>
    <s v="Emily Thomas"/>
    <s v="Flats"/>
    <x v="0"/>
    <x v="23"/>
    <x v="2"/>
    <x v="14"/>
    <s v="5694 9513 6939 6945 8231 "/>
    <n v="210.5"/>
    <n v="40000"/>
    <n v="40000"/>
  </r>
  <r>
    <s v="FBM7AEDLM7HK"/>
    <s v="Barbara Martinez"/>
    <s v="Flats"/>
    <x v="0"/>
    <x v="0"/>
    <x v="2"/>
    <x v="15"/>
    <s v="5646 3382 3670 7184 6173 "/>
    <n v="278.89999999999998"/>
    <n v="53000"/>
    <n v="53000"/>
  </r>
  <r>
    <s v="FBDE1JY4JIRE"/>
    <s v="Security Utilities Common Area"/>
    <s v="Office"/>
    <x v="6"/>
    <x v="1"/>
    <x v="2"/>
    <x v="15"/>
    <s v="0812 3175 3559 6425 0212 "/>
    <n v="263.2"/>
    <n v="50000"/>
    <n v="50000"/>
  </r>
  <r>
    <s v="FBO0H578S01Y"/>
    <s v="Power House Common Area Area"/>
    <s v="Office"/>
    <x v="1"/>
    <x v="1"/>
    <x v="2"/>
    <x v="15"/>
    <s v="6874 9756 1111 2628 1767 "/>
    <n v="526.4"/>
    <n v="100000"/>
    <n v="100000"/>
  </r>
  <r>
    <s v="FBHXY8E64ELJ"/>
    <s v="Sarah Wilson"/>
    <s v="Flats"/>
    <x v="3"/>
    <x v="34"/>
    <x v="2"/>
    <x v="15"/>
    <s v="2347 7389 3579 6040 1937 "/>
    <n v="78.900000000000006"/>
    <n v="15000"/>
    <n v="15000"/>
  </r>
  <r>
    <s v="FBVRFV4UT1XZ"/>
    <s v="Karen Rodriguez"/>
    <s v="Terrace"/>
    <x v="7"/>
    <x v="13"/>
    <x v="2"/>
    <x v="15"/>
    <s v="2837 8371 9787 2446 3572 "/>
    <n v="210.5"/>
    <n v="40000"/>
    <n v="40000"/>
  </r>
  <r>
    <s v="FBVQ6KW7UN7R"/>
    <s v="Michael Wright"/>
    <s v="Flats"/>
    <x v="3"/>
    <x v="9"/>
    <x v="2"/>
    <x v="16"/>
    <s v="4292 7956 6804 3486 2886 "/>
    <n v="421"/>
    <n v="80000"/>
    <n v="80000"/>
  </r>
  <r>
    <s v="FBHMTSH4ED57"/>
    <s v="Patricia Williams"/>
    <s v="Flats"/>
    <x v="2"/>
    <x v="2"/>
    <x v="2"/>
    <x v="16"/>
    <s v="4448 9326 8690 4476 6444 "/>
    <n v="131.6"/>
    <n v="25000"/>
    <n v="25000"/>
  </r>
  <r>
    <s v="FBVZQMDX5UPP"/>
    <s v="Robert Robinson"/>
    <s v="Flats"/>
    <x v="0"/>
    <x v="30"/>
    <x v="2"/>
    <x v="17"/>
    <s v="5577 2480 1645 6165 5140 "/>
    <n v="263.2"/>
    <n v="50000"/>
    <n v="50000"/>
  </r>
  <r>
    <s v="FBCQW66XXOCX"/>
    <s v="Thomas Sanchez"/>
    <s v="Flats"/>
    <x v="0"/>
    <x v="26"/>
    <x v="2"/>
    <x v="17"/>
    <s v="0643 9903 0239 2892 8431 "/>
    <n v="52.6"/>
    <n v="10000"/>
    <n v="10000"/>
  </r>
  <r>
    <s v="FBM0KHDKIWCN"/>
    <s v="Joshua Harris"/>
    <s v="Terrace"/>
    <x v="7"/>
    <x v="12"/>
    <x v="2"/>
    <x v="18"/>
    <s v="2377 6638 2719 0594 9866 "/>
    <n v="157.9"/>
    <n v="30000"/>
    <n v="30000"/>
  </r>
  <r>
    <s v="FB5BCVT9XXW4"/>
    <s v="Block D Common Area"/>
    <s v="Office"/>
    <x v="3"/>
    <x v="1"/>
    <x v="2"/>
    <x v="18"/>
    <s v="4453 9709 0360 6491 3265 "/>
    <n v="263.2"/>
    <n v="50000"/>
    <n v="50000"/>
  </r>
  <r>
    <s v="FBL4SIVPQWQC"/>
    <s v="Power House Common Area Area"/>
    <s v="Office"/>
    <x v="1"/>
    <x v="1"/>
    <x v="2"/>
    <x v="18"/>
    <s v="1422 1431 2812 3851 6769 "/>
    <n v="526.29999999999995"/>
    <n v="100000"/>
    <n v="100000"/>
  </r>
  <r>
    <s v="FB9DT5AIXWFK"/>
    <s v="MANAGMENT Office"/>
    <s v="Office"/>
    <x v="5"/>
    <x v="5"/>
    <x v="2"/>
    <x v="18"/>
    <s v="5417 0325 8147 8094 2270 "/>
    <n v="105.3"/>
    <n v="20000"/>
    <n v="20000"/>
  </r>
  <r>
    <s v="FBOTEONCR45D"/>
    <s v="Anthony Robinson"/>
    <s v="Flats"/>
    <x v="3"/>
    <x v="7"/>
    <x v="2"/>
    <x v="19"/>
    <s v="7069 5853 8879 9245 0363 "/>
    <n v="131.6"/>
    <n v="25000"/>
    <n v="25000"/>
  </r>
  <r>
    <s v="FBRCYSLZJ8CJ"/>
    <s v="Barbara Ramirez"/>
    <s v="Flats"/>
    <x v="4"/>
    <x v="21"/>
    <x v="2"/>
    <x v="20"/>
    <s v="0182 9471 2132 9340 4191 "/>
    <n v="105.3"/>
    <n v="20000"/>
    <n v="20000"/>
  </r>
  <r>
    <s v="FBW8PGI9UEMB"/>
    <s v="Richard Allen"/>
    <s v="Flats"/>
    <x v="2"/>
    <x v="6"/>
    <x v="2"/>
    <x v="20"/>
    <s v="5775 7199 6198 1454 6245 "/>
    <n v="421.1"/>
    <n v="80000"/>
    <n v="80000"/>
  </r>
  <r>
    <s v="FBT9YEH2225M"/>
    <s v="Michelle Wilson"/>
    <s v="Flats"/>
    <x v="2"/>
    <x v="18"/>
    <x v="2"/>
    <x v="20"/>
    <s v="3878 6126 2398 0413 0746 "/>
    <n v="526.29999999999995"/>
    <n v="100000"/>
    <n v="100000"/>
  </r>
  <r>
    <s v="FBXDG158NALH"/>
    <s v="Patricia Williams"/>
    <s v="Flats"/>
    <x v="2"/>
    <x v="2"/>
    <x v="2"/>
    <x v="221"/>
    <s v="1644 4225 8757 0841 1568 "/>
    <n v="92.6"/>
    <n v="20000"/>
    <n v="20000"/>
  </r>
  <r>
    <s v="FBMEXNHOY1SB"/>
    <s v="Security Utilities Common Area"/>
    <s v="Office"/>
    <x v="6"/>
    <x v="1"/>
    <x v="2"/>
    <x v="22"/>
    <s v="4748 2548 5340 6416 5358 "/>
    <n v="231.4"/>
    <n v="50000"/>
    <n v="50000"/>
  </r>
  <r>
    <s v="FB3A3YSXGERK"/>
    <s v="Karen Rodriguez"/>
    <s v="Terrace"/>
    <x v="7"/>
    <x v="13"/>
    <x v="2"/>
    <x v="22"/>
    <s v="5476 5772 7330 4696 6862 "/>
    <n v="324.10000000000002"/>
    <n v="70000"/>
    <n v="70000"/>
  </r>
  <r>
    <s v="FBYSZGWVDHMD"/>
    <s v="Block D Common Area"/>
    <s v="Office"/>
    <x v="3"/>
    <x v="1"/>
    <x v="2"/>
    <x v="22"/>
    <s v="3414 2152 0290 0403 9380 "/>
    <n v="231.4"/>
    <n v="50000"/>
    <n v="50000"/>
  </r>
  <r>
    <s v="FBCCV4YZO149"/>
    <s v="Karen Allen"/>
    <s v="Pent House"/>
    <x v="3"/>
    <x v="28"/>
    <x v="2"/>
    <x v="23"/>
    <s v="1699 3511 3783 2152 0832 "/>
    <n v="463"/>
    <n v="100000"/>
    <n v="100000"/>
  </r>
  <r>
    <s v="FBZIETG0ZGB5"/>
    <s v="Massionette Area Construction"/>
    <s v="Office"/>
    <x v="8"/>
    <x v="20"/>
    <x v="2"/>
    <x v="23"/>
    <s v="3458 8675 7881 1812 0947 "/>
    <n v="46.3"/>
    <n v="10000"/>
    <n v="10000"/>
  </r>
  <r>
    <s v="FB0AD5L4SAJ1"/>
    <s v="Terrace Area Construction"/>
    <s v="Office"/>
    <x v="9"/>
    <x v="20"/>
    <x v="2"/>
    <x v="23"/>
    <s v="7255 1947 3485 9780 2935 "/>
    <n v="69.400000000000006"/>
    <n v="15000"/>
    <n v="15000"/>
  </r>
  <r>
    <s v="FB0HBJJ9MNIT"/>
    <s v="Sarah Wilson"/>
    <s v="Flats"/>
    <x v="3"/>
    <x v="34"/>
    <x v="2"/>
    <x v="24"/>
    <s v="0651 2530 8097 8587 0874 "/>
    <n v="46.3"/>
    <n v="10000"/>
    <n v="10000"/>
  </r>
  <r>
    <s v="FB4ST0BXXSO8"/>
    <s v="Donald Jones"/>
    <s v="Flats"/>
    <x v="0"/>
    <x v="10"/>
    <x v="2"/>
    <x v="25"/>
    <s v="1820 5109 0966 2580 4739 "/>
    <n v="46.3"/>
    <n v="10000"/>
    <n v="10000"/>
  </r>
  <r>
    <s v="FBBOJP13HJ1Z"/>
    <s v="Lisa Clark"/>
    <s v="Flats"/>
    <x v="3"/>
    <x v="14"/>
    <x v="2"/>
    <x v="25"/>
    <s v="2593 7278 3394 2817 1521 "/>
    <n v="138.9"/>
    <n v="30000"/>
    <n v="30000"/>
  </r>
  <r>
    <s v="FBS0UD5SR9FT"/>
    <s v="Emily Thomas"/>
    <s v="Flats"/>
    <x v="0"/>
    <x v="23"/>
    <x v="2"/>
    <x v="25"/>
    <s v="7170 9947 5046 6851 2104 "/>
    <n v="92.6"/>
    <n v="20000"/>
    <n v="20000"/>
  </r>
  <r>
    <s v="FB0BK507X0S8"/>
    <s v="Patricia Williams"/>
    <s v="Flats"/>
    <x v="2"/>
    <x v="2"/>
    <x v="2"/>
    <x v="25"/>
    <s v="7232 5208 4175 6334 2319 "/>
    <n v="115.7"/>
    <n v="25000"/>
    <n v="25000"/>
  </r>
  <r>
    <s v="FBQ0CKS39ISE"/>
    <s v="Anthony Robinson"/>
    <s v="Flats"/>
    <x v="3"/>
    <x v="7"/>
    <x v="2"/>
    <x v="25"/>
    <s v="0336 0561 6500 2957 2702 "/>
    <n v="109.3"/>
    <n v="23600"/>
    <n v="23600"/>
  </r>
  <r>
    <s v="FBHE6T8O8O4W"/>
    <s v="Thomas Sanchez"/>
    <s v="Flats"/>
    <x v="0"/>
    <x v="26"/>
    <x v="2"/>
    <x v="25"/>
    <s v="4376 9357 2642 5324 2978 "/>
    <n v="46.3"/>
    <n v="10000"/>
    <n v="10000"/>
  </r>
  <r>
    <s v="FBZ8NIYZPIUS"/>
    <s v="Jennifer Lewis"/>
    <s v="Terrace"/>
    <x v="7"/>
    <x v="17"/>
    <x v="2"/>
    <x v="26"/>
    <s v="1285 8423 9977 2452 3629 "/>
    <n v="462.9"/>
    <n v="100000"/>
    <n v="100000"/>
  </r>
  <r>
    <s v="FBO5SYNZJVLQ"/>
    <s v="Paul Garcia"/>
    <s v="Flats"/>
    <x v="3"/>
    <x v="11"/>
    <x v="2"/>
    <x v="222"/>
    <s v="6595 0682 9369 6931 6843 "/>
    <n v="463"/>
    <n v="100000"/>
    <n v="100000"/>
  </r>
  <r>
    <s v="FBVN57QSKOBT"/>
    <s v="Andrew Allen"/>
    <s v="Flats"/>
    <x v="2"/>
    <x v="4"/>
    <x v="2"/>
    <x v="27"/>
    <s v="3087 3272 9300 3220 0716 "/>
    <n v="231.5"/>
    <n v="50000"/>
    <n v="50000"/>
  </r>
  <r>
    <s v="FB2ZFVINZBMO"/>
    <s v="Joshua Harris"/>
    <s v="Terrace"/>
    <x v="7"/>
    <x v="12"/>
    <x v="2"/>
    <x v="27"/>
    <s v="5196 5081 3753 4917 8086 "/>
    <n v="185.2"/>
    <n v="40000"/>
    <n v="40000"/>
  </r>
  <r>
    <s v="FB96K1ZYQCIA"/>
    <s v="Sarah Wilson"/>
    <s v="Flats"/>
    <x v="3"/>
    <x v="34"/>
    <x v="2"/>
    <x v="27"/>
    <s v="5199 6477 5122 0535 6179 "/>
    <n v="92.6"/>
    <n v="20000"/>
    <n v="20000"/>
  </r>
  <r>
    <s v="FBJLAVJ7WRO4"/>
    <s v="Block D Common Area"/>
    <s v="Office"/>
    <x v="3"/>
    <x v="1"/>
    <x v="2"/>
    <x v="27"/>
    <s v="0954 6824 7967 2947 9770 "/>
    <n v="231.5"/>
    <n v="50000"/>
    <n v="50000"/>
  </r>
  <r>
    <s v="FBHNEJHJZSPK"/>
    <s v="Joshua Harris"/>
    <s v="Terrace"/>
    <x v="7"/>
    <x v="12"/>
    <x v="2"/>
    <x v="27"/>
    <s v="5339 6290 9355 3640 1261 "/>
    <n v="92.6"/>
    <n v="20000"/>
    <n v="20000"/>
  </r>
  <r>
    <s v="FB2IEJ8G78UZ"/>
    <s v="Mary Hernandez"/>
    <s v="Flats"/>
    <x v="0"/>
    <x v="32"/>
    <x v="2"/>
    <x v="28"/>
    <s v="3319 1088 9429 2259 1550 "/>
    <n v="462.9"/>
    <n v="100000"/>
    <n v="100000"/>
  </r>
  <r>
    <s v="FBUMY3FCQS9V"/>
    <s v="Emily Thomas"/>
    <s v="Flats"/>
    <x v="0"/>
    <x v="23"/>
    <x v="2"/>
    <x v="28"/>
    <s v="4625 4795 1781 0096 0905 "/>
    <n v="138.9"/>
    <n v="30000"/>
    <n v="30000"/>
  </r>
  <r>
    <s v="FBM56BAGEE3X"/>
    <s v="Barbara Ramirez"/>
    <s v="Flats"/>
    <x v="4"/>
    <x v="21"/>
    <x v="2"/>
    <x v="28"/>
    <s v="6015 4990 8238 8049 7202 "/>
    <n v="92.6"/>
    <n v="20000"/>
    <n v="20000"/>
  </r>
  <r>
    <s v="FB4P1A8E3HHQ"/>
    <s v="Block A Common Area"/>
    <s v="Office"/>
    <x v="4"/>
    <x v="1"/>
    <x v="2"/>
    <x v="29"/>
    <s v="4154 7530 4408 3806 6654 "/>
    <n v="231.5"/>
    <n v="50000"/>
    <n v="50000"/>
  </r>
  <r>
    <s v="FBLXSL2Y16KT"/>
    <s v="Patricia Williams"/>
    <s v="Flats"/>
    <x v="2"/>
    <x v="2"/>
    <x v="2"/>
    <x v="29"/>
    <s v="4740 2119 7599 6038 2230 "/>
    <n v="115.8"/>
    <n v="25000"/>
    <n v="25000"/>
  </r>
  <r>
    <s v="FBZ8OKR8GABF"/>
    <s v="Security Utilities Common Area"/>
    <s v="Office"/>
    <x v="6"/>
    <x v="1"/>
    <x v="2"/>
    <x v="29"/>
    <s v="5302 4546 9202 5955 5057 "/>
    <n v="231.5"/>
    <n v="50000"/>
    <n v="50000"/>
  </r>
  <r>
    <s v="FBK5MPBIXUJY"/>
    <s v="Anthony Robinson"/>
    <s v="Flats"/>
    <x v="3"/>
    <x v="7"/>
    <x v="2"/>
    <x v="29"/>
    <s v="5575 9342 3992 0542 7860 "/>
    <n v="115.7"/>
    <n v="25000"/>
    <n v="25000"/>
  </r>
  <r>
    <s v="FB0OBTTAI3KK"/>
    <s v="Donald Jones"/>
    <s v="Flats"/>
    <x v="0"/>
    <x v="10"/>
    <x v="2"/>
    <x v="223"/>
    <s v="5659 6171 8305 0765 5676 "/>
    <n v="231.5"/>
    <n v="50000"/>
    <n v="50000"/>
  </r>
  <r>
    <s v="FBSNU8KKB1P8"/>
    <s v="Daniel Ramirez"/>
    <s v="Flats"/>
    <x v="0"/>
    <x v="19"/>
    <x v="2"/>
    <x v="223"/>
    <s v="0130 7152 0445 0924 8027 "/>
    <n v="462.9"/>
    <n v="100000"/>
    <n v="100000"/>
  </r>
  <r>
    <s v="FBRG3NWROA0N"/>
    <s v="Daniel Ramirez"/>
    <s v="Flats"/>
    <x v="0"/>
    <x v="19"/>
    <x v="2"/>
    <x v="223"/>
    <s v="4797 4800 0809 5830 5011 "/>
    <n v="463"/>
    <n v="100000"/>
    <n v="100000"/>
  </r>
  <r>
    <s v="FBNMC2GH7UID"/>
    <s v="Thomas Sanchez"/>
    <s v="Flats"/>
    <x v="0"/>
    <x v="26"/>
    <x v="2"/>
    <x v="223"/>
    <s v="0913 6681 2836 1824 1442 "/>
    <n v="92.6"/>
    <n v="20000"/>
    <n v="20000"/>
  </r>
  <r>
    <s v="FBFFZUBI1ZRF"/>
    <s v="Joshua Harris"/>
    <s v="Terrace"/>
    <x v="7"/>
    <x v="12"/>
    <x v="2"/>
    <x v="224"/>
    <s v="6003 6184 1697 0993 0950 "/>
    <n v="231.5"/>
    <n v="50000"/>
    <n v="50000"/>
  </r>
  <r>
    <s v="FBJ2MQ0Y5026"/>
    <s v="Block B Common Area"/>
    <s v="Office"/>
    <x v="2"/>
    <x v="1"/>
    <x v="2"/>
    <x v="30"/>
    <s v="1646 5806 8665 2438 9238 "/>
    <n v="231.5"/>
    <n v="50000"/>
    <n v="50000"/>
  </r>
  <r>
    <s v="FBI6TY9208WH"/>
    <s v="Block C Common Area"/>
    <s v="Office"/>
    <x v="0"/>
    <x v="1"/>
    <x v="2"/>
    <x v="30"/>
    <s v="1213 4182 0649 0680 6849 "/>
    <n v="231.5"/>
    <n v="50000"/>
    <n v="50000"/>
  </r>
  <r>
    <s v="FB6OHVKA8QTH"/>
    <s v="Daniel Torres"/>
    <s v="Flats"/>
    <x v="4"/>
    <x v="24"/>
    <x v="2"/>
    <x v="30"/>
    <s v="1838 0321 5520 0363 4563 "/>
    <n v="208.4"/>
    <n v="45000"/>
    <n v="45000"/>
  </r>
  <r>
    <s v="FBJEV5KFB5UC"/>
    <s v="Betty Lopez"/>
    <s v="Flats"/>
    <x v="4"/>
    <x v="27"/>
    <x v="2"/>
    <x v="30"/>
    <s v="4692 1328 8215 9634 1189 "/>
    <n v="78.7"/>
    <n v="17000"/>
    <n v="17000"/>
  </r>
  <r>
    <s v="FBGA62F6FWU1"/>
    <s v="Richard Allen"/>
    <s v="Flats"/>
    <x v="2"/>
    <x v="6"/>
    <x v="2"/>
    <x v="30"/>
    <s v="1823 8296 9274 0430 7280 "/>
    <n v="370.3"/>
    <n v="80000"/>
    <n v="80000"/>
  </r>
  <r>
    <s v="FBG5FN7N7ZIB"/>
    <s v="Robert Robinson"/>
    <s v="Flats"/>
    <x v="0"/>
    <x v="30"/>
    <x v="2"/>
    <x v="30"/>
    <s v="0031 8182 9745 7301 8248 "/>
    <n v="231.4"/>
    <n v="50000"/>
    <n v="50000"/>
  </r>
  <r>
    <s v="FBDVPJBN3P5B"/>
    <s v="Block D Common Area"/>
    <s v="Office"/>
    <x v="3"/>
    <x v="1"/>
    <x v="2"/>
    <x v="30"/>
    <s v="3494 8982 3576 4604 1041 "/>
    <n v="231.5"/>
    <n v="50000"/>
    <n v="50000"/>
  </r>
  <r>
    <s v="FBLPLGEELZKN"/>
    <s v="Betty Lopez"/>
    <s v="Flats"/>
    <x v="4"/>
    <x v="27"/>
    <x v="2"/>
    <x v="31"/>
    <s v="1765 5135 6385 7250 4139 "/>
    <n v="324"/>
    <n v="70000"/>
    <n v="70000"/>
  </r>
  <r>
    <s v="FBNSYCKD856R"/>
    <s v="Joshua Harris"/>
    <s v="Terrace"/>
    <x v="7"/>
    <x v="12"/>
    <x v="2"/>
    <x v="31"/>
    <s v="4510 9935 8908 4651 0245 "/>
    <n v="46.3"/>
    <n v="10000"/>
    <n v="10000"/>
  </r>
  <r>
    <s v="FBOEUIWD7WUT"/>
    <s v="Patricia Williams"/>
    <s v="Flats"/>
    <x v="2"/>
    <x v="2"/>
    <x v="2"/>
    <x v="31"/>
    <s v="6041 9310 4900 4814 7644 "/>
    <n v="69.400000000000006"/>
    <n v="15000"/>
    <n v="15000"/>
  </r>
  <r>
    <s v="FB8LJYBQIF7C"/>
    <s v="MANAGMENT Office"/>
    <s v="Office"/>
    <x v="5"/>
    <x v="5"/>
    <x v="2"/>
    <x v="31"/>
    <s v="3721 1772 6807 1719 2774 "/>
    <n v="92.6"/>
    <n v="20000"/>
    <n v="20000"/>
  </r>
  <r>
    <s v="FBE1QBSVVR2P"/>
    <s v="Anthony Robinson"/>
    <s v="Flats"/>
    <x v="3"/>
    <x v="7"/>
    <x v="2"/>
    <x v="31"/>
    <s v="6022 7024 8595 3937 6246 "/>
    <n v="115.7"/>
    <n v="25000"/>
    <n v="25000"/>
  </r>
  <r>
    <s v="FB1VRZXBXW8I"/>
    <s v="Barbara Martinez"/>
    <s v="Flats"/>
    <x v="0"/>
    <x v="0"/>
    <x v="2"/>
    <x v="32"/>
    <s v="5294 5669 5167 1774 7517 "/>
    <n v="231.5"/>
    <n v="50000"/>
    <n v="50000"/>
  </r>
  <r>
    <s v="FBEVJQ495EMK"/>
    <s v="Barbara Martinez"/>
    <s v="Flats"/>
    <x v="0"/>
    <x v="0"/>
    <x v="2"/>
    <x v="32"/>
    <s v="3674 4914 1911 4365 6125 "/>
    <n v="138.9"/>
    <n v="30000"/>
    <n v="30000"/>
  </r>
  <r>
    <s v="FBGTR5598A2K"/>
    <s v="Susan Nguyen"/>
    <s v="Flats"/>
    <x v="3"/>
    <x v="14"/>
    <x v="2"/>
    <x v="33"/>
    <s v="4295 8023 8694 7796 3372 "/>
    <n v="231.4"/>
    <n v="50000"/>
    <n v="50000"/>
  </r>
  <r>
    <s v="FBC4R4O0239Z"/>
    <s v="Andrew Allen"/>
    <s v="Flats"/>
    <x v="2"/>
    <x v="4"/>
    <x v="2"/>
    <x v="33"/>
    <s v="0885 1416 1953 1917 2126 "/>
    <n v="463"/>
    <n v="100000"/>
    <n v="100000"/>
  </r>
  <r>
    <s v="FBX62WHNWRIL"/>
    <s v="Sarah Wilson"/>
    <s v="Flats"/>
    <x v="3"/>
    <x v="34"/>
    <x v="2"/>
    <x v="33"/>
    <s v="4565 1643 9238 2855 4873 "/>
    <n v="51"/>
    <n v="11000"/>
    <n v="11000"/>
  </r>
  <r>
    <s v="FBWXBH1TT82X"/>
    <s v="Security Utilities Common Area"/>
    <s v="Office"/>
    <x v="6"/>
    <x v="1"/>
    <x v="2"/>
    <x v="33"/>
    <s v="3023 0839 8754 5469 7322 "/>
    <n v="231.5"/>
    <n v="50000"/>
    <n v="50000"/>
  </r>
  <r>
    <s v="FBT4STN1QIDX"/>
    <s v="Power House Common Area Area"/>
    <s v="Office"/>
    <x v="1"/>
    <x v="1"/>
    <x v="2"/>
    <x v="33"/>
    <s v="0528 4021 6780 7466 5865 "/>
    <n v="463"/>
    <n v="100000"/>
    <n v="100000"/>
  </r>
  <r>
    <s v="FB77WL13ZOTF"/>
    <s v="Thomas Sanchez"/>
    <s v="Flats"/>
    <x v="0"/>
    <x v="26"/>
    <x v="2"/>
    <x v="33"/>
    <s v="2754 7943 6280 1865 4588 "/>
    <n v="92.6"/>
    <n v="20000"/>
    <n v="20000"/>
  </r>
  <r>
    <s v="FBHAUIPA6B6H"/>
    <s v="Karen Rodriguez"/>
    <s v="Terrace"/>
    <x v="7"/>
    <x v="13"/>
    <x v="2"/>
    <x v="33"/>
    <s v="2746 0136 3728 4140 7811 "/>
    <n v="463"/>
    <n v="100000"/>
    <n v="100000"/>
  </r>
  <r>
    <s v="FBLB30F5RD48"/>
    <s v="Emily Thomas"/>
    <s v="Flats"/>
    <x v="0"/>
    <x v="23"/>
    <x v="2"/>
    <x v="33"/>
    <s v="3944 2471 7915 3240 3279 "/>
    <n v="92.6"/>
    <n v="20000"/>
    <n v="20000"/>
  </r>
  <r>
    <s v="FB6FW1K8S831"/>
    <s v="Williams Jef"/>
    <s v="Flats"/>
    <x v="4"/>
    <x v="3"/>
    <x v="2"/>
    <x v="34"/>
    <s v="3241 9134 9904 0143 8071 "/>
    <n v="1157.5"/>
    <n v="250000"/>
    <n v="250000"/>
  </r>
  <r>
    <s v="FB9ZKAUEIM8R"/>
    <s v="Jennifer Robinson"/>
    <s v="Terrace"/>
    <x v="7"/>
    <x v="35"/>
    <x v="2"/>
    <x v="35"/>
    <s v="0849 5917 6882 2285 9195 "/>
    <n v="509.3"/>
    <n v="110000"/>
    <n v="110000"/>
  </r>
  <r>
    <s v="FB2STRMV9F97"/>
    <s v="Mark Rodriguez"/>
    <s v="Flats"/>
    <x v="2"/>
    <x v="22"/>
    <x v="2"/>
    <x v="35"/>
    <s v="5108 3589 8718 1848 0596 "/>
    <n v="92.6"/>
    <n v="20000"/>
    <n v="20000"/>
  </r>
  <r>
    <s v="FBS26O2JLBAW"/>
    <s v="Richard Garcia"/>
    <s v="Flats"/>
    <x v="3"/>
    <x v="36"/>
    <x v="2"/>
    <x v="35"/>
    <s v="5437 0445 4962 3454 5491 "/>
    <n v="231.5"/>
    <n v="50000"/>
    <n v="50000"/>
  </r>
  <r>
    <s v="FBYGU5395MYM"/>
    <s v="Anthony Lopez"/>
    <s v="Flats"/>
    <x v="2"/>
    <x v="25"/>
    <x v="2"/>
    <x v="36"/>
    <s v="3016 7715 4080 6213 8789 "/>
    <n v="277.8"/>
    <n v="60000"/>
    <n v="60000"/>
  </r>
  <r>
    <s v="FBKFMKQELYJ7"/>
    <s v="Lisa Clark"/>
    <s v="Flats"/>
    <x v="3"/>
    <x v="14"/>
    <x v="2"/>
    <x v="36"/>
    <s v="1453 5099 2814 3376 0155 "/>
    <n v="138.9"/>
    <n v="30000"/>
    <n v="30000"/>
  </r>
  <r>
    <s v="FB16ULLGEONV"/>
    <s v="Emily Thomas"/>
    <s v="Flats"/>
    <x v="0"/>
    <x v="23"/>
    <x v="2"/>
    <x v="36"/>
    <s v="4110 3586 7704 7688 3791 "/>
    <n v="46.3"/>
    <n v="10000"/>
    <n v="10000"/>
  </r>
  <r>
    <s v="FBTOX5NWVADA"/>
    <s v="Sarah Wilson"/>
    <s v="Flats"/>
    <x v="3"/>
    <x v="34"/>
    <x v="2"/>
    <x v="36"/>
    <s v="6268 8318 1186 7665 5059 "/>
    <n v="69.400000000000006"/>
    <n v="15000"/>
    <n v="15000"/>
  </r>
  <r>
    <s v="FBRZN9NAG7L1"/>
    <s v="Power House Common Area Area"/>
    <s v="Office"/>
    <x v="1"/>
    <x v="1"/>
    <x v="2"/>
    <x v="36"/>
    <s v="6342 1753 0020 6145 1493 "/>
    <n v="462.9"/>
    <n v="100000"/>
    <n v="100000"/>
  </r>
  <r>
    <s v="FBA0MJ3TU0BZ"/>
    <s v="MANAGMENT Office"/>
    <s v="Office"/>
    <x v="5"/>
    <x v="5"/>
    <x v="2"/>
    <x v="36"/>
    <s v="6668 6110 1833 1700 6088 "/>
    <n v="92.5"/>
    <n v="20000"/>
    <n v="20000"/>
  </r>
  <r>
    <s v="FBCA0R2MZQ8J"/>
    <s v="Anthony Robinson"/>
    <s v="Flats"/>
    <x v="3"/>
    <x v="7"/>
    <x v="2"/>
    <x v="36"/>
    <s v="2523 5696 7861 1060 3778 "/>
    <n v="115.8"/>
    <n v="25000"/>
    <n v="25000"/>
  </r>
  <r>
    <s v="FB8E22UVU6QO"/>
    <s v="Dorothy Thomas"/>
    <s v="Flats"/>
    <x v="0"/>
    <x v="37"/>
    <x v="2"/>
    <x v="37"/>
    <s v="3763 1766 9627 0033 3847 "/>
    <n v="231.5"/>
    <n v="50000"/>
    <n v="50000"/>
  </r>
  <r>
    <s v="FBMH8GMKANQB"/>
    <s v="Donna Torres"/>
    <s v="Flats"/>
    <x v="3"/>
    <x v="8"/>
    <x v="2"/>
    <x v="37"/>
    <s v="3371 4859 5952 3740 9129 "/>
    <n v="231.5"/>
    <n v="50000"/>
    <n v="50000"/>
  </r>
  <r>
    <s v="FBF0R38FNTMT"/>
    <s v="Block D Common Area"/>
    <s v="Office"/>
    <x v="3"/>
    <x v="1"/>
    <x v="2"/>
    <x v="37"/>
    <s v="3139 9875 7607 2062 7270 "/>
    <n v="231.5"/>
    <n v="50000"/>
    <n v="50000"/>
  </r>
  <r>
    <s v="FBS4ZNNUZ0DH"/>
    <s v="Patricia Williams"/>
    <s v="Flats"/>
    <x v="2"/>
    <x v="2"/>
    <x v="2"/>
    <x v="225"/>
    <s v="6288 9068 2953 8885 5525 "/>
    <n v="138.9"/>
    <n v="30000"/>
    <n v="30000"/>
  </r>
  <r>
    <s v="FBN3ZZGV0ZID"/>
    <s v="Terrace Area Construction"/>
    <s v="Office"/>
    <x v="9"/>
    <x v="20"/>
    <x v="2"/>
    <x v="225"/>
    <s v="1180 5980 0387 9403 1256 "/>
    <n v="46.3"/>
    <n v="10000"/>
    <n v="10000"/>
  </r>
  <r>
    <s v="FBSPM4CJAXAW"/>
    <s v="Paul Torres"/>
    <s v="Flats"/>
    <x v="2"/>
    <x v="15"/>
    <x v="2"/>
    <x v="226"/>
    <s v="1599 5505 5842 8747 4813 "/>
    <n v="625"/>
    <n v="135000"/>
    <n v="135000"/>
  </r>
  <r>
    <s v="FBWZE21VIEON"/>
    <s v="Paul Perez"/>
    <s v="Flats"/>
    <x v="3"/>
    <x v="16"/>
    <x v="2"/>
    <x v="226"/>
    <s v="1579 3483 8824 6455 4991 "/>
    <n v="462.5"/>
    <n v="99900"/>
    <n v="99900"/>
  </r>
  <r>
    <s v="FB69EJKJIML0"/>
    <s v="Barbara Martinez"/>
    <s v="Flats"/>
    <x v="0"/>
    <x v="0"/>
    <x v="2"/>
    <x v="226"/>
    <s v="5131 7992 5191 3032 3615 "/>
    <n v="104.1"/>
    <n v="22500"/>
    <n v="22500"/>
  </r>
  <r>
    <s v="FBKT90WVWEHD"/>
    <s v="Barbara Martinez"/>
    <s v="Flats"/>
    <x v="0"/>
    <x v="0"/>
    <x v="2"/>
    <x v="226"/>
    <s v="3972 9989 1128 5893 3962 "/>
    <n v="138.9"/>
    <n v="30000"/>
    <n v="30000"/>
  </r>
  <r>
    <s v="FBUIO3FJO27J"/>
    <s v="Barbara Martinez"/>
    <s v="Flats"/>
    <x v="0"/>
    <x v="0"/>
    <x v="2"/>
    <x v="226"/>
    <s v="6068 4964 7635 4213 4643 "/>
    <n v="231.5"/>
    <n v="50000"/>
    <n v="50000"/>
  </r>
  <r>
    <s v="FBS04PB73MV7"/>
    <s v="Paul Torres"/>
    <s v="Flats"/>
    <x v="2"/>
    <x v="15"/>
    <x v="2"/>
    <x v="226"/>
    <s v="6392 0487 5047 0462 7472 "/>
    <n v="69.400000000000006"/>
    <n v="15000"/>
    <n v="15000"/>
  </r>
  <r>
    <s v="FBYIXXRU24R2"/>
    <s v="Betty Lopez"/>
    <s v="Flats"/>
    <x v="4"/>
    <x v="27"/>
    <x v="2"/>
    <x v="226"/>
    <s v="4608 3829 9015 2297 1917 "/>
    <n v="231.5"/>
    <n v="50000"/>
    <n v="50000"/>
  </r>
  <r>
    <s v="FBZKRW9DV7MD"/>
    <s v="Donald Jones"/>
    <s v="Flats"/>
    <x v="0"/>
    <x v="10"/>
    <x v="2"/>
    <x v="226"/>
    <s v="5900 1559 4556 9779 7413 "/>
    <n v="231.5"/>
    <n v="50000"/>
    <n v="50000"/>
  </r>
  <r>
    <s v="FBWF61UJ1KJA"/>
    <s v="Sarah Wilson"/>
    <s v="Flats"/>
    <x v="3"/>
    <x v="34"/>
    <x v="2"/>
    <x v="226"/>
    <s v="0010 8367 4066 0607 5801 "/>
    <n v="46.3"/>
    <n v="10000"/>
    <n v="10000"/>
  </r>
  <r>
    <s v="FBHMHDTL6NE3"/>
    <s v="Anthony Robinson"/>
    <s v="Flats"/>
    <x v="3"/>
    <x v="7"/>
    <x v="2"/>
    <x v="226"/>
    <s v="4548 0359 4421 0867 6359 "/>
    <n v="231.5"/>
    <n v="50000"/>
    <n v="50000"/>
  </r>
  <r>
    <s v="FBN3CL611EUH"/>
    <s v="Andrew Allen"/>
    <s v="Flats"/>
    <x v="2"/>
    <x v="4"/>
    <x v="2"/>
    <x v="226"/>
    <s v="3353 8362 8228 3324 8515 "/>
    <n v="1157.4000000000001"/>
    <n v="250000"/>
    <n v="250000"/>
  </r>
  <r>
    <s v="FB7D5XBZ8PUO"/>
    <s v="Donald Jones"/>
    <s v="Flats"/>
    <x v="0"/>
    <x v="10"/>
    <x v="2"/>
    <x v="226"/>
    <s v="6246 7201 6992 9672 3108 "/>
    <n v="833.3"/>
    <n v="180000"/>
    <n v="180000"/>
  </r>
  <r>
    <s v="FB3305XCFFRV"/>
    <s v="Michael Wright"/>
    <s v="Flats"/>
    <x v="3"/>
    <x v="9"/>
    <x v="2"/>
    <x v="226"/>
    <s v="5206 2897 2916 4553 6183 "/>
    <n v="370.4"/>
    <n v="80000"/>
    <n v="80000"/>
  </r>
  <r>
    <s v="FBYH25Q5N8PY"/>
    <s v="Emily Thomas"/>
    <s v="Flats"/>
    <x v="0"/>
    <x v="23"/>
    <x v="2"/>
    <x v="226"/>
    <s v="4597 8048 3939 5846 0793 "/>
    <n v="231.5"/>
    <n v="50000"/>
    <n v="50000"/>
  </r>
  <r>
    <s v="FBPUZBGYE4S1"/>
    <s v="Karen Allen"/>
    <s v="Pent House"/>
    <x v="3"/>
    <x v="28"/>
    <x v="2"/>
    <x v="226"/>
    <s v="1126 5330 2351 6775 0001 "/>
    <n v="231.4"/>
    <n v="50000"/>
    <n v="50000"/>
  </r>
  <r>
    <s v="FB6T2Y3WUMWN"/>
    <s v="Elizabeth Martin"/>
    <s v="Flats"/>
    <x v="4"/>
    <x v="29"/>
    <x v="2"/>
    <x v="38"/>
    <s v="6763 5414 8562 6036 5643 "/>
    <n v="925.9"/>
    <n v="200000"/>
    <n v="200000"/>
  </r>
  <r>
    <s v="FBJUA4U7T51J"/>
    <s v="Paul Garcia"/>
    <s v="Flats"/>
    <x v="3"/>
    <x v="11"/>
    <x v="2"/>
    <x v="38"/>
    <s v="0905 5290 8958 9332 5278 "/>
    <n v="463"/>
    <n v="100000"/>
    <n v="100000"/>
  </r>
  <r>
    <s v="FB0Z8QP0IXU4"/>
    <s v="MANAGMENT Office"/>
    <s v="Office"/>
    <x v="5"/>
    <x v="5"/>
    <x v="2"/>
    <x v="38"/>
    <s v="1697 3445 6029 6441 2348 "/>
    <n v="92.6"/>
    <n v="20000"/>
    <n v="20000"/>
  </r>
  <r>
    <s v="FBBH30ALR34U"/>
    <s v="Power House Common Area Area"/>
    <s v="Office"/>
    <x v="1"/>
    <x v="1"/>
    <x v="2"/>
    <x v="38"/>
    <s v="6097 1923 7214 9341 2611 "/>
    <n v="463"/>
    <n v="100000"/>
    <n v="100000"/>
  </r>
  <r>
    <s v="FB3RHVD9DXE9"/>
    <s v="Block A Common Area"/>
    <s v="Office"/>
    <x v="4"/>
    <x v="1"/>
    <x v="2"/>
    <x v="39"/>
    <s v="1489 7736 4806 6521 0666 "/>
    <n v="211.9"/>
    <n v="50000"/>
    <n v="50000"/>
  </r>
  <r>
    <s v="FBLU3BHFKW4W"/>
    <s v="Block B Common Area"/>
    <s v="Office"/>
    <x v="2"/>
    <x v="1"/>
    <x v="2"/>
    <x v="39"/>
    <s v="1179 8815 0401 1447 3149 "/>
    <n v="211.9"/>
    <n v="50000"/>
    <n v="50000"/>
  </r>
  <r>
    <s v="FBEE1PYC7WL0"/>
    <s v="Block D Common Area"/>
    <s v="Office"/>
    <x v="3"/>
    <x v="1"/>
    <x v="2"/>
    <x v="39"/>
    <s v="1012 9534 9213 5390 0375 "/>
    <n v="211.9"/>
    <n v="50000"/>
    <n v="50000"/>
  </r>
  <r>
    <s v="FBS4L4W6DGD2"/>
    <s v="Security Utilities Common Area"/>
    <s v="Office"/>
    <x v="6"/>
    <x v="1"/>
    <x v="2"/>
    <x v="39"/>
    <s v="3471 6898 3130 5465 1183 "/>
    <n v="211.9"/>
    <n v="50000"/>
    <n v="50000"/>
  </r>
  <r>
    <s v="FBO851FYRHW6"/>
    <s v="Terrace Area Construction"/>
    <s v="Office"/>
    <x v="9"/>
    <x v="20"/>
    <x v="2"/>
    <x v="39"/>
    <s v="6407 2115 5504 9850 3048 "/>
    <n v="42.3"/>
    <n v="10000"/>
    <n v="10000"/>
  </r>
  <r>
    <s v="FBLIP644K2DO"/>
    <s v="Barbara Ramirez"/>
    <s v="Flats"/>
    <x v="4"/>
    <x v="21"/>
    <x v="2"/>
    <x v="40"/>
    <s v="1624 1043 4964 1337 2421 "/>
    <n v="36.799999999999997"/>
    <n v="10000"/>
    <n v="10000"/>
  </r>
  <r>
    <s v="FB61Q3Z0HQLC"/>
    <s v="Karen Allen"/>
    <s v="Pent House"/>
    <x v="3"/>
    <x v="28"/>
    <x v="2"/>
    <x v="41"/>
    <s v="2447 0368 1750 7307 6695 "/>
    <n v="368.8"/>
    <n v="100000"/>
    <n v="100000"/>
  </r>
  <r>
    <s v="FBTP0LZQBOGS"/>
    <s v="Joshua Harris"/>
    <s v="Terrace"/>
    <x v="7"/>
    <x v="12"/>
    <x v="2"/>
    <x v="41"/>
    <s v="2540 9934 9688 7689 9505 "/>
    <n v="184.3"/>
    <n v="50000"/>
    <n v="50000"/>
  </r>
  <r>
    <s v="FBTGIUYN8UV9"/>
    <s v="Patricia Williams"/>
    <s v="Flats"/>
    <x v="2"/>
    <x v="2"/>
    <x v="2"/>
    <x v="41"/>
    <s v="2495 9837 3556 7622 8453 "/>
    <n v="129"/>
    <n v="35000"/>
    <n v="35000"/>
  </r>
  <r>
    <s v="FBL2IO8H0SZM"/>
    <s v="Robert Robinson"/>
    <s v="Flats"/>
    <x v="0"/>
    <x v="30"/>
    <x v="2"/>
    <x v="42"/>
    <s v="4071 9581 1791 1969 2814 "/>
    <n v="184.4"/>
    <n v="50000"/>
    <n v="50000"/>
  </r>
  <r>
    <s v="FBTDVUKYZQQK"/>
    <s v="Sarah Wilson"/>
    <s v="Flats"/>
    <x v="3"/>
    <x v="34"/>
    <x v="2"/>
    <x v="42"/>
    <s v="0368 7700 6277 8505 5032 "/>
    <n v="36.9"/>
    <n v="10000"/>
    <n v="10000"/>
  </r>
  <r>
    <s v="FBSGUAEKRYLH"/>
    <s v="Thomas Sanchez"/>
    <s v="Flats"/>
    <x v="0"/>
    <x v="26"/>
    <x v="2"/>
    <x v="43"/>
    <s v="2741 4995 4828 1274 2583 "/>
    <n v="73.7"/>
    <n v="20000"/>
    <n v="20000"/>
  </r>
  <r>
    <s v="FBBG1LCIV9PO"/>
    <s v="Barbara Ramirez"/>
    <s v="Flats"/>
    <x v="4"/>
    <x v="21"/>
    <x v="2"/>
    <x v="43"/>
    <s v="5135 1796 7755 1269 6437 "/>
    <n v="36.9"/>
    <n v="10000"/>
    <n v="10000"/>
  </r>
  <r>
    <s v="FBJ8RKFITJBZ"/>
    <s v="Barbara Ramirez"/>
    <s v="Flats"/>
    <x v="4"/>
    <x v="21"/>
    <x v="2"/>
    <x v="43"/>
    <s v="5212 4683 1271 6016 4143 "/>
    <n v="73.8"/>
    <n v="20000"/>
    <n v="20000"/>
  </r>
  <r>
    <s v="FB2I5WQTD1V1"/>
    <s v="Block C Common Area"/>
    <s v="Office"/>
    <x v="0"/>
    <x v="1"/>
    <x v="2"/>
    <x v="44"/>
    <s v="6874 7519 0993 7595 8690 "/>
    <n v="184.4"/>
    <n v="50000"/>
    <n v="50000"/>
  </r>
  <r>
    <s v="FBF5UC31Z71P"/>
    <s v="Sarah Wilson"/>
    <s v="Flats"/>
    <x v="3"/>
    <x v="34"/>
    <x v="2"/>
    <x v="44"/>
    <s v="1822 5283 9120 6548 0380 "/>
    <n v="73.7"/>
    <n v="20000"/>
    <n v="20000"/>
  </r>
  <r>
    <s v="FB1ZW668A2MU"/>
    <s v="Block D Common Area"/>
    <s v="Office"/>
    <x v="3"/>
    <x v="1"/>
    <x v="2"/>
    <x v="44"/>
    <s v="6302 6159 5160 3584 8516 "/>
    <n v="184.4"/>
    <n v="50000"/>
    <n v="50000"/>
  </r>
  <r>
    <s v="FBTIKLKM3QJX"/>
    <s v="Power House Common Area Area"/>
    <s v="Office"/>
    <x v="1"/>
    <x v="1"/>
    <x v="2"/>
    <x v="44"/>
    <s v="2702 4544 3459 4045 8255 "/>
    <n v="368.7"/>
    <n v="100000"/>
    <n v="100000"/>
  </r>
  <r>
    <s v="FBML2D5PMCLZ"/>
    <s v="MANAGMENT Office"/>
    <s v="Office"/>
    <x v="5"/>
    <x v="5"/>
    <x v="2"/>
    <x v="44"/>
    <s v="5400 4717 9000 0259 3397 "/>
    <n v="73.8"/>
    <n v="20000"/>
    <n v="20000"/>
  </r>
  <r>
    <s v="FBRQQJHWLRPP"/>
    <s v="Karen Rodriguez"/>
    <s v="Terrace"/>
    <x v="7"/>
    <x v="13"/>
    <x v="2"/>
    <x v="45"/>
    <s v="3168 5936 1437 9338 8547 "/>
    <n v="405.6"/>
    <n v="110000"/>
    <n v="110000"/>
  </r>
  <r>
    <s v="FB43R58R4KUO"/>
    <s v="Thomas &amp; Jane Jackson"/>
    <s v="Flats"/>
    <x v="4"/>
    <x v="38"/>
    <x v="2"/>
    <x v="45"/>
    <s v="7330 9894 2852 6260 1643 "/>
    <n v="110.6"/>
    <n v="30000"/>
    <n v="30000"/>
  </r>
  <r>
    <s v="FBCEEZOC249Y"/>
    <s v="Daniel Torres"/>
    <s v="Flats"/>
    <x v="4"/>
    <x v="24"/>
    <x v="2"/>
    <x v="46"/>
    <s v="5180 0590 0484 5155 2565 "/>
    <n v="36.9"/>
    <n v="10000"/>
    <n v="10000"/>
  </r>
  <r>
    <s v="FBV2W1D7DUQG"/>
    <s v="Daniel Torres"/>
    <s v="Flats"/>
    <x v="4"/>
    <x v="24"/>
    <x v="2"/>
    <x v="46"/>
    <s v="0252 6404 4549 9377 8607 "/>
    <n v="44.2"/>
    <n v="12000"/>
    <n v="12000"/>
  </r>
  <r>
    <s v="FBFGJPCMAFQ4"/>
    <s v="Power House Common Area Area"/>
    <s v="Office"/>
    <x v="1"/>
    <x v="1"/>
    <x v="2"/>
    <x v="46"/>
    <s v="0450 6120 5079 7668 4093 "/>
    <n v="368.8"/>
    <n v="100000"/>
    <n v="100000"/>
  </r>
  <r>
    <s v="FBZI1WN8R236"/>
    <s v="Patricia Williams"/>
    <s v="Flats"/>
    <x v="2"/>
    <x v="2"/>
    <x v="2"/>
    <x v="47"/>
    <s v="2891 3530 1762 9396 7295 "/>
    <n v="129.1"/>
    <n v="35000"/>
    <n v="35000"/>
  </r>
  <r>
    <s v="FBF5C50H7OTE"/>
    <s v="Joshua Harris"/>
    <s v="Terrace"/>
    <x v="7"/>
    <x v="12"/>
    <x v="2"/>
    <x v="47"/>
    <s v="2457 8638 6822 2303 8083 "/>
    <n v="184.4"/>
    <n v="50000"/>
    <n v="50000"/>
  </r>
  <r>
    <s v="FBQVW8VC621C"/>
    <s v="Richard Allen"/>
    <s v="Flats"/>
    <x v="2"/>
    <x v="6"/>
    <x v="2"/>
    <x v="48"/>
    <s v="4423 1303 5293 0537 9278 "/>
    <n v="295"/>
    <n v="80000"/>
    <n v="80000"/>
  </r>
  <r>
    <s v="FBO8DJN2GLRS"/>
    <s v="Emily Thomas"/>
    <s v="Flats"/>
    <x v="0"/>
    <x v="23"/>
    <x v="2"/>
    <x v="48"/>
    <s v="5293 1048 1875 4106 5124 "/>
    <n v="258.10000000000002"/>
    <n v="70000"/>
    <n v="70000"/>
  </r>
  <r>
    <s v="FBW0PX7BGP2H"/>
    <s v="Anthony Robinson"/>
    <s v="Flats"/>
    <x v="3"/>
    <x v="7"/>
    <x v="2"/>
    <x v="227"/>
    <s v="6723 4963 3582 8569 7973 "/>
    <n v="202.8"/>
    <n v="55000"/>
    <n v="55000"/>
  </r>
  <r>
    <s v="FBFL158D72VB"/>
    <s v="Lisa Clark"/>
    <s v="Flats"/>
    <x v="3"/>
    <x v="14"/>
    <x v="2"/>
    <x v="49"/>
    <s v="0399 8437 4931 0108 3534 "/>
    <n v="110.7"/>
    <n v="30000"/>
    <n v="30000"/>
  </r>
  <r>
    <s v="FBIQJ7YRORI6"/>
    <s v="Karen Rodriguez"/>
    <s v="Terrace"/>
    <x v="7"/>
    <x v="13"/>
    <x v="2"/>
    <x v="50"/>
    <s v="6684 9996 5839 2707 2552 "/>
    <n v="405.7"/>
    <n v="110000"/>
    <n v="110000"/>
  </r>
  <r>
    <s v="FBCN66C5KNK5"/>
    <s v="Karen Allen"/>
    <s v="Pent House"/>
    <x v="3"/>
    <x v="28"/>
    <x v="2"/>
    <x v="50"/>
    <s v="5763 8314 0167 3311 4784 "/>
    <n v="184.4"/>
    <n v="50000"/>
    <n v="50000"/>
  </r>
  <r>
    <s v="FBBX57MOY5ZI"/>
    <s v="Daniel Torres"/>
    <s v="Flats"/>
    <x v="4"/>
    <x v="24"/>
    <x v="2"/>
    <x v="228"/>
    <s v="6688 5526 2354 5688 1740 "/>
    <n v="73.8"/>
    <n v="20000"/>
    <n v="20000"/>
  </r>
  <r>
    <s v="FBO7BRMAYC5P"/>
    <s v="Robert Robinson"/>
    <s v="Flats"/>
    <x v="0"/>
    <x v="30"/>
    <x v="2"/>
    <x v="228"/>
    <s v="7375 6365 2941 8497 7314 "/>
    <n v="184.4"/>
    <n v="50000"/>
    <n v="50000"/>
  </r>
  <r>
    <s v="FBLD7K2PHJK9"/>
    <s v="Block D Common Area"/>
    <s v="Office"/>
    <x v="3"/>
    <x v="1"/>
    <x v="2"/>
    <x v="228"/>
    <s v="7265 8053 8252 8416 3363 "/>
    <n v="125.3"/>
    <n v="34000"/>
    <n v="34000"/>
  </r>
  <r>
    <s v="FBLSVK3HTKT0"/>
    <s v="Power House Common Area Area"/>
    <s v="Office"/>
    <x v="1"/>
    <x v="1"/>
    <x v="2"/>
    <x v="228"/>
    <s v="1529 4566 2784 4903 3747 "/>
    <n v="295"/>
    <n v="80000"/>
    <n v="80000"/>
  </r>
  <r>
    <s v="FB6EQ1PAU5CM"/>
    <s v="Patricia Williams"/>
    <s v="Flats"/>
    <x v="2"/>
    <x v="2"/>
    <x v="2"/>
    <x v="228"/>
    <s v="2946 1929 9343 6103 2052 "/>
    <n v="92.2"/>
    <n v="25000"/>
    <n v="25000"/>
  </r>
  <r>
    <s v="FBMZ1XZ7PRCT"/>
    <s v="Sarah Wilson"/>
    <s v="Flats"/>
    <x v="3"/>
    <x v="34"/>
    <x v="2"/>
    <x v="229"/>
    <s v="0882 3288 5141 0022 9651 "/>
    <n v="36.9"/>
    <n v="10000"/>
    <n v="10000"/>
  </r>
  <r>
    <s v="FB5M2XLU1A8G"/>
    <s v="Block A Common Area"/>
    <s v="Office"/>
    <x v="4"/>
    <x v="1"/>
    <x v="2"/>
    <x v="51"/>
    <s v="2413 1477 0474 6884 3183 "/>
    <n v="184.4"/>
    <n v="50000"/>
    <n v="50000"/>
  </r>
  <r>
    <s v="FB7MWM2INZVW"/>
    <s v="Block B Common Area"/>
    <s v="Office"/>
    <x v="2"/>
    <x v="1"/>
    <x v="2"/>
    <x v="51"/>
    <s v="1604 6766 3314 2940 0158 "/>
    <n v="184.4"/>
    <n v="50000"/>
    <n v="50000"/>
  </r>
  <r>
    <s v="FB6KWXUKDDTY"/>
    <s v="Block C Common Area"/>
    <s v="Office"/>
    <x v="0"/>
    <x v="1"/>
    <x v="2"/>
    <x v="51"/>
    <s v="1010 4095 9722 7219 1607 "/>
    <n v="184.4"/>
    <n v="50000"/>
    <n v="50000"/>
  </r>
  <r>
    <s v="FBFMNRYMXRJA"/>
    <s v="Security Utilities Common Area"/>
    <s v="Office"/>
    <x v="6"/>
    <x v="1"/>
    <x v="2"/>
    <x v="51"/>
    <s v="3466 2406 6891 0228 7107 "/>
    <n v="184.4"/>
    <n v="50000"/>
    <n v="50000"/>
  </r>
  <r>
    <s v="FBBBVECYHPD6"/>
    <s v="Barbara Ramirez"/>
    <s v="Flats"/>
    <x v="4"/>
    <x v="21"/>
    <x v="2"/>
    <x v="230"/>
    <s v="4246 4203 9497 9034 5610 "/>
    <n v="73.7"/>
    <n v="20000"/>
    <n v="20000"/>
  </r>
  <r>
    <s v="FBSZJITBK5C6"/>
    <s v="Anthony Lopez"/>
    <s v="Flats"/>
    <x v="2"/>
    <x v="25"/>
    <x v="2"/>
    <x v="52"/>
    <s v="4183 0809 2098 3200 8183 "/>
    <n v="55.3"/>
    <n v="15000"/>
    <n v="15000"/>
  </r>
  <r>
    <s v="FB55PR03LUFZ"/>
    <s v="Karen Allen"/>
    <s v="Pent House"/>
    <x v="3"/>
    <x v="28"/>
    <x v="2"/>
    <x v="52"/>
    <s v="0749 1797 3210 2983 3022 "/>
    <n v="110.6"/>
    <n v="30000"/>
    <n v="30000"/>
  </r>
  <r>
    <s v="FB3D39ECFPXY"/>
    <s v="Sarah Wilson"/>
    <s v="Flats"/>
    <x v="3"/>
    <x v="34"/>
    <x v="2"/>
    <x v="52"/>
    <s v="2301 8293 2576 9090 1017 "/>
    <n v="36.9"/>
    <n v="10000"/>
    <n v="10000"/>
  </r>
  <r>
    <s v="FBDFZ4TGAR9A"/>
    <s v="Patricia Williams"/>
    <s v="Flats"/>
    <x v="2"/>
    <x v="2"/>
    <x v="2"/>
    <x v="52"/>
    <s v="1453 4765 1614 3490 8227 "/>
    <n v="75.599999999999994"/>
    <n v="20500"/>
    <n v="20500"/>
  </r>
  <r>
    <s v="FB2PIQAFQ344"/>
    <s v="Block D Common Area"/>
    <s v="Office"/>
    <x v="3"/>
    <x v="1"/>
    <x v="2"/>
    <x v="52"/>
    <s v="4828 0154 8477 0229 2230 "/>
    <n v="184.4"/>
    <n v="50000"/>
    <n v="50000"/>
  </r>
  <r>
    <s v="FB2PI3MTFAX7"/>
    <s v="Joshua Harris"/>
    <s v="Terrace"/>
    <x v="7"/>
    <x v="12"/>
    <x v="2"/>
    <x v="52"/>
    <s v="1618 7591 5917 7810 7330 "/>
    <n v="184.4"/>
    <n v="50000"/>
    <n v="50000"/>
  </r>
  <r>
    <s v="FBRV6PY80YE3"/>
    <s v="Thomas &amp; Jane Jackson"/>
    <s v="Flats"/>
    <x v="4"/>
    <x v="38"/>
    <x v="2"/>
    <x v="52"/>
    <s v="1209 6457 3264 7650 3538 "/>
    <n v="110.6"/>
    <n v="30000"/>
    <n v="30000"/>
  </r>
  <r>
    <s v="FB2MW45PDQ7W"/>
    <s v="Mark Rodriguez"/>
    <s v="Flats"/>
    <x v="2"/>
    <x v="22"/>
    <x v="2"/>
    <x v="53"/>
    <s v="5361 2195 2978 8027 6979 "/>
    <n v="73.8"/>
    <n v="20000"/>
    <n v="20000"/>
  </r>
  <r>
    <s v="FB5CVZJHOSG4"/>
    <s v="Power House Common Area Area"/>
    <s v="Office"/>
    <x v="1"/>
    <x v="1"/>
    <x v="2"/>
    <x v="53"/>
    <s v="1981 7851 6103 4252 5753 "/>
    <n v="368.7"/>
    <n v="100000"/>
    <n v="100000"/>
  </r>
  <r>
    <s v="FBX0D821J9T4"/>
    <s v="Thomas Sanchez"/>
    <s v="Flats"/>
    <x v="0"/>
    <x v="26"/>
    <x v="2"/>
    <x v="53"/>
    <s v="1964 4588 9665 3228 5261 "/>
    <n v="73.7"/>
    <n v="20000"/>
    <n v="20000"/>
  </r>
  <r>
    <s v="FBWYKJCC313Q"/>
    <s v="Sarah Wilson"/>
    <s v="Flats"/>
    <x v="3"/>
    <x v="34"/>
    <x v="2"/>
    <x v="54"/>
    <s v="4245 7417 9696 7042 9175 "/>
    <n v="55.3"/>
    <n v="15000"/>
    <n v="15000"/>
  </r>
  <r>
    <s v="FB9R4ZLOEFSQ"/>
    <s v="Anthony Robinson"/>
    <s v="Flats"/>
    <x v="3"/>
    <x v="7"/>
    <x v="2"/>
    <x v="54"/>
    <s v="4660 2993 1540 4496 1609 "/>
    <n v="230.5"/>
    <n v="62500"/>
    <n v="62500"/>
  </r>
  <r>
    <s v="FBHH1IV0ITQM"/>
    <s v="Patricia Williams"/>
    <s v="Flats"/>
    <x v="2"/>
    <x v="2"/>
    <x v="2"/>
    <x v="231"/>
    <s v="6897 0503 7275 3764 2509 "/>
    <n v="110.6"/>
    <n v="30000"/>
    <n v="30000"/>
  </r>
  <r>
    <s v="FBOJ9KZY17VL"/>
    <s v="Joshua Harris"/>
    <s v="Terrace"/>
    <x v="7"/>
    <x v="12"/>
    <x v="2"/>
    <x v="231"/>
    <s v="1625 6395 7690 0053 4479 "/>
    <n v="184.4"/>
    <n v="50000"/>
    <n v="50000"/>
  </r>
  <r>
    <s v="FBU29RVWNZ0B"/>
    <s v="Karen Allen"/>
    <s v="Pent House"/>
    <x v="3"/>
    <x v="28"/>
    <x v="2"/>
    <x v="231"/>
    <s v="6002 7887 6926 1527 4837 "/>
    <n v="368.8"/>
    <n v="100000"/>
    <n v="100000"/>
  </r>
  <r>
    <s v="FBJGLHH7MAVI"/>
    <s v="Barbara Martinez"/>
    <s v="Flats"/>
    <x v="0"/>
    <x v="0"/>
    <x v="2"/>
    <x v="55"/>
    <s v="4790 7091 0967 0035 4778 "/>
    <n v="184.4"/>
    <n v="50000"/>
    <n v="50000"/>
  </r>
  <r>
    <s v="FB3LG4P7M7BD"/>
    <s v="Mary Hernandez"/>
    <s v="Flats"/>
    <x v="0"/>
    <x v="32"/>
    <x v="2"/>
    <x v="55"/>
    <s v="4947 5450 0024 7152 6750 "/>
    <n v="184.4"/>
    <n v="50000"/>
    <n v="50000"/>
  </r>
  <r>
    <s v="FB2DE0SO8WX4"/>
    <s v="Barbara Martinez"/>
    <s v="Flats"/>
    <x v="0"/>
    <x v="0"/>
    <x v="2"/>
    <x v="55"/>
    <s v="5053 0324 4335 5207 3124 "/>
    <n v="92.2"/>
    <n v="25000"/>
    <n v="25000"/>
  </r>
  <r>
    <s v="FBGCWPJ7PQI1"/>
    <s v="Barbara Martinez"/>
    <s v="Flats"/>
    <x v="0"/>
    <x v="0"/>
    <x v="2"/>
    <x v="55"/>
    <s v="7243 9851 7811 3723 4289 "/>
    <n v="147.5"/>
    <n v="40000"/>
    <n v="40000"/>
  </r>
  <r>
    <s v="FBX1KHA11ZQ5"/>
    <s v="Richard Garcia"/>
    <s v="Flats"/>
    <x v="3"/>
    <x v="36"/>
    <x v="2"/>
    <x v="56"/>
    <s v="0833 2044 8930 5119 2976 "/>
    <n v="221.3"/>
    <n v="60000"/>
    <n v="60000"/>
  </r>
  <r>
    <s v="FB9Q8IUNA2CX"/>
    <s v="Anthony Lopez"/>
    <s v="Flats"/>
    <x v="2"/>
    <x v="25"/>
    <x v="2"/>
    <x v="56"/>
    <s v="2671 8015 1177 2794 9816 "/>
    <n v="221.3"/>
    <n v="60000"/>
    <n v="60000"/>
  </r>
  <r>
    <s v="FBRISKAPRSV2"/>
    <s v="Lisa Clark"/>
    <s v="Flats"/>
    <x v="3"/>
    <x v="14"/>
    <x v="2"/>
    <x v="56"/>
    <s v="7042 5146 7593 0374 6889 "/>
    <n v="147.5"/>
    <n v="40000"/>
    <n v="40000"/>
  </r>
  <r>
    <s v="FB488Q2ZU8J3"/>
    <s v="Block D Common Area"/>
    <s v="Office"/>
    <x v="3"/>
    <x v="1"/>
    <x v="2"/>
    <x v="56"/>
    <s v="3303 2887 9704 4161 5757 "/>
    <n v="184.4"/>
    <n v="50000"/>
    <n v="50000"/>
  </r>
  <r>
    <s v="FBS3R128KPRY"/>
    <s v="Dorothy Thomas"/>
    <s v="Flats"/>
    <x v="0"/>
    <x v="37"/>
    <x v="2"/>
    <x v="57"/>
    <s v="5011 5655 3725 1781 6819 "/>
    <n v="184.4"/>
    <n v="50000"/>
    <n v="50000"/>
  </r>
  <r>
    <s v="FBCV802F3NLG"/>
    <s v="Sarah Wilson"/>
    <s v="Flats"/>
    <x v="3"/>
    <x v="34"/>
    <x v="2"/>
    <x v="57"/>
    <s v="2973 6056 4646 8602 9444 "/>
    <n v="36.9"/>
    <n v="10000"/>
    <n v="10000"/>
  </r>
  <r>
    <s v="FB808FWXK8ZP"/>
    <s v="Power House Common Area Area"/>
    <s v="Office"/>
    <x v="1"/>
    <x v="1"/>
    <x v="2"/>
    <x v="57"/>
    <s v="4462 8480 2987 6615 5854 "/>
    <n v="368.8"/>
    <n v="100000"/>
    <n v="100000"/>
  </r>
  <r>
    <s v="FB8CIGTKJLFB"/>
    <s v="Robert Robinson"/>
    <s v="Flats"/>
    <x v="0"/>
    <x v="30"/>
    <x v="2"/>
    <x v="57"/>
    <s v="0487 4434 0599 6310 9607 "/>
    <n v="147.5"/>
    <n v="40000"/>
    <n v="40000"/>
  </r>
  <r>
    <s v="FBLX7BFAH20Q"/>
    <s v="Donald Jones"/>
    <s v="Flats"/>
    <x v="0"/>
    <x v="10"/>
    <x v="2"/>
    <x v="58"/>
    <s v="3963 7018 0721 2371 7175 "/>
    <n v="405.7"/>
    <n v="110000"/>
    <n v="110000"/>
  </r>
  <r>
    <s v="FBW28613C8RU"/>
    <s v="Jennifer Robinson"/>
    <s v="Terrace"/>
    <x v="7"/>
    <x v="35"/>
    <x v="2"/>
    <x v="58"/>
    <s v="1948 7401 1731 0616 5281 "/>
    <n v="295"/>
    <n v="80000"/>
    <n v="80000"/>
  </r>
  <r>
    <s v="FBFUBUCDUHUP"/>
    <s v="Sarah Wilson"/>
    <s v="Flats"/>
    <x v="3"/>
    <x v="34"/>
    <x v="2"/>
    <x v="58"/>
    <s v="2863 5720 5220 1363 8673 "/>
    <n v="55.3"/>
    <n v="15000"/>
    <n v="15000"/>
  </r>
  <r>
    <s v="FBLFXP00EZZE"/>
    <s v="Thomas Sanchez"/>
    <s v="Flats"/>
    <x v="0"/>
    <x v="26"/>
    <x v="2"/>
    <x v="58"/>
    <s v="3277 3747 9193 6642 3224 "/>
    <n v="73.8"/>
    <n v="20000"/>
    <n v="20000"/>
  </r>
  <r>
    <s v="FBEM53SQTJ2H"/>
    <s v="Karen Rodriguez"/>
    <s v="Terrace"/>
    <x v="7"/>
    <x v="13"/>
    <x v="2"/>
    <x v="232"/>
    <s v="4910 5409 7640 6265 5689 "/>
    <n v="405.6"/>
    <n v="110000"/>
    <n v="110000"/>
  </r>
  <r>
    <s v="FBA79IHVKUJ4"/>
    <s v="Michelle Wilson"/>
    <s v="Flats"/>
    <x v="2"/>
    <x v="18"/>
    <x v="2"/>
    <x v="59"/>
    <s v="2467 6328 0419 0248 4239 "/>
    <n v="368.8"/>
    <n v="100000"/>
    <n v="100000"/>
  </r>
  <r>
    <s v="FB0QKQT2CC9W"/>
    <s v="Paul Perez"/>
    <s v="Flats"/>
    <x v="3"/>
    <x v="16"/>
    <x v="2"/>
    <x v="59"/>
    <s v="6816 0504 4098 5416 5789 "/>
    <n v="110.6"/>
    <n v="30000"/>
    <n v="30000"/>
  </r>
  <r>
    <s v="FBD87MBLAF9G"/>
    <s v="Betty Lopez"/>
    <s v="Flats"/>
    <x v="4"/>
    <x v="27"/>
    <x v="2"/>
    <x v="59"/>
    <s v="4162 4352 0448 5301 2807 "/>
    <n v="295"/>
    <n v="80000"/>
    <n v="80000"/>
  </r>
  <r>
    <s v="FB5S4XRRYK4R"/>
    <s v="Michael Wright"/>
    <s v="Flats"/>
    <x v="3"/>
    <x v="9"/>
    <x v="2"/>
    <x v="59"/>
    <s v="0872 8202 2235 3907 4619 "/>
    <n v="295"/>
    <n v="80000"/>
    <n v="80000"/>
  </r>
  <r>
    <s v="FB5TDXG3UFYZ"/>
    <s v="Susan Nguyen"/>
    <s v="Flats"/>
    <x v="3"/>
    <x v="14"/>
    <x v="2"/>
    <x v="59"/>
    <s v="4700 3961 7762 0537 0606 "/>
    <n v="184.4"/>
    <n v="50000"/>
    <n v="50000"/>
  </r>
  <r>
    <s v="FBUH35IMI1GN"/>
    <s v="Sarah Wilson"/>
    <s v="Flats"/>
    <x v="3"/>
    <x v="34"/>
    <x v="2"/>
    <x v="233"/>
    <s v="6198 6898 6107 0797 7858 "/>
    <n v="36.9"/>
    <n v="10000"/>
    <n v="10000"/>
  </r>
  <r>
    <s v="FB8QQ9XU8OQH"/>
    <s v="Sarah Wilson"/>
    <s v="Flats"/>
    <x v="3"/>
    <x v="34"/>
    <x v="2"/>
    <x v="233"/>
    <s v="0462 9428 6443 8959 7674 "/>
    <n v="36.9"/>
    <n v="10000"/>
    <n v="10000"/>
  </r>
  <r>
    <s v="FBNJXC6QDIRJ"/>
    <s v="Anthony Robinson"/>
    <s v="Flats"/>
    <x v="3"/>
    <x v="7"/>
    <x v="2"/>
    <x v="60"/>
    <s v="4748 2841 7885 6823 4516 "/>
    <n v="221.2"/>
    <n v="60000"/>
    <n v="60000"/>
  </r>
  <r>
    <s v="FBFOTA3HZ8HR"/>
    <s v="Barbara Ramirez"/>
    <s v="Flats"/>
    <x v="4"/>
    <x v="21"/>
    <x v="2"/>
    <x v="60"/>
    <s v="3195 8625 6817 3350 5369 "/>
    <n v="73.8"/>
    <n v="20000"/>
    <n v="20000"/>
  </r>
  <r>
    <s v="FBOGULVQ6CTI"/>
    <s v="Patricia Williams"/>
    <s v="Flats"/>
    <x v="2"/>
    <x v="2"/>
    <x v="2"/>
    <x v="60"/>
    <s v="5308 0176 0679 1564 8253 "/>
    <n v="129"/>
    <n v="35000"/>
    <n v="35000"/>
  </r>
  <r>
    <s v="FBI71KZ28NHU"/>
    <s v="Donna Torres"/>
    <s v="Flats"/>
    <x v="3"/>
    <x v="8"/>
    <x v="2"/>
    <x v="61"/>
    <s v="0367 2344 8945 0037 9393 "/>
    <n v="184.4"/>
    <n v="50000"/>
    <n v="50000"/>
  </r>
  <r>
    <s v="FBFZWABHXKDH"/>
    <s v="Joshua Harris"/>
    <s v="Terrace"/>
    <x v="7"/>
    <x v="12"/>
    <x v="2"/>
    <x v="62"/>
    <s v="0772 9476 3165 0493 8837 "/>
    <n v="184.4"/>
    <n v="50000"/>
    <n v="50000"/>
  </r>
  <r>
    <s v="FB420TZLAOTS"/>
    <s v="Block C Common Area"/>
    <s v="Office"/>
    <x v="0"/>
    <x v="1"/>
    <x v="2"/>
    <x v="62"/>
    <s v="1630 8514 0503 7478 0736 "/>
    <n v="184.4"/>
    <n v="50000"/>
    <n v="50000"/>
  </r>
  <r>
    <s v="FBUMCCZDSXZM"/>
    <s v="Block B Common Area"/>
    <s v="Office"/>
    <x v="2"/>
    <x v="1"/>
    <x v="2"/>
    <x v="62"/>
    <s v="2263 3921 0405 4286 3707 "/>
    <n v="184.4"/>
    <n v="50000"/>
    <n v="50000"/>
  </r>
  <r>
    <s v="FBB0CNC5EMLS"/>
    <s v="Power House Common Area Area"/>
    <s v="Office"/>
    <x v="1"/>
    <x v="1"/>
    <x v="2"/>
    <x v="62"/>
    <s v="4140 8110 4305 2272 8429 "/>
    <n v="368.8"/>
    <n v="100000"/>
    <n v="100000"/>
  </r>
  <r>
    <s v="FBQWR9FC8WLN"/>
    <s v="Robert Walker"/>
    <s v="Flats"/>
    <x v="2"/>
    <x v="39"/>
    <x v="2"/>
    <x v="62"/>
    <s v="4575 9178 9602 0068 8433 "/>
    <n v="553.1"/>
    <n v="150000"/>
    <n v="150000"/>
  </r>
  <r>
    <s v="FBRPNV6BG5H8"/>
    <s v="Anthony Lopez"/>
    <s v="Flats"/>
    <x v="2"/>
    <x v="25"/>
    <x v="2"/>
    <x v="63"/>
    <s v="0146 9471 7532 6194 4175 "/>
    <n v="73.7"/>
    <n v="20000"/>
    <n v="20000"/>
  </r>
  <r>
    <s v="FBYL3NPULDTL"/>
    <s v="Thomas Sanchez"/>
    <s v="Flats"/>
    <x v="0"/>
    <x v="26"/>
    <x v="2"/>
    <x v="63"/>
    <s v="0038 0149 1328 1898 7088 "/>
    <n v="73.7"/>
    <n v="20000"/>
    <n v="20000"/>
  </r>
  <r>
    <s v="FB8ES5C6CS1F"/>
    <s v="Emily Thomas"/>
    <s v="Flats"/>
    <x v="0"/>
    <x v="23"/>
    <x v="2"/>
    <x v="63"/>
    <s v="1538 9084 5714 2001 6776 "/>
    <n v="442.6"/>
    <n v="120000"/>
    <n v="120000"/>
  </r>
  <r>
    <s v="FB19I3A7OIBE"/>
    <s v="Patricia Williams"/>
    <s v="Flats"/>
    <x v="2"/>
    <x v="2"/>
    <x v="2"/>
    <x v="63"/>
    <s v="3090 3546 3399 7947 4012 "/>
    <n v="129.1"/>
    <n v="35000"/>
    <n v="35000"/>
  </r>
  <r>
    <s v="FBA4BO9MY0HN"/>
    <s v="Barbara Ramirez"/>
    <s v="Flats"/>
    <x v="4"/>
    <x v="21"/>
    <x v="2"/>
    <x v="63"/>
    <s v="1710 8357 5055 5036 4952 "/>
    <n v="77.400000000000006"/>
    <n v="21000"/>
    <n v="21000"/>
  </r>
  <r>
    <s v="FBCF8ENFBP1T"/>
    <s v="Thomas &amp; Jane Jackson"/>
    <s v="Flats"/>
    <x v="4"/>
    <x v="38"/>
    <x v="2"/>
    <x v="64"/>
    <s v="4129 1129 2683 7806 1852 "/>
    <n v="36.9"/>
    <n v="10000"/>
    <n v="10000"/>
  </r>
  <r>
    <s v="FB31K59W4CVV"/>
    <s v="Thomas &amp; Jane Jackson"/>
    <s v="Flats"/>
    <x v="4"/>
    <x v="38"/>
    <x v="2"/>
    <x v="64"/>
    <s v="4144 3485 1828 6428 9909 "/>
    <n v="166"/>
    <n v="45000"/>
    <n v="45000"/>
  </r>
  <r>
    <s v="FBYC11FMXO58"/>
    <s v="Sarah Wilson"/>
    <s v="Flats"/>
    <x v="3"/>
    <x v="34"/>
    <x v="2"/>
    <x v="65"/>
    <s v="0510 0881 2741 6284 2135 "/>
    <n v="36.799999999999997"/>
    <n v="10000"/>
    <n v="10000"/>
  </r>
  <r>
    <s v="FB1BWKSX8DU9"/>
    <s v="Robert Robinson"/>
    <s v="Flats"/>
    <x v="0"/>
    <x v="30"/>
    <x v="2"/>
    <x v="65"/>
    <s v="3077 7269 9280 8243 6673 "/>
    <n v="36.9"/>
    <n v="10000"/>
    <n v="10000"/>
  </r>
  <r>
    <s v="FB1U3RI91XR9"/>
    <s v="Security Utilities Common Area"/>
    <s v="Office"/>
    <x v="6"/>
    <x v="1"/>
    <x v="2"/>
    <x v="65"/>
    <s v="4083 9580 0910 4554 2546 "/>
    <n v="184.4"/>
    <n v="50000"/>
    <n v="50000"/>
  </r>
  <r>
    <s v="FBPV4N48SU3E"/>
    <s v="Block D Common Area"/>
    <s v="Office"/>
    <x v="3"/>
    <x v="1"/>
    <x v="2"/>
    <x v="65"/>
    <s v="1305 6971 8854 6158 3128 "/>
    <n v="184.4"/>
    <n v="50000"/>
    <n v="50000"/>
  </r>
  <r>
    <s v="FBTIPWI2D0IC"/>
    <s v="MANAGMENT Office"/>
    <s v="Office"/>
    <x v="5"/>
    <x v="5"/>
    <x v="2"/>
    <x v="65"/>
    <s v="2350 2704 9393 9728 7478 "/>
    <n v="73.7"/>
    <n v="20000"/>
    <n v="20000"/>
  </r>
  <r>
    <s v="FB13VS4F3W2C"/>
    <s v="Power House Common Area Area"/>
    <s v="Office"/>
    <x v="1"/>
    <x v="1"/>
    <x v="2"/>
    <x v="65"/>
    <s v="1071 7109 9274 5901 6885 "/>
    <n v="368.8"/>
    <n v="100000"/>
    <n v="100000"/>
  </r>
  <r>
    <s v="FBF1HH7XRIIX"/>
    <s v="Karen Allen"/>
    <s v="Pent House"/>
    <x v="3"/>
    <x v="28"/>
    <x v="2"/>
    <x v="66"/>
    <s v="3217 4045 6591 6481 8015 "/>
    <n v="147.5"/>
    <n v="40000"/>
    <n v="40000"/>
  </r>
  <r>
    <s v="FBN2M0RC8ZQO"/>
    <s v="Elizabeth Martin"/>
    <s v="Flats"/>
    <x v="4"/>
    <x v="29"/>
    <x v="2"/>
    <x v="66"/>
    <s v="3608 4280 5919 8964 0080 "/>
    <n v="921.9"/>
    <n v="250000"/>
    <n v="250000"/>
  </r>
  <r>
    <s v="FBGG6C9KD7SW"/>
    <s v="Donald Jones"/>
    <s v="Flats"/>
    <x v="0"/>
    <x v="10"/>
    <x v="2"/>
    <x v="66"/>
    <s v="4467 0025 1357 4399 7632 "/>
    <n v="250.7"/>
    <n v="68000"/>
    <n v="68000"/>
  </r>
  <r>
    <s v="FBM2I7PE56C9"/>
    <s v="Joshua Harris"/>
    <s v="Terrace"/>
    <x v="7"/>
    <x v="12"/>
    <x v="2"/>
    <x v="66"/>
    <s v="0524 4300 5953 4231 1671 "/>
    <n v="184.4"/>
    <n v="50000"/>
    <n v="50000"/>
  </r>
  <r>
    <s v="FBOHWW9TJ9P1"/>
    <s v="Paul Perez"/>
    <s v="Flats"/>
    <x v="3"/>
    <x v="16"/>
    <x v="2"/>
    <x v="67"/>
    <s v="5484 2062 0322 6828 8176 "/>
    <n v="236"/>
    <n v="64000"/>
    <n v="64000"/>
  </r>
  <r>
    <s v="FBOMOQ9SW63Q"/>
    <s v="Block D Common Area"/>
    <s v="Office"/>
    <x v="3"/>
    <x v="1"/>
    <x v="2"/>
    <x v="67"/>
    <s v="6801 0525 7549 5304 5852 "/>
    <n v="184.3"/>
    <n v="50000"/>
    <n v="50000"/>
  </r>
  <r>
    <s v="FBLH614VRVIG"/>
    <s v="Power House Common Area Area"/>
    <s v="Office"/>
    <x v="1"/>
    <x v="1"/>
    <x v="2"/>
    <x v="67"/>
    <s v="2059 2535 4966 2090 3080 "/>
    <n v="368.7"/>
    <n v="100000"/>
    <n v="100000"/>
  </r>
  <r>
    <s v="FBVX0T6712Y2"/>
    <s v="Lisa Clark"/>
    <s v="Flats"/>
    <x v="3"/>
    <x v="14"/>
    <x v="2"/>
    <x v="68"/>
    <s v="1890 8060 0696 7148 3205 "/>
    <n v="93.5"/>
    <n v="40000"/>
    <n v="40000"/>
  </r>
  <r>
    <s v="FB2M5U92MTG3"/>
    <s v="Sarah Wilson"/>
    <s v="Flats"/>
    <x v="3"/>
    <x v="34"/>
    <x v="2"/>
    <x v="68"/>
    <s v="2213 5905 7554 3064 2711 "/>
    <n v="23.4"/>
    <n v="10000"/>
    <n v="10000"/>
  </r>
  <r>
    <s v="FBO03001HTX9"/>
    <s v="Paul Garcia"/>
    <s v="Flats"/>
    <x v="3"/>
    <x v="11"/>
    <x v="2"/>
    <x v="69"/>
    <s v="1611 7729 5028 7680 0089 "/>
    <n v="280.5"/>
    <n v="120000"/>
    <n v="120000"/>
  </r>
  <r>
    <s v="FBZ6TZILRZ1W"/>
    <s v="Sarah Wilson"/>
    <s v="Flats"/>
    <x v="3"/>
    <x v="34"/>
    <x v="2"/>
    <x v="69"/>
    <s v="0391 7846 3219 5889 2691 "/>
    <n v="35.1"/>
    <n v="15000"/>
    <n v="15000"/>
  </r>
  <r>
    <s v="FBL5KKH1DBQH"/>
    <s v="Betty Lopez"/>
    <s v="Flats"/>
    <x v="4"/>
    <x v="27"/>
    <x v="2"/>
    <x v="70"/>
    <s v="1172 8389 3913 2637 6699 "/>
    <n v="36.5"/>
    <n v="10000"/>
    <n v="10000"/>
  </r>
  <r>
    <s v="FBPFEKCE9J6B"/>
    <s v="Williams Jef"/>
    <s v="Flats"/>
    <x v="4"/>
    <x v="3"/>
    <x v="2"/>
    <x v="70"/>
    <s v="6790 2873 4159 2776 7793 "/>
    <n v="911.9"/>
    <n v="250000"/>
    <n v="250000"/>
  </r>
  <r>
    <s v="FBZFCP8RLGW9"/>
    <s v="Richard Allen"/>
    <s v="Flats"/>
    <x v="2"/>
    <x v="6"/>
    <x v="2"/>
    <x v="70"/>
    <s v="3100 5387 2284 9907 1192 "/>
    <n v="40.1"/>
    <n v="11000"/>
    <n v="11000"/>
  </r>
  <r>
    <s v="FBR4ZTHNG6PI"/>
    <s v="Karen Rodriguez"/>
    <s v="Terrace"/>
    <x v="7"/>
    <x v="13"/>
    <x v="2"/>
    <x v="70"/>
    <s v="3184 0804 6399 3201 0538 "/>
    <n v="766.1"/>
    <n v="210000"/>
    <n v="210000"/>
  </r>
  <r>
    <s v="FBXO4FKGVL2O"/>
    <s v="Michelle Wilson"/>
    <s v="Flats"/>
    <x v="2"/>
    <x v="18"/>
    <x v="2"/>
    <x v="70"/>
    <s v="5133 9952 9323 4679 4025 "/>
    <n v="547.20000000000005"/>
    <n v="150000"/>
    <n v="150000"/>
  </r>
  <r>
    <s v="FBWW3M22FADM"/>
    <s v="Mark Rodriguez"/>
    <s v="Flats"/>
    <x v="2"/>
    <x v="22"/>
    <x v="2"/>
    <x v="71"/>
    <s v="7086 6092 9789 1666 5662 "/>
    <n v="72.900000000000006"/>
    <n v="20000"/>
    <n v="20000"/>
  </r>
  <r>
    <s v="FBMZEK9WBJ1E"/>
    <s v="Barbara Martinez"/>
    <s v="Flats"/>
    <x v="0"/>
    <x v="0"/>
    <x v="2"/>
    <x v="71"/>
    <s v="6732 4732 3420 3659 4250 "/>
    <n v="182.4"/>
    <n v="50000"/>
    <n v="50000"/>
  </r>
  <r>
    <s v="FBZX9W0L362O"/>
    <s v="Jennifer Robinson"/>
    <s v="Terrace"/>
    <x v="7"/>
    <x v="35"/>
    <x v="2"/>
    <x v="71"/>
    <s v="2421 8670 5538 7615 0961 "/>
    <n v="656.6"/>
    <n v="180000"/>
    <n v="180000"/>
  </r>
  <r>
    <s v="FBC7A913PVZ3"/>
    <s v="Susan Nguyen"/>
    <s v="Flats"/>
    <x v="3"/>
    <x v="14"/>
    <x v="2"/>
    <x v="71"/>
    <s v="5631 5891 2960 3914 9964 "/>
    <n v="547.20000000000005"/>
    <n v="150000"/>
    <n v="150000"/>
  </r>
  <r>
    <s v="FBW7LISQ8XO1"/>
    <s v="Daniel Ramirez"/>
    <s v="Flats"/>
    <x v="0"/>
    <x v="19"/>
    <x v="2"/>
    <x v="71"/>
    <s v="0505 3098 0412 0872 9778 "/>
    <n v="912"/>
    <n v="250000"/>
    <n v="250000"/>
  </r>
  <r>
    <s v="FB4KOT0S207U"/>
    <s v="Block A Common Area"/>
    <s v="Office"/>
    <x v="4"/>
    <x v="1"/>
    <x v="2"/>
    <x v="71"/>
    <s v="3582 0502 7401 8775 4887 "/>
    <n v="80.2"/>
    <n v="22000"/>
    <n v="22000"/>
  </r>
  <r>
    <s v="FBJ3F7JH076S"/>
    <s v="Barbara Martinez"/>
    <s v="Flats"/>
    <x v="0"/>
    <x v="0"/>
    <x v="2"/>
    <x v="71"/>
    <s v="6140 5757 2632 1221 3943 "/>
    <n v="145.9"/>
    <n v="40000"/>
    <n v="40000"/>
  </r>
  <r>
    <s v="FBRZ1XHCQNPA"/>
    <s v="Barbara Martinez"/>
    <s v="Flats"/>
    <x v="0"/>
    <x v="0"/>
    <x v="2"/>
    <x v="71"/>
    <s v="4671 0603 2913 1509 0219 "/>
    <n v="109.4"/>
    <n v="30000"/>
    <n v="30000"/>
  </r>
  <r>
    <s v="FBYB1G8V0VAR"/>
    <s v="Barbara Martinez"/>
    <s v="Flats"/>
    <x v="0"/>
    <x v="0"/>
    <x v="2"/>
    <x v="71"/>
    <s v="2220 0322 9274 2760 6392 "/>
    <n v="109.5"/>
    <n v="30000"/>
    <n v="30000"/>
  </r>
  <r>
    <s v="FB2V51NPCN44"/>
    <s v="Barbara Martinez"/>
    <s v="Flats"/>
    <x v="0"/>
    <x v="0"/>
    <x v="2"/>
    <x v="71"/>
    <s v="0706 2675 4906 0163 4779 "/>
    <n v="182.4"/>
    <n v="50000"/>
    <n v="50000"/>
  </r>
  <r>
    <s v="FBC31YC9VTLU"/>
    <s v="Anthony Robinson"/>
    <s v="Flats"/>
    <x v="3"/>
    <x v="7"/>
    <x v="2"/>
    <x v="71"/>
    <s v="0955 8817 9490 0986 3347 "/>
    <n v="364.8"/>
    <n v="100000"/>
    <n v="100000"/>
  </r>
  <r>
    <s v="FB89RYAVGM8O"/>
    <s v="Robert Walker"/>
    <s v="Flats"/>
    <x v="2"/>
    <x v="39"/>
    <x v="2"/>
    <x v="71"/>
    <s v="5190 7960 4507 4695 3776 "/>
    <n v="729.2"/>
    <n v="199900"/>
    <n v="199900"/>
  </r>
  <r>
    <s v="FBZJX2L69H0O"/>
    <s v="Robert Walker"/>
    <s v="Flats"/>
    <x v="2"/>
    <x v="39"/>
    <x v="2"/>
    <x v="71"/>
    <s v="0760 2227 5676 0737 9089 "/>
    <n v="502.4"/>
    <n v="137700"/>
    <n v="137700"/>
  </r>
  <r>
    <s v="FBLSODDY54PR"/>
    <s v="Patricia Williams"/>
    <s v="Flats"/>
    <x v="2"/>
    <x v="2"/>
    <x v="2"/>
    <x v="71"/>
    <s v="5183 9822 0429 1233 9056 "/>
    <n v="73"/>
    <n v="20000"/>
    <n v="20000"/>
  </r>
  <r>
    <s v="FB2EQBAV6LTC"/>
    <s v="Paul Perez"/>
    <s v="Flats"/>
    <x v="3"/>
    <x v="16"/>
    <x v="2"/>
    <x v="71"/>
    <s v="2846 4501 3651 9238 9209 "/>
    <n v="912"/>
    <n v="250000"/>
    <n v="250000"/>
  </r>
  <r>
    <s v="FB86PINKUPMJ"/>
    <s v="Power House Common Area Area"/>
    <s v="Office"/>
    <x v="1"/>
    <x v="1"/>
    <x v="2"/>
    <x v="71"/>
    <s v="5696 6450 8652 8564 3761 "/>
    <n v="364.8"/>
    <n v="100000"/>
    <n v="100000"/>
  </r>
  <r>
    <s v="FBSJNC08NGG5"/>
    <s v="Andrew Allen"/>
    <s v="Flats"/>
    <x v="2"/>
    <x v="4"/>
    <x v="2"/>
    <x v="72"/>
    <s v="3342 6808 6918 8839 3819 "/>
    <n v="584.29999999999995"/>
    <n v="250000"/>
    <n v="250000"/>
  </r>
  <r>
    <s v="FBD9ENODLOWR"/>
    <s v="Mark Rodriguez"/>
    <s v="Flats"/>
    <x v="2"/>
    <x v="22"/>
    <x v="2"/>
    <x v="72"/>
    <s v="6572 4638 5693 6158 9121 "/>
    <n v="233.7"/>
    <n v="100000"/>
    <n v="100000"/>
  </r>
  <r>
    <s v="FBTLPXF9WZZE"/>
    <s v="Barbara Ramirez"/>
    <s v="Flats"/>
    <x v="4"/>
    <x v="21"/>
    <x v="2"/>
    <x v="72"/>
    <s v="5679 0949 9154 4749 1947 "/>
    <n v="70.099999999999994"/>
    <n v="30000"/>
    <n v="30000"/>
  </r>
  <r>
    <s v="FBQEV2OC6SD1"/>
    <s v="Robert Robinson"/>
    <s v="Flats"/>
    <x v="0"/>
    <x v="30"/>
    <x v="2"/>
    <x v="234"/>
    <s v="1013 6025 6219 2570 2523 "/>
    <n v="116.9"/>
    <n v="50000"/>
    <n v="50000"/>
  </r>
  <r>
    <s v="FB1D39XAMLUQ"/>
    <s v="Block A Common Area"/>
    <s v="Office"/>
    <x v="4"/>
    <x v="1"/>
    <x v="2"/>
    <x v="234"/>
    <s v="6828 9612 3363 4137 0577 "/>
    <n v="116.9"/>
    <n v="50000"/>
    <n v="50000"/>
  </r>
  <r>
    <s v="FB4C5E1QD57C"/>
    <s v="Block B Common Area"/>
    <s v="Office"/>
    <x v="2"/>
    <x v="1"/>
    <x v="2"/>
    <x v="234"/>
    <s v="0037 4184 1356 8110 2968 "/>
    <n v="116.8"/>
    <n v="50000"/>
    <n v="50000"/>
  </r>
  <r>
    <s v="FBLK09HHI122"/>
    <s v="Block C Common Area"/>
    <s v="Office"/>
    <x v="0"/>
    <x v="1"/>
    <x v="2"/>
    <x v="234"/>
    <s v="3616 4754 8766 5681 4028 "/>
    <n v="116.8"/>
    <n v="50000"/>
    <n v="50000"/>
  </r>
  <r>
    <s v="FBY4B84X1SEL"/>
    <s v="Security Utilities Common Area"/>
    <s v="Office"/>
    <x v="6"/>
    <x v="1"/>
    <x v="2"/>
    <x v="234"/>
    <s v="1738 1194 6266 7380 8932 "/>
    <n v="116.8"/>
    <n v="50000"/>
    <n v="50000"/>
  </r>
  <r>
    <s v="FBDFNJUMQJ0P"/>
    <s v="Block D Common Area"/>
    <s v="Office"/>
    <x v="3"/>
    <x v="1"/>
    <x v="2"/>
    <x v="234"/>
    <s v="7313 9670 7517 7143 8261 "/>
    <n v="116.9"/>
    <n v="50000"/>
    <n v="50000"/>
  </r>
  <r>
    <s v="FBEZ0YSCPNU9"/>
    <s v="Power House Common Area Area"/>
    <s v="Office"/>
    <x v="1"/>
    <x v="1"/>
    <x v="2"/>
    <x v="234"/>
    <s v="7003 8756 5914 1191 5369 "/>
    <n v="233.7"/>
    <n v="100000"/>
    <n v="100000"/>
  </r>
  <r>
    <s v="FBADULLKOI88"/>
    <s v="MANAGMENT Office"/>
    <s v="Office"/>
    <x v="5"/>
    <x v="5"/>
    <x v="2"/>
    <x v="234"/>
    <s v="4381 2863 8365 1948 5225 "/>
    <n v="46.7"/>
    <n v="20000"/>
    <n v="20000"/>
  </r>
  <r>
    <s v="FBHEW435VGSC"/>
    <s v="Thomas Sanchez"/>
    <s v="Flats"/>
    <x v="0"/>
    <x v="26"/>
    <x v="2"/>
    <x v="235"/>
    <s v="5913 4106 3501 0765 9701 "/>
    <n v="46.7"/>
    <n v="20000"/>
    <n v="20000"/>
  </r>
  <r>
    <s v="FBHKAXMK1G27"/>
    <s v="Patricia Williams"/>
    <s v="Flats"/>
    <x v="2"/>
    <x v="2"/>
    <x v="2"/>
    <x v="235"/>
    <s v="4468 1718 2657 6312 1664 "/>
    <n v="58.5"/>
    <n v="25000"/>
    <n v="25000"/>
  </r>
  <r>
    <s v="FBSDZEP3AVAD"/>
    <s v="Joshua Harris"/>
    <s v="Terrace"/>
    <x v="7"/>
    <x v="12"/>
    <x v="2"/>
    <x v="235"/>
    <s v="4103 6692 3547 8282 1821 "/>
    <n v="116.8"/>
    <n v="50000"/>
    <n v="50000"/>
  </r>
  <r>
    <s v="FBO6Z23ZMRQM"/>
    <s v="Joshua Harris"/>
    <s v="Terrace"/>
    <x v="7"/>
    <x v="12"/>
    <x v="2"/>
    <x v="236"/>
    <s v="7067 8795 9131 7619 5592 "/>
    <n v="116.9"/>
    <n v="50000"/>
    <n v="50000"/>
  </r>
  <r>
    <s v="FBCXCPJZ9LOS"/>
    <s v="Power House Common Area Area"/>
    <s v="Office"/>
    <x v="1"/>
    <x v="1"/>
    <x v="2"/>
    <x v="236"/>
    <s v="3548 2855 5838 0414 8017 "/>
    <n v="233.8"/>
    <n v="100000"/>
    <n v="100000"/>
  </r>
  <r>
    <s v="FBL2M2VDBCKV"/>
    <s v="MANAGMENT Office"/>
    <s v="Office"/>
    <x v="5"/>
    <x v="5"/>
    <x v="2"/>
    <x v="236"/>
    <s v="3168 5261 5451 0828 4955 "/>
    <n v="46.8"/>
    <n v="20000"/>
    <n v="20000"/>
  </r>
  <r>
    <s v="FBJIXN7PRJN3"/>
    <s v="Massionette Area Construction"/>
    <s v="Office"/>
    <x v="8"/>
    <x v="20"/>
    <x v="2"/>
    <x v="73"/>
    <s v="6821 8824 5445 1137 4692 "/>
    <n v="112.2"/>
    <n v="48000"/>
    <n v="48000"/>
  </r>
  <r>
    <s v="FBO3JNMEDY9Q"/>
    <s v="Terrace Area Construction"/>
    <s v="Office"/>
    <x v="9"/>
    <x v="20"/>
    <x v="2"/>
    <x v="73"/>
    <s v="5718 6579 5081 7067 0267 "/>
    <n v="112.2"/>
    <n v="48000"/>
    <n v="48000"/>
  </r>
  <r>
    <s v="FBNIV6G5TKGQ"/>
    <s v="Patricia Williams"/>
    <s v="Flats"/>
    <x v="2"/>
    <x v="2"/>
    <x v="2"/>
    <x v="73"/>
    <s v="2350 4627 3855 6723 6559 "/>
    <n v="58.4"/>
    <n v="25000"/>
    <n v="25000"/>
  </r>
  <r>
    <s v="FBDCMEB1R7W0"/>
    <s v="Security Utilities Common Area"/>
    <s v="Office"/>
    <x v="6"/>
    <x v="1"/>
    <x v="2"/>
    <x v="73"/>
    <s v="3903 9600 7887 8677 8148 "/>
    <n v="116.9"/>
    <n v="50000"/>
    <n v="50000"/>
  </r>
  <r>
    <s v="FBSATFOELXRT"/>
    <s v="Block D Common Area"/>
    <s v="Office"/>
    <x v="3"/>
    <x v="1"/>
    <x v="2"/>
    <x v="73"/>
    <s v="4240 7189 1941 6847 7515 "/>
    <n v="233.7"/>
    <n v="100000"/>
    <n v="100000"/>
  </r>
  <r>
    <s v="FBOKF8STFH6N"/>
    <s v="Power House Common Area Area"/>
    <s v="Office"/>
    <x v="1"/>
    <x v="1"/>
    <x v="2"/>
    <x v="73"/>
    <s v="2001 5461 4792 8980 4798 "/>
    <n v="467.4"/>
    <n v="200000"/>
    <n v="200000"/>
  </r>
  <r>
    <s v="FBO8WWOO6KYT"/>
    <s v="Joshua Harris"/>
    <s v="Terrace"/>
    <x v="7"/>
    <x v="12"/>
    <x v="2"/>
    <x v="237"/>
    <s v="0516 3524 2826 9821 7789 "/>
    <n v="116.9"/>
    <n v="50000"/>
    <n v="50000"/>
  </r>
  <r>
    <s v="FBZNZED0726P"/>
    <s v="Sarah Wilson"/>
    <s v="Flats"/>
    <x v="3"/>
    <x v="34"/>
    <x v="2"/>
    <x v="237"/>
    <s v="1608 0836 6754 8572 4841 "/>
    <n v="35.1"/>
    <n v="15000"/>
    <n v="15000"/>
  </r>
  <r>
    <s v="FBNC2PKWAF88"/>
    <s v="Lisa Clark"/>
    <s v="Flats"/>
    <x v="3"/>
    <x v="14"/>
    <x v="2"/>
    <x v="237"/>
    <s v="0173 4997 4489 2678 1856 "/>
    <n v="93.5"/>
    <n v="40000"/>
    <n v="40000"/>
  </r>
  <r>
    <s v="FB71WSEKWUJL"/>
    <s v="Donna Torres"/>
    <s v="Flats"/>
    <x v="3"/>
    <x v="8"/>
    <x v="2"/>
    <x v="238"/>
    <s v="6823 6229 6680 6426 0075 "/>
    <n v="116.8"/>
    <n v="50000"/>
    <n v="50000"/>
  </r>
  <r>
    <s v="FBSXTV1MYW8R"/>
    <s v="Patricia Williams"/>
    <s v="Flats"/>
    <x v="2"/>
    <x v="2"/>
    <x v="2"/>
    <x v="74"/>
    <s v="2027 2998 3140 7072 0970 "/>
    <n v="68.900000000000006"/>
    <n v="29500"/>
    <n v="29500"/>
  </r>
  <r>
    <s v="FBKK8T96J759"/>
    <s v="MANAGMENT Office"/>
    <s v="Office"/>
    <x v="5"/>
    <x v="5"/>
    <x v="2"/>
    <x v="74"/>
    <s v="4060 8434 2492 3949 9716 "/>
    <n v="46.7"/>
    <n v="20000"/>
    <n v="20000"/>
  </r>
  <r>
    <s v="FB2ZVJU1TQW5"/>
    <s v="Block A Common Area"/>
    <s v="Office"/>
    <x v="4"/>
    <x v="1"/>
    <x v="2"/>
    <x v="239"/>
    <s v="5421 4352 1952 1515 9863 "/>
    <n v="116.8"/>
    <n v="50000"/>
    <n v="50000"/>
  </r>
  <r>
    <s v="FB9SCYE97TED"/>
    <s v="Block C Common Area"/>
    <s v="Office"/>
    <x v="0"/>
    <x v="1"/>
    <x v="2"/>
    <x v="239"/>
    <s v="0899 1834 7464 8296 0106 "/>
    <n v="116.9"/>
    <n v="50000"/>
    <n v="50000"/>
  </r>
  <r>
    <s v="FBG7X77ADPUF"/>
    <s v="Block D Common Area"/>
    <s v="Office"/>
    <x v="3"/>
    <x v="1"/>
    <x v="2"/>
    <x v="239"/>
    <s v="3910 1147 3119 7321 1209 "/>
    <n v="116.9"/>
    <n v="50000"/>
    <n v="50000"/>
  </r>
  <r>
    <s v="FBKX7OE2BS5R"/>
    <s v="Security Utilities Common Area"/>
    <s v="Office"/>
    <x v="6"/>
    <x v="1"/>
    <x v="2"/>
    <x v="239"/>
    <s v="7101 9882 8890 4649 6898 "/>
    <n v="116.8"/>
    <n v="50000"/>
    <n v="50000"/>
  </r>
  <r>
    <s v="FB4QLORGWDIV"/>
    <s v="Power House Common Area Area"/>
    <s v="Office"/>
    <x v="1"/>
    <x v="1"/>
    <x v="2"/>
    <x v="239"/>
    <s v="0438 2818 0936 8319 2728 "/>
    <n v="233.7"/>
    <n v="100000"/>
    <n v="100000"/>
  </r>
  <r>
    <s v="FB4QFSR8FY8S"/>
    <s v="Thomas Sanchez"/>
    <s v="Flats"/>
    <x v="0"/>
    <x v="26"/>
    <x v="2"/>
    <x v="239"/>
    <s v="5720 1671 9921 3390 0040 "/>
    <n v="116.9"/>
    <n v="50000"/>
    <n v="50000"/>
  </r>
  <r>
    <s v="FBTNIIYGRU9M"/>
    <s v="Sarah Wilson"/>
    <s v="Flats"/>
    <x v="3"/>
    <x v="34"/>
    <x v="2"/>
    <x v="239"/>
    <s v="5567 8734 6821 5390 2377 "/>
    <n v="23.3"/>
    <n v="10000"/>
    <n v="10000"/>
  </r>
  <r>
    <s v="FBYOF98XNH24"/>
    <s v="Richard Garcia"/>
    <s v="Flats"/>
    <x v="3"/>
    <x v="36"/>
    <x v="2"/>
    <x v="75"/>
    <s v="4982 3904 5952 1423 9095 "/>
    <n v="175.2"/>
    <n v="75000"/>
    <n v="75000"/>
  </r>
  <r>
    <s v="FB5D7OJ5QBZP"/>
    <s v="Michael Wright"/>
    <s v="Flats"/>
    <x v="3"/>
    <x v="9"/>
    <x v="2"/>
    <x v="75"/>
    <s v="1422 3359 1132 4632 5466 "/>
    <n v="187"/>
    <n v="80000"/>
    <n v="80000"/>
  </r>
  <r>
    <s v="FBRT1LABJIK9"/>
    <s v="Sarah Wilson"/>
    <s v="Flats"/>
    <x v="3"/>
    <x v="34"/>
    <x v="2"/>
    <x v="75"/>
    <s v="3821 0108 7523 9977 6516 "/>
    <n v="46.8"/>
    <n v="20000"/>
    <n v="20000"/>
  </r>
  <r>
    <s v="FBT3JUSOH6IQ"/>
    <s v="Dorothy Thomas"/>
    <s v="Flats"/>
    <x v="0"/>
    <x v="37"/>
    <x v="2"/>
    <x v="76"/>
    <s v="2928 9790 0008 2803 4245 "/>
    <n v="116.8"/>
    <n v="50000"/>
    <n v="50000"/>
  </r>
  <r>
    <s v="FBZND8VV5CQT"/>
    <s v="Joshua Harris"/>
    <s v="Terrace"/>
    <x v="7"/>
    <x v="12"/>
    <x v="2"/>
    <x v="76"/>
    <s v="6844 9951 7596 4362 5143 "/>
    <n v="58.4"/>
    <n v="25000"/>
    <n v="25000"/>
  </r>
  <r>
    <s v="FB938DMCKXVU"/>
    <s v="Power House Common Area Area"/>
    <s v="Office"/>
    <x v="1"/>
    <x v="1"/>
    <x v="2"/>
    <x v="76"/>
    <s v="5371 7864 9193 6764 7458 "/>
    <n v="233.7"/>
    <n v="100000"/>
    <n v="100000"/>
  </r>
  <r>
    <s v="FB388B80D2BE"/>
    <s v="MANAGMENT Office"/>
    <s v="Office"/>
    <x v="5"/>
    <x v="5"/>
    <x v="2"/>
    <x v="76"/>
    <s v="4748 2717 3687 5082 0408 "/>
    <n v="46.8"/>
    <n v="20000"/>
    <n v="20000"/>
  </r>
  <r>
    <s v="FBI91NWVE9JX"/>
    <s v="Robert Robinson"/>
    <s v="Flats"/>
    <x v="0"/>
    <x v="30"/>
    <x v="2"/>
    <x v="240"/>
    <s v="0652 8367 8794 5036 1087 "/>
    <n v="23.3"/>
    <n v="10000"/>
    <n v="10000"/>
  </r>
  <r>
    <s v="FBUAR1XYCHE7"/>
    <s v="Patricia Williams"/>
    <s v="Flats"/>
    <x v="2"/>
    <x v="2"/>
    <x v="2"/>
    <x v="240"/>
    <s v="0921 5624 0688 6356 3865 "/>
    <n v="70.099999999999994"/>
    <n v="30000"/>
    <n v="30000"/>
  </r>
  <r>
    <s v="FBMPO98HERWZ"/>
    <s v="Emily Thomas"/>
    <s v="Flats"/>
    <x v="0"/>
    <x v="23"/>
    <x v="2"/>
    <x v="77"/>
    <s v="6707 1355 2786 5493 5967 "/>
    <n v="350.5"/>
    <n v="150000"/>
    <n v="150000"/>
  </r>
  <r>
    <s v="FBANF2HJ63CY"/>
    <s v="Joshua Harris"/>
    <s v="Terrace"/>
    <x v="7"/>
    <x v="12"/>
    <x v="2"/>
    <x v="77"/>
    <s v="5656 8977 5611 5314 3110 "/>
    <n v="58.4"/>
    <n v="25000"/>
    <n v="25000"/>
  </r>
  <r>
    <s v="FBM5B9EQ45M2"/>
    <s v="Block B Common Area"/>
    <s v="Office"/>
    <x v="2"/>
    <x v="1"/>
    <x v="2"/>
    <x v="77"/>
    <s v="3475 7704 4886 1418 5116 "/>
    <n v="116.9"/>
    <n v="50000"/>
    <n v="50000"/>
  </r>
  <r>
    <s v="FBH30GIYNNVH"/>
    <s v="Block D Common Area"/>
    <s v="Office"/>
    <x v="3"/>
    <x v="1"/>
    <x v="2"/>
    <x v="77"/>
    <s v="5381 4645 3684 7538 1914 "/>
    <n v="116.8"/>
    <n v="50000"/>
    <n v="50000"/>
  </r>
  <r>
    <s v="FB8BZHDY2VDS"/>
    <s v="Power House Common Area Area"/>
    <s v="Office"/>
    <x v="1"/>
    <x v="1"/>
    <x v="2"/>
    <x v="77"/>
    <s v="3414 3546 2065 1229 1347 "/>
    <n v="233.8"/>
    <n v="100000"/>
    <n v="100000"/>
  </r>
  <r>
    <s v="FBKYIY8CJBPW"/>
    <s v="Donna Torres"/>
    <s v="Flats"/>
    <x v="3"/>
    <x v="8"/>
    <x v="2"/>
    <x v="241"/>
    <s v="5465 8219 2540 3331 5454 "/>
    <n v="128.6"/>
    <n v="55000"/>
    <n v="55000"/>
  </r>
  <r>
    <s v="FBEOIQMGIFZY"/>
    <s v="Joshua Harris"/>
    <s v="Terrace"/>
    <x v="7"/>
    <x v="12"/>
    <x v="2"/>
    <x v="241"/>
    <s v="4978 7445 5546 8014 2840 "/>
    <n v="58.4"/>
    <n v="25000"/>
    <n v="25000"/>
  </r>
  <r>
    <s v="FBZJAR8DPY5K"/>
    <s v="Robert Robinson"/>
    <s v="Flats"/>
    <x v="0"/>
    <x v="30"/>
    <x v="2"/>
    <x v="241"/>
    <s v="2008 3573 5897 3595 9954 "/>
    <n v="70.099999999999994"/>
    <n v="30000"/>
    <n v="30000"/>
  </r>
  <r>
    <s v="FBZY64BMDGRS"/>
    <s v="Sarah Wilson"/>
    <s v="Flats"/>
    <x v="3"/>
    <x v="34"/>
    <x v="2"/>
    <x v="242"/>
    <s v="0139 7575 7728 6193 6057 "/>
    <n v="70.099999999999994"/>
    <n v="30000"/>
    <n v="30000"/>
  </r>
  <r>
    <s v="FB91O46GFUSJ"/>
    <s v="Joshua Harris"/>
    <s v="Terrace"/>
    <x v="7"/>
    <x v="12"/>
    <x v="2"/>
    <x v="242"/>
    <s v="7208 9710 3629 9408 1154 "/>
    <n v="70.2"/>
    <n v="30000"/>
    <n v="30000"/>
  </r>
  <r>
    <s v="FBR05R0MMAN3"/>
    <s v="Block C Common Area"/>
    <s v="Office"/>
    <x v="0"/>
    <x v="1"/>
    <x v="2"/>
    <x v="242"/>
    <s v="1116 3881 4874 3844 3691 "/>
    <n v="116.8"/>
    <n v="50000"/>
    <n v="50000"/>
  </r>
  <r>
    <s v="FBNYU78JZB30"/>
    <s v="Block D Common Area"/>
    <s v="Office"/>
    <x v="3"/>
    <x v="1"/>
    <x v="2"/>
    <x v="242"/>
    <s v="0474 9617 7791 3999 6728 "/>
    <n v="116.9"/>
    <n v="50000"/>
    <n v="50000"/>
  </r>
  <r>
    <s v="FB83MNXR5ILO"/>
    <s v="Security Utilities Common Area"/>
    <s v="Office"/>
    <x v="6"/>
    <x v="1"/>
    <x v="2"/>
    <x v="242"/>
    <s v="2572 0890 9581 6341 1373 "/>
    <n v="116.9"/>
    <n v="50000"/>
    <n v="50000"/>
  </r>
  <r>
    <s v="FBLCRCG9I6P4"/>
    <s v="Power House Common Area Area"/>
    <s v="Office"/>
    <x v="1"/>
    <x v="1"/>
    <x v="2"/>
    <x v="242"/>
    <s v="1833 6587 0902 5185 9546 "/>
    <n v="233.7"/>
    <n v="100000"/>
    <n v="100000"/>
  </r>
  <r>
    <s v="FBF9DF31JKZM"/>
    <s v="MANAGMENT Office"/>
    <s v="Office"/>
    <x v="5"/>
    <x v="5"/>
    <x v="2"/>
    <x v="242"/>
    <s v="4386 3821 2897 5642 0212 "/>
    <n v="46.7"/>
    <n v="20000"/>
    <n v="20000"/>
  </r>
  <r>
    <s v="FB896JYVG5DU"/>
    <s v="Patricia Williams"/>
    <s v="Flats"/>
    <x v="2"/>
    <x v="2"/>
    <x v="2"/>
    <x v="242"/>
    <s v="7120 2917 0639 1162 8264 "/>
    <n v="105.2"/>
    <n v="45000"/>
    <n v="45000"/>
  </r>
  <r>
    <s v="FBT1TUBD7XKG"/>
    <s v="Patricia Williams"/>
    <s v="Flats"/>
    <x v="2"/>
    <x v="2"/>
    <x v="2"/>
    <x v="243"/>
    <s v="3153 4601 7803 3675 0227 "/>
    <n v="58.4"/>
    <n v="25000"/>
    <n v="25000"/>
  </r>
  <r>
    <s v="FBCNCTT9EE5Z"/>
    <s v="Block A Common Area"/>
    <s v="Office"/>
    <x v="4"/>
    <x v="1"/>
    <x v="2"/>
    <x v="243"/>
    <s v="4669 7570 4846 1722 8651 "/>
    <n v="116.9"/>
    <n v="50000"/>
    <n v="50000"/>
  </r>
  <r>
    <s v="FBG0LDMNAF28"/>
    <s v="Block D Common Area"/>
    <s v="Office"/>
    <x v="3"/>
    <x v="1"/>
    <x v="2"/>
    <x v="243"/>
    <s v="5448 3500 0032 4534 1551 "/>
    <n v="233.7"/>
    <n v="100000"/>
    <n v="100000"/>
  </r>
  <r>
    <s v="FBKD3XT1QZI9"/>
    <s v="Power House Common Area Area"/>
    <s v="Office"/>
    <x v="1"/>
    <x v="1"/>
    <x v="2"/>
    <x v="243"/>
    <s v="0922 3058 9477 8569 7020 "/>
    <n v="467.4"/>
    <n v="200000"/>
    <n v="200000"/>
  </r>
  <r>
    <s v="FBXLMWZQZPLO"/>
    <s v="Sarah Wilson"/>
    <s v="Flats"/>
    <x v="3"/>
    <x v="34"/>
    <x v="2"/>
    <x v="243"/>
    <s v="1304 6527 3727 5478 0828 "/>
    <n v="35.1"/>
    <n v="15000"/>
    <n v="15000"/>
  </r>
  <r>
    <s v="FB93IOT9S0GD"/>
    <s v="Lisa Clark"/>
    <s v="Flats"/>
    <x v="3"/>
    <x v="14"/>
    <x v="2"/>
    <x v="243"/>
    <s v="1560 0261 2446 1021 1497 "/>
    <n v="116.8"/>
    <n v="50000"/>
    <n v="50000"/>
  </r>
  <r>
    <s v="FBU459LMOT19"/>
    <s v="Barbara Ramirez"/>
    <s v="Flats"/>
    <x v="4"/>
    <x v="21"/>
    <x v="2"/>
    <x v="243"/>
    <s v="6318 1357 5659 3191 9596 "/>
    <n v="70.099999999999994"/>
    <n v="30000"/>
    <n v="30000"/>
  </r>
  <r>
    <s v="FB8383VTMZNQ"/>
    <s v="Joshua Harris"/>
    <s v="Terrace"/>
    <x v="7"/>
    <x v="12"/>
    <x v="2"/>
    <x v="78"/>
    <s v="1830 7789 5970 8292 7292 "/>
    <n v="58.4"/>
    <n v="25000"/>
    <n v="25000"/>
  </r>
  <r>
    <s v="FB8N2V8KOU8L"/>
    <s v="James Clark"/>
    <s v="Flats"/>
    <x v="4"/>
    <x v="33"/>
    <x v="2"/>
    <x v="79"/>
    <s v="2875 6146 2784 1592 1615 "/>
    <n v="350.5"/>
    <n v="150000"/>
    <n v="150000"/>
  </r>
  <r>
    <s v="FB21QLPTCW7R"/>
    <s v="Anthony Robinson"/>
    <s v="Flats"/>
    <x v="3"/>
    <x v="7"/>
    <x v="2"/>
    <x v="79"/>
    <s v="2082 6810 0470 7400 2708 "/>
    <n v="116.9"/>
    <n v="50000"/>
    <n v="50000"/>
  </r>
  <r>
    <s v="FBFNTTEUMCEG"/>
    <s v="Robert Robinson"/>
    <s v="Flats"/>
    <x v="0"/>
    <x v="30"/>
    <x v="2"/>
    <x v="80"/>
    <s v="0402 8223 0832 9518 1768 "/>
    <n v="93.5"/>
    <n v="40000"/>
    <n v="40000"/>
  </r>
  <r>
    <s v="FB6DVLRCGNDV"/>
    <s v="MANAGMENT Office"/>
    <s v="Office"/>
    <x v="5"/>
    <x v="5"/>
    <x v="2"/>
    <x v="80"/>
    <s v="2395 5259 8918 7865 9004 "/>
    <n v="116.9"/>
    <n v="50000"/>
    <n v="50000"/>
  </r>
  <r>
    <s v="FBSS1A07J6L8"/>
    <s v="Thomas Sanchez"/>
    <s v="Flats"/>
    <x v="0"/>
    <x v="26"/>
    <x v="2"/>
    <x v="80"/>
    <s v="2351 0687 5875 7428 4157 "/>
    <n v="58.4"/>
    <n v="25000"/>
    <n v="25000"/>
  </r>
  <r>
    <s v="FBAJ52EWPS3A"/>
    <s v="Joshua Harris"/>
    <s v="Terrace"/>
    <x v="7"/>
    <x v="12"/>
    <x v="2"/>
    <x v="80"/>
    <s v="6246 1000 8246 6370 7917 "/>
    <n v="58.4"/>
    <n v="25000"/>
    <n v="25000"/>
  </r>
  <r>
    <s v="FBX2PC8FUM70"/>
    <s v="Donna Torres"/>
    <s v="Flats"/>
    <x v="3"/>
    <x v="8"/>
    <x v="2"/>
    <x v="81"/>
    <s v="4453 9651 8028 4902 0557 "/>
    <n v="115.7"/>
    <n v="49500"/>
    <n v="49500"/>
  </r>
  <r>
    <s v="FBYVR9NPRIH7"/>
    <s v="Security Utilities Common Area"/>
    <s v="Office"/>
    <x v="6"/>
    <x v="1"/>
    <x v="2"/>
    <x v="81"/>
    <s v="2298 9219 9771 3257 2033 "/>
    <n v="233.7"/>
    <n v="100000"/>
    <n v="100000"/>
  </r>
  <r>
    <s v="FBZ0C8N7HVAX"/>
    <s v="Power House Common Area Area"/>
    <s v="Office"/>
    <x v="1"/>
    <x v="1"/>
    <x v="2"/>
    <x v="81"/>
    <s v="5151 8262 3119 2115 0290 "/>
    <n v="584.29999999999995"/>
    <n v="250000"/>
    <n v="250000"/>
  </r>
  <r>
    <s v="FB8EHQG0BYIW"/>
    <s v="Donald Jones"/>
    <s v="Flats"/>
    <x v="0"/>
    <x v="10"/>
    <x v="2"/>
    <x v="81"/>
    <s v="7149 0694 7574 0068 0188 "/>
    <n v="140.19999999999999"/>
    <n v="60000"/>
    <n v="60000"/>
  </r>
  <r>
    <s v="FB7Q9CIYX8Q1"/>
    <s v="Joshua Harris"/>
    <s v="Terrace"/>
    <x v="7"/>
    <x v="12"/>
    <x v="2"/>
    <x v="81"/>
    <s v="3604 0750 2588 0595 7847 "/>
    <n v="58.4"/>
    <n v="25000"/>
    <n v="25000"/>
  </r>
  <r>
    <s v="FBI9Y93MIN33"/>
    <s v="Karen Rodriguez"/>
    <s v="Terrace"/>
    <x v="7"/>
    <x v="13"/>
    <x v="2"/>
    <x v="82"/>
    <s v="3883 7954 4541 4882 6711 "/>
    <n v="467.4"/>
    <n v="200000"/>
    <n v="200000"/>
  </r>
  <r>
    <s v="FBPNXYXZ3FPM"/>
    <s v="Joshua Harris"/>
    <s v="Terrace"/>
    <x v="7"/>
    <x v="12"/>
    <x v="2"/>
    <x v="82"/>
    <s v="5014 4518 0032 0330 9852 "/>
    <n v="58.5"/>
    <n v="25000"/>
    <n v="25000"/>
  </r>
  <r>
    <s v="FBK5DANHEDUA"/>
    <s v="Dorothy Thomas"/>
    <s v="Flats"/>
    <x v="0"/>
    <x v="37"/>
    <x v="2"/>
    <x v="83"/>
    <s v="6960 5776 2772 3023 0301 "/>
    <n v="70.2"/>
    <n v="30000"/>
    <n v="30000"/>
  </r>
  <r>
    <s v="FBTVV1SV0YX7"/>
    <s v="Sarah Wilson"/>
    <s v="Flats"/>
    <x v="3"/>
    <x v="34"/>
    <x v="2"/>
    <x v="84"/>
    <s v="4469 7981 4353 9712 2785 "/>
    <n v="23.3"/>
    <n v="10000"/>
    <n v="10000"/>
  </r>
  <r>
    <s v="FB3Q1VWEQOC1"/>
    <s v="Block A Common Area"/>
    <s v="Office"/>
    <x v="4"/>
    <x v="1"/>
    <x v="2"/>
    <x v="84"/>
    <s v="2296 0860 4149 8813 9237 "/>
    <n v="116.8"/>
    <n v="50000"/>
    <n v="50000"/>
  </r>
  <r>
    <s v="FBZL5PK3HIIW"/>
    <s v="Block B Common Area"/>
    <s v="Office"/>
    <x v="2"/>
    <x v="1"/>
    <x v="2"/>
    <x v="84"/>
    <s v="1343 0185 9651 1523 4809 "/>
    <n v="116.8"/>
    <n v="50000"/>
    <n v="50000"/>
  </r>
  <r>
    <s v="FBH8LQ47AKNT"/>
    <s v="Block C Common Area"/>
    <s v="Office"/>
    <x v="0"/>
    <x v="1"/>
    <x v="2"/>
    <x v="84"/>
    <s v="5602 0270 9379 0751 4034 "/>
    <n v="116.9"/>
    <n v="50000"/>
    <n v="50000"/>
  </r>
  <r>
    <s v="FBWNDF9KXRLM"/>
    <s v="Block D Common Area"/>
    <s v="Office"/>
    <x v="3"/>
    <x v="1"/>
    <x v="2"/>
    <x v="84"/>
    <s v="2049 0308 5168 3002 4108 "/>
    <n v="233.7"/>
    <n v="100000"/>
    <n v="100000"/>
  </r>
  <r>
    <s v="FBCET6S9ADB5"/>
    <s v="Elizabeth Martin"/>
    <s v="Flats"/>
    <x v="4"/>
    <x v="29"/>
    <x v="2"/>
    <x v="84"/>
    <s v="2440 8881 2235 6428 0646 "/>
    <n v="584.29999999999995"/>
    <n v="250000"/>
    <n v="250000"/>
  </r>
  <r>
    <s v="FB4J34WM4SU1"/>
    <s v="Power House Common Area Area"/>
    <s v="Office"/>
    <x v="1"/>
    <x v="1"/>
    <x v="2"/>
    <x v="84"/>
    <s v="0941 7958 5727 4230 4767 "/>
    <n v="467.4"/>
    <n v="200000"/>
    <n v="200000"/>
  </r>
  <r>
    <s v="FB2WS7KWDHEK"/>
    <s v="Joshua Harris"/>
    <s v="Terrace"/>
    <x v="7"/>
    <x v="12"/>
    <x v="2"/>
    <x v="84"/>
    <s v="3450 3822 2640 8627 8896 "/>
    <n v="58.4"/>
    <n v="25000"/>
    <n v="25000"/>
  </r>
  <r>
    <s v="FBLZXIUG24FY"/>
    <s v="Patricia Williams"/>
    <s v="Flats"/>
    <x v="2"/>
    <x v="2"/>
    <x v="2"/>
    <x v="244"/>
    <s v="6949 0443 8199 3272 2818 "/>
    <n v="93.5"/>
    <n v="40000"/>
    <n v="40000"/>
  </r>
  <r>
    <s v="FB6DZZUSSYV6"/>
    <s v="Joshua Harris"/>
    <s v="Terrace"/>
    <x v="7"/>
    <x v="12"/>
    <x v="2"/>
    <x v="244"/>
    <s v="4536 9721 7352 9933 6325 "/>
    <n v="81.8"/>
    <n v="35000"/>
    <n v="35000"/>
  </r>
  <r>
    <s v="FB8E0VKZX4FV"/>
    <s v="Anthony Robinson"/>
    <s v="Flats"/>
    <x v="3"/>
    <x v="7"/>
    <x v="2"/>
    <x v="244"/>
    <s v="6136 4159 9981 2731 7419 "/>
    <n v="116.8"/>
    <n v="50000"/>
    <n v="50000"/>
  </r>
  <r>
    <s v="FBNK8ZYBYR23"/>
    <s v="Sarah Wilson"/>
    <s v="Flats"/>
    <x v="3"/>
    <x v="34"/>
    <x v="2"/>
    <x v="85"/>
    <s v="6462 2378 6789 6562 3727 "/>
    <n v="23.4"/>
    <n v="10000"/>
    <n v="10000"/>
  </r>
  <r>
    <s v="FBQBXMF3ISKO"/>
    <s v="Barbara Ramirez"/>
    <s v="Flats"/>
    <x v="4"/>
    <x v="21"/>
    <x v="2"/>
    <x v="85"/>
    <s v="1456 6211 0060 1970 7693 "/>
    <n v="51.4"/>
    <n v="22000"/>
    <n v="22000"/>
  </r>
  <r>
    <s v="FB0D36Z7AE6P"/>
    <s v="Thomas Sanchez"/>
    <s v="Flats"/>
    <x v="0"/>
    <x v="26"/>
    <x v="2"/>
    <x v="85"/>
    <s v="2698 8751 5191 8688 9949 "/>
    <n v="116.8"/>
    <n v="50000"/>
    <n v="50000"/>
  </r>
  <r>
    <s v="FB6AVGNBZM2W"/>
    <s v="Donna Torres"/>
    <s v="Flats"/>
    <x v="3"/>
    <x v="8"/>
    <x v="2"/>
    <x v="86"/>
    <s v="2911 2519 8631 6709 7916 "/>
    <n v="93.5"/>
    <n v="40000"/>
    <n v="40000"/>
  </r>
  <r>
    <s v="FB2E5YHWU9YB"/>
    <s v="Robert Robinson"/>
    <s v="Flats"/>
    <x v="0"/>
    <x v="30"/>
    <x v="2"/>
    <x v="86"/>
    <s v="1865 8703 3244 2944 7648 "/>
    <n v="70.099999999999994"/>
    <n v="30000"/>
    <n v="30000"/>
  </r>
  <r>
    <s v="FBOOJ5CQDI7I"/>
    <s v="Terrace Area Construction"/>
    <s v="Office"/>
    <x v="9"/>
    <x v="20"/>
    <x v="2"/>
    <x v="86"/>
    <s v="4165 1573 1593 4122 7280 "/>
    <n v="229"/>
    <n v="98000"/>
    <n v="98000"/>
  </r>
  <r>
    <s v="FBXMV1G4PROB"/>
    <s v="Massionette Area Construction"/>
    <s v="Office"/>
    <x v="8"/>
    <x v="20"/>
    <x v="2"/>
    <x v="86"/>
    <s v="1103 6227 8325 1969 7467 "/>
    <n v="229"/>
    <n v="98000"/>
    <n v="98000"/>
  </r>
  <r>
    <s v="FBDC5EEACGFP"/>
    <s v="MANAGMENT Office"/>
    <s v="Office"/>
    <x v="5"/>
    <x v="5"/>
    <x v="2"/>
    <x v="86"/>
    <s v="1116 5524 3070 9959 1505 "/>
    <n v="93.5"/>
    <n v="40000"/>
    <n v="40000"/>
  </r>
  <r>
    <s v="FBUDW9V8D0WI"/>
    <s v="Power House Common Area Area"/>
    <s v="Office"/>
    <x v="1"/>
    <x v="1"/>
    <x v="2"/>
    <x v="86"/>
    <s v="4899 5959 7531 4972 8534 "/>
    <n v="233.8"/>
    <n v="100000"/>
    <n v="100000"/>
  </r>
  <r>
    <s v="FBGTFGKAOXUN"/>
    <s v="Karen Allen"/>
    <s v="Pent House"/>
    <x v="3"/>
    <x v="28"/>
    <x v="2"/>
    <x v="245"/>
    <s v="3748 1873 7143 0506 9355 "/>
    <n v="233.7"/>
    <n v="100000"/>
    <n v="100000"/>
  </r>
  <r>
    <s v="FB9Q6BZ7BDL6"/>
    <s v="Sarah Wilson"/>
    <s v="Flats"/>
    <x v="3"/>
    <x v="34"/>
    <x v="2"/>
    <x v="245"/>
    <s v="4152 2072 6567 7291 7110 "/>
    <n v="35.1"/>
    <n v="15000"/>
    <n v="15000"/>
  </r>
  <r>
    <s v="FBYXT26OWJ7U"/>
    <s v="Lisa Clark"/>
    <s v="Flats"/>
    <x v="3"/>
    <x v="14"/>
    <x v="2"/>
    <x v="87"/>
    <s v="6275 2937 5261 6160 7599 "/>
    <n v="93.5"/>
    <n v="40000"/>
    <n v="40000"/>
  </r>
  <r>
    <s v="FBFUOM5BX8CB"/>
    <s v="Patricia Williams"/>
    <s v="Flats"/>
    <x v="2"/>
    <x v="2"/>
    <x v="2"/>
    <x v="88"/>
    <s v="5460 5044 9115 5804 4798 "/>
    <n v="93.5"/>
    <n v="40000"/>
    <n v="40000"/>
  </r>
  <r>
    <s v="FBU9W6760VW6"/>
    <s v="Joshua Harris"/>
    <s v="Terrace"/>
    <x v="7"/>
    <x v="12"/>
    <x v="2"/>
    <x v="88"/>
    <s v="4291 8900 2226 2766 6632 "/>
    <n v="58.4"/>
    <n v="25000"/>
    <n v="25000"/>
  </r>
  <r>
    <s v="FBC2ACVG0RQE"/>
    <s v="Emily Thomas"/>
    <s v="Flats"/>
    <x v="0"/>
    <x v="23"/>
    <x v="2"/>
    <x v="88"/>
    <s v="1647 0612 5720 6815 3530 "/>
    <n v="233.7"/>
    <n v="100000"/>
    <n v="100000"/>
  </r>
  <r>
    <s v="FBVIGHSR2JUK"/>
    <s v="Block D Common Area"/>
    <s v="Office"/>
    <x v="3"/>
    <x v="1"/>
    <x v="2"/>
    <x v="88"/>
    <s v="2117 0359 6106 0433 1627 "/>
    <n v="233.8"/>
    <n v="100000"/>
    <n v="100000"/>
  </r>
  <r>
    <s v="FB11IWJ33HR4"/>
    <s v="Power House Common Area Area"/>
    <s v="Office"/>
    <x v="1"/>
    <x v="1"/>
    <x v="2"/>
    <x v="88"/>
    <s v="4901 3436 6038 1375 7285 "/>
    <n v="584.20000000000005"/>
    <n v="250000"/>
    <n v="250000"/>
  </r>
  <r>
    <s v="FBOLBMW3LTW5"/>
    <s v="Sarah Wilson"/>
    <s v="Flats"/>
    <x v="3"/>
    <x v="34"/>
    <x v="2"/>
    <x v="246"/>
    <s v="6209 7939 8356 7351 2249 "/>
    <n v="23.3"/>
    <n v="10000"/>
    <n v="10000"/>
  </r>
  <r>
    <s v="FB1WQOL0HCBY"/>
    <s v="Anthony Robinson"/>
    <s v="Flats"/>
    <x v="3"/>
    <x v="7"/>
    <x v="2"/>
    <x v="246"/>
    <s v="0940 8898 4976 0041 9469 "/>
    <n v="116.9"/>
    <n v="50000"/>
    <n v="50000"/>
  </r>
  <r>
    <s v="FB0CKD6549WI"/>
    <s v="Richard Allen"/>
    <s v="Flats"/>
    <x v="2"/>
    <x v="6"/>
    <x v="2"/>
    <x v="89"/>
    <s v="5103 3800 7593 6144 2307 "/>
    <n v="279.10000000000002"/>
    <n v="119400"/>
    <n v="119400"/>
  </r>
  <r>
    <s v="FBOGR8AVAS8D"/>
    <s v="Joshua Harris"/>
    <s v="Terrace"/>
    <x v="7"/>
    <x v="12"/>
    <x v="2"/>
    <x v="89"/>
    <s v="4674 7796 3788 1791 8352 "/>
    <n v="58.4"/>
    <n v="25000"/>
    <n v="25000"/>
  </r>
  <r>
    <s v="FBSMJKIEPMSO"/>
    <s v="Sarah Wilson"/>
    <s v="Flats"/>
    <x v="3"/>
    <x v="34"/>
    <x v="2"/>
    <x v="247"/>
    <s v="5175 5610 1804 0901 5455 "/>
    <n v="23.4"/>
    <n v="10000"/>
    <n v="10000"/>
  </r>
  <r>
    <s v="FBDQUT23JU76"/>
    <s v="Barbara Ramirez"/>
    <s v="Flats"/>
    <x v="4"/>
    <x v="21"/>
    <x v="2"/>
    <x v="247"/>
    <s v="7057 5665 2534 7587 6404 "/>
    <n v="46.8"/>
    <n v="20000"/>
    <n v="20000"/>
  </r>
  <r>
    <s v="FB4SNTM79AE4"/>
    <s v="Joshua Harris"/>
    <s v="Terrace"/>
    <x v="7"/>
    <x v="12"/>
    <x v="2"/>
    <x v="247"/>
    <s v="3187 9966 0497 0035 9549 "/>
    <n v="81.8"/>
    <n v="35000"/>
    <n v="35000"/>
  </r>
  <r>
    <s v="FBJEZP8QIQ1Q"/>
    <s v="Robert Robinson"/>
    <s v="Flats"/>
    <x v="0"/>
    <x v="30"/>
    <x v="2"/>
    <x v="248"/>
    <s v="0526 4063 0396 6841 3016 "/>
    <n v="70.099999999999994"/>
    <n v="30000"/>
    <n v="30000"/>
  </r>
  <r>
    <s v="FB03YFILXA9P"/>
    <s v="Block A Common Area"/>
    <s v="Office"/>
    <x v="4"/>
    <x v="1"/>
    <x v="2"/>
    <x v="248"/>
    <s v="6253 0977 4683 8520 1092 "/>
    <n v="116.9"/>
    <n v="50000"/>
    <n v="50000"/>
  </r>
  <r>
    <s v="FBJUJ8KSDHWJ"/>
    <s v="Block B Common Area"/>
    <s v="Office"/>
    <x v="2"/>
    <x v="1"/>
    <x v="2"/>
    <x v="248"/>
    <s v="1477 1272 3679 1106 5201 "/>
    <n v="116.9"/>
    <n v="50000"/>
    <n v="50000"/>
  </r>
  <r>
    <s v="FB8LJ90J7YIK"/>
    <s v="Block C Common Area"/>
    <s v="Office"/>
    <x v="0"/>
    <x v="1"/>
    <x v="2"/>
    <x v="248"/>
    <s v="7122 6355 4112 0560 1936 "/>
    <n v="116.9"/>
    <n v="50000"/>
    <n v="50000"/>
  </r>
  <r>
    <s v="FB91DD06CKNP"/>
    <s v="Block D Common Area"/>
    <s v="Office"/>
    <x v="3"/>
    <x v="1"/>
    <x v="2"/>
    <x v="248"/>
    <s v="4561 9315 7715 9808 6890 "/>
    <n v="116.8"/>
    <n v="50000"/>
    <n v="50000"/>
  </r>
  <r>
    <s v="FBHPZCTJEZ8X"/>
    <s v="Security Utilities Common Area"/>
    <s v="Office"/>
    <x v="6"/>
    <x v="1"/>
    <x v="2"/>
    <x v="248"/>
    <s v="3165 2984 0208 3092 6506 "/>
    <n v="116.9"/>
    <n v="50000"/>
    <n v="50000"/>
  </r>
  <r>
    <s v="FBG8H6AJ17OB"/>
    <s v="Power House Common Area Area"/>
    <s v="Office"/>
    <x v="1"/>
    <x v="1"/>
    <x v="2"/>
    <x v="248"/>
    <s v="6332 1018 2539 5283 4857 "/>
    <n v="233.8"/>
    <n v="100000"/>
    <n v="100000"/>
  </r>
  <r>
    <s v="FBRJ2EXWYETD"/>
    <s v="Sarah Wilson"/>
    <s v="Flats"/>
    <x v="3"/>
    <x v="34"/>
    <x v="2"/>
    <x v="249"/>
    <s v="4465 8831 4029 4794 4343 "/>
    <n v="35.1"/>
    <n v="15000"/>
    <n v="15000"/>
  </r>
  <r>
    <s v="FB0HIIE39URS"/>
    <s v="Joshua Harris"/>
    <s v="Terrace"/>
    <x v="7"/>
    <x v="12"/>
    <x v="2"/>
    <x v="249"/>
    <s v="2428 9507 0833 4840 5851 "/>
    <n v="81.8"/>
    <n v="35000"/>
    <n v="35000"/>
  </r>
  <r>
    <s v="FBOXMZ117WDY"/>
    <s v="Donald Jones"/>
    <s v="Flats"/>
    <x v="0"/>
    <x v="10"/>
    <x v="2"/>
    <x v="249"/>
    <s v="4115 4532 7556 4925 2666 "/>
    <n v="287.5"/>
    <n v="123000"/>
    <n v="123000"/>
  </r>
  <r>
    <s v="FB0YP7KZMA0W"/>
    <s v="Michael Wright"/>
    <s v="Flats"/>
    <x v="3"/>
    <x v="9"/>
    <x v="2"/>
    <x v="90"/>
    <s v="5978 9341 3412 7320 1165 "/>
    <n v="210.3"/>
    <n v="90000"/>
    <n v="90000"/>
  </r>
  <r>
    <s v="FBJ68QNTVNJN"/>
    <s v="Patricia Williams"/>
    <s v="Flats"/>
    <x v="2"/>
    <x v="2"/>
    <x v="2"/>
    <x v="90"/>
    <s v="4265 2200 9294 2677 7827 "/>
    <n v="53.8"/>
    <n v="23000"/>
    <n v="23000"/>
  </r>
  <r>
    <s v="FBPIAKUIMAWN"/>
    <s v="Donna Torres"/>
    <s v="Flats"/>
    <x v="3"/>
    <x v="8"/>
    <x v="2"/>
    <x v="90"/>
    <s v="3649 7969 3132 5279 5654 "/>
    <n v="93.4"/>
    <n v="40000"/>
    <n v="40000"/>
  </r>
  <r>
    <s v="FB8497YHPGX4"/>
    <s v="Terrace Area Construction"/>
    <s v="Office"/>
    <x v="9"/>
    <x v="20"/>
    <x v="2"/>
    <x v="90"/>
    <s v="1756 8196 1991 4218 0659 "/>
    <n v="231.4"/>
    <n v="99000"/>
    <n v="99000"/>
  </r>
  <r>
    <s v="FB4YBB07NGWX"/>
    <s v="Dorothy Thomas"/>
    <s v="Flats"/>
    <x v="0"/>
    <x v="37"/>
    <x v="2"/>
    <x v="90"/>
    <s v="1946 1957 0157 9136 3562 "/>
    <n v="32.700000000000003"/>
    <n v="14000"/>
    <n v="14000"/>
  </r>
  <r>
    <s v="FB1Z07YNE8PN"/>
    <s v="Karen Allen"/>
    <s v="Pent House"/>
    <x v="3"/>
    <x v="28"/>
    <x v="2"/>
    <x v="90"/>
    <s v="4893 8384 4140 8434 3151 "/>
    <n v="187"/>
    <n v="80000"/>
    <n v="80000"/>
  </r>
  <r>
    <s v="FBO21HH9RYTU"/>
    <s v="Mark Rodriguez"/>
    <s v="Flats"/>
    <x v="2"/>
    <x v="22"/>
    <x v="2"/>
    <x v="90"/>
    <s v="3165 3855 1588 0964 6048 "/>
    <n v="46.8"/>
    <n v="20000"/>
    <n v="20000"/>
  </r>
  <r>
    <s v="FBK7VMGSBEIT"/>
    <s v="Anthony Robinson"/>
    <s v="Flats"/>
    <x v="3"/>
    <x v="7"/>
    <x v="2"/>
    <x v="90"/>
    <s v="6581 8304 9990 9481 1778 "/>
    <n v="116.9"/>
    <n v="50000"/>
    <n v="50000"/>
  </r>
  <r>
    <s v="FBN9K222C8MQ"/>
    <s v="Thomas Sanchez"/>
    <s v="Flats"/>
    <x v="0"/>
    <x v="26"/>
    <x v="2"/>
    <x v="91"/>
    <s v="3838 6439 5757 6997 3352 "/>
    <n v="46.8"/>
    <n v="20000"/>
    <n v="20000"/>
  </r>
  <r>
    <s v="FBCJJN446049"/>
    <s v="Nancy Sanchez"/>
    <s v="Pent House"/>
    <x v="4"/>
    <x v="31"/>
    <x v="2"/>
    <x v="91"/>
    <s v="5826 9080 5787 7834 7189 "/>
    <n v="584.29999999999995"/>
    <n v="250000"/>
    <n v="250000"/>
  </r>
  <r>
    <s v="FBOK9NC9QPDS"/>
    <s v="Nancy Sanchez"/>
    <s v="Pent House"/>
    <x v="4"/>
    <x v="31"/>
    <x v="2"/>
    <x v="91"/>
    <s v="0436 9144 9058 4925 3604 "/>
    <n v="584.20000000000005"/>
    <n v="250000"/>
    <n v="250000"/>
  </r>
  <r>
    <s v="FBLOD8RN4BD6"/>
    <s v="MANAGMENT Office"/>
    <s v="Office"/>
    <x v="5"/>
    <x v="5"/>
    <x v="2"/>
    <x v="91"/>
    <s v="3935 2228 6697 2795 6770 "/>
    <n v="46.7"/>
    <n v="20000"/>
    <n v="20000"/>
  </r>
  <r>
    <s v="FBKXIABZ44P7"/>
    <s v="Sarah Wilson"/>
    <s v="Flats"/>
    <x v="3"/>
    <x v="34"/>
    <x v="2"/>
    <x v="92"/>
    <s v="2219 8277 7621 8195 2455 "/>
    <n v="23.3"/>
    <n v="10000"/>
    <n v="10000"/>
  </r>
  <r>
    <s v="FBBDAPXISRJA"/>
    <s v="Joshua Harris"/>
    <s v="Terrace"/>
    <x v="7"/>
    <x v="12"/>
    <x v="2"/>
    <x v="92"/>
    <s v="5183 8400 4973 3247 2047 "/>
    <n v="116.9"/>
    <n v="50000"/>
    <n v="50000"/>
  </r>
  <r>
    <s v="FB1KKWN6XT9U"/>
    <s v="Block C Common Area"/>
    <s v="Office"/>
    <x v="0"/>
    <x v="1"/>
    <x v="2"/>
    <x v="92"/>
    <s v="0743 3025 7922 6925 2748 "/>
    <n v="116.8"/>
    <n v="50000"/>
    <n v="50000"/>
  </r>
  <r>
    <s v="FBGDHIGTMGVA"/>
    <s v="Security Utilities Common Area"/>
    <s v="Office"/>
    <x v="6"/>
    <x v="1"/>
    <x v="2"/>
    <x v="92"/>
    <s v="3951 2236 2472 4942 3450 "/>
    <n v="233.7"/>
    <n v="100000"/>
    <n v="100000"/>
  </r>
  <r>
    <s v="FBG8U5F9VI7C"/>
    <s v="Block D Common Area"/>
    <s v="Office"/>
    <x v="3"/>
    <x v="1"/>
    <x v="2"/>
    <x v="92"/>
    <s v="5744 0222 7124 3330 7438 "/>
    <n v="233.7"/>
    <n v="100000"/>
    <n v="100000"/>
  </r>
  <r>
    <s v="FBW5UVMHYMOP"/>
    <s v="Power House Common Area Area"/>
    <s v="Office"/>
    <x v="1"/>
    <x v="1"/>
    <x v="2"/>
    <x v="92"/>
    <s v="0266 9905 9491 5167 3025 "/>
    <n v="584.29999999999995"/>
    <n v="250000"/>
    <n v="250000"/>
  </r>
  <r>
    <s v="FBNSQN85G3WT"/>
    <s v="Daniel Torres"/>
    <s v="Flats"/>
    <x v="4"/>
    <x v="24"/>
    <x v="2"/>
    <x v="92"/>
    <s v="2194 7075 2005 3658 2441 "/>
    <n v="233.7"/>
    <n v="100000"/>
    <n v="100000"/>
  </r>
  <r>
    <s v="FBK0U8M8S32I"/>
    <s v="Sarah Wilson"/>
    <s v="Flats"/>
    <x v="3"/>
    <x v="34"/>
    <x v="2"/>
    <x v="250"/>
    <s v="0563 2009 2784 9585 2297 "/>
    <n v="116.9"/>
    <n v="50000"/>
    <n v="50000"/>
  </r>
  <r>
    <s v="FB053HW9MMTJ"/>
    <s v="Michelle Wilson"/>
    <s v="Flats"/>
    <x v="2"/>
    <x v="18"/>
    <x v="2"/>
    <x v="250"/>
    <s v="5434 0375 4370 2773 6645 "/>
    <n v="150.69999999999999"/>
    <n v="64500"/>
    <n v="64500"/>
  </r>
  <r>
    <s v="FBZEJLBA9SG4"/>
    <s v="Block A Common Area"/>
    <s v="Office"/>
    <x v="4"/>
    <x v="1"/>
    <x v="2"/>
    <x v="251"/>
    <s v="6974 2372 0088 7597 1581 "/>
    <n v="116.9"/>
    <n v="50000"/>
    <n v="50000"/>
  </r>
  <r>
    <s v="FBNF3CA6S1NQ"/>
    <s v="Block B Common Area"/>
    <s v="Office"/>
    <x v="2"/>
    <x v="1"/>
    <x v="2"/>
    <x v="251"/>
    <s v="1061 8416 7355 8686 1737 "/>
    <n v="116.8"/>
    <n v="50000"/>
    <n v="50000"/>
  </r>
  <r>
    <s v="FBMHFU8YOBBJ"/>
    <s v="Block B Common Area"/>
    <s v="Office"/>
    <x v="2"/>
    <x v="1"/>
    <x v="2"/>
    <x v="251"/>
    <s v="5639 0285 1638 1442 5390 "/>
    <n v="116.9"/>
    <n v="50000"/>
    <n v="50000"/>
  </r>
  <r>
    <s v="FB128U5ZPDPS"/>
    <s v="MANAGMENT Office"/>
    <s v="Office"/>
    <x v="5"/>
    <x v="5"/>
    <x v="2"/>
    <x v="251"/>
    <s v="3897 9893 9793 3570 4886 "/>
    <n v="46.7"/>
    <n v="20000"/>
    <n v="20000"/>
  </r>
  <r>
    <s v="FBZ85IWFBUDA"/>
    <s v="Lisa Clark"/>
    <s v="Flats"/>
    <x v="3"/>
    <x v="14"/>
    <x v="2"/>
    <x v="251"/>
    <s v="0987 1071 5986 9223 6500 "/>
    <n v="116.9"/>
    <n v="50000"/>
    <n v="50000"/>
  </r>
  <r>
    <s v="FBUBTNB4M20X"/>
    <s v="Robert Robinson"/>
    <s v="Flats"/>
    <x v="0"/>
    <x v="30"/>
    <x v="2"/>
    <x v="93"/>
    <s v="1405 2515 4707 1547 6656 "/>
    <n v="46.8"/>
    <n v="20000"/>
    <n v="20000"/>
  </r>
  <r>
    <s v="FBMB88TGCG7U"/>
    <s v="Joshua Harris"/>
    <s v="Terrace"/>
    <x v="7"/>
    <x v="12"/>
    <x v="2"/>
    <x v="93"/>
    <s v="1328 0402 3779 2638 8017 "/>
    <n v="58.4"/>
    <n v="25000"/>
    <n v="25000"/>
  </r>
  <r>
    <s v="FBCEG6CL947V"/>
    <s v="Power House Common Area Area"/>
    <s v="Office"/>
    <x v="1"/>
    <x v="1"/>
    <x v="2"/>
    <x v="93"/>
    <s v="6484 6544 3887 5529 4554 "/>
    <n v="233.7"/>
    <n v="100000"/>
    <n v="100000"/>
  </r>
  <r>
    <s v="FBFUCOCWT24F"/>
    <s v="Joshua Harris"/>
    <s v="Terrace"/>
    <x v="7"/>
    <x v="12"/>
    <x v="2"/>
    <x v="252"/>
    <s v="1455 0530 0610 8405 4951 "/>
    <n v="58.4"/>
    <n v="25000"/>
    <n v="25000"/>
  </r>
  <r>
    <s v="FBLCV17HMD1Q"/>
    <s v="Anthony Robinson"/>
    <s v="Flats"/>
    <x v="3"/>
    <x v="7"/>
    <x v="2"/>
    <x v="252"/>
    <s v="2809 8251 2008 1384 8906 "/>
    <n v="116.8"/>
    <n v="50000"/>
    <n v="50000"/>
  </r>
  <r>
    <s v="FBZN9PFH8BN0"/>
    <s v="Dorothy Thomas"/>
    <s v="Flats"/>
    <x v="0"/>
    <x v="37"/>
    <x v="2"/>
    <x v="253"/>
    <s v="4098 6902 3316 9935 2288 "/>
    <n v="187.6"/>
    <n v="80300"/>
    <n v="80300"/>
  </r>
  <r>
    <s v="FBI6INMN5NRM"/>
    <s v="Patricia Williams"/>
    <s v="Flats"/>
    <x v="2"/>
    <x v="2"/>
    <x v="2"/>
    <x v="253"/>
    <s v="1106 5468 5512 8675 3744 "/>
    <n v="70.099999999999994"/>
    <n v="30000"/>
    <n v="30000"/>
  </r>
  <r>
    <s v="FB1KULTL6HBT"/>
    <s v="Thomas Sanchez"/>
    <s v="Flats"/>
    <x v="0"/>
    <x v="26"/>
    <x v="2"/>
    <x v="253"/>
    <s v="5795 5246 4013 9320 5077 "/>
    <n v="70.099999999999994"/>
    <n v="30000"/>
    <n v="30000"/>
  </r>
  <r>
    <s v="FBEV5L5Q7P6Y"/>
    <s v="Joshua Harris"/>
    <s v="Terrace"/>
    <x v="7"/>
    <x v="12"/>
    <x v="2"/>
    <x v="254"/>
    <s v="0849 8099 6077 3566 1908 "/>
    <n v="70.2"/>
    <n v="30000"/>
    <n v="30000"/>
  </r>
  <r>
    <s v="FBEQYJCPBS5N"/>
    <s v="Barbara Ramirez"/>
    <s v="Flats"/>
    <x v="4"/>
    <x v="21"/>
    <x v="2"/>
    <x v="254"/>
    <s v="7158 0874 2262 1043 6884 "/>
    <n v="46.7"/>
    <n v="20000"/>
    <n v="20000"/>
  </r>
  <r>
    <s v="FBAGDU36H54E"/>
    <s v="Power House Common Area Area"/>
    <s v="Office"/>
    <x v="1"/>
    <x v="1"/>
    <x v="2"/>
    <x v="254"/>
    <s v="1177 7386 9785 4962 7954 "/>
    <n v="116.8"/>
    <n v="50000"/>
    <n v="50000"/>
  </r>
  <r>
    <s v="FBN6LHOBUUHO"/>
    <s v="MANAGMENT Office"/>
    <s v="Office"/>
    <x v="5"/>
    <x v="5"/>
    <x v="2"/>
    <x v="254"/>
    <s v="6129 7293 2371 1727 3279 "/>
    <n v="93.5"/>
    <n v="40000"/>
    <n v="40000"/>
  </r>
  <r>
    <s v="FB5TDNKT5UL9"/>
    <s v="Block D Common Area"/>
    <s v="Office"/>
    <x v="3"/>
    <x v="1"/>
    <x v="2"/>
    <x v="254"/>
    <s v="1118 1837 1479 5976 2047 "/>
    <n v="116.9"/>
    <n v="50000"/>
    <n v="50000"/>
  </r>
  <r>
    <s v="FB68PZ75KVSL"/>
    <s v="Barbara Martinez"/>
    <s v="Flats"/>
    <x v="0"/>
    <x v="0"/>
    <x v="2"/>
    <x v="94"/>
    <s v="4430 3246 5342 5393 0360 "/>
    <n v="105.2"/>
    <n v="45000"/>
    <n v="45000"/>
  </r>
  <r>
    <s v="FBO19NLGFEUY"/>
    <s v="Karen Allen"/>
    <s v="Pent House"/>
    <x v="3"/>
    <x v="28"/>
    <x v="2"/>
    <x v="94"/>
    <s v="4899 4158 3193 0301 0655 "/>
    <n v="233.7"/>
    <n v="100000"/>
    <n v="100000"/>
  </r>
  <r>
    <s v="FBKYJ1TU1QT6"/>
    <s v="Donna Torres"/>
    <s v="Flats"/>
    <x v="3"/>
    <x v="8"/>
    <x v="2"/>
    <x v="94"/>
    <s v="0762 5679 1762 2752 9016 "/>
    <n v="116.9"/>
    <n v="50000"/>
    <n v="50000"/>
  </r>
  <r>
    <s v="FBX4RLJW88JR"/>
    <s v="Karen Allen"/>
    <s v="Pent House"/>
    <x v="3"/>
    <x v="28"/>
    <x v="2"/>
    <x v="94"/>
    <s v="6575 5544 2440 1159 0069 "/>
    <n v="58.4"/>
    <n v="25000"/>
    <n v="25000"/>
  </r>
  <r>
    <s v="FBFSEJ3W85QL"/>
    <s v="Robert Robinson"/>
    <s v="Flats"/>
    <x v="0"/>
    <x v="30"/>
    <x v="2"/>
    <x v="255"/>
    <s v="3042 7979 1174 4209 0822 "/>
    <n v="46.7"/>
    <n v="20000"/>
    <n v="20000"/>
  </r>
  <r>
    <s v="FBEVVHUNFFI9"/>
    <s v="Block D Common Area"/>
    <s v="Office"/>
    <x v="3"/>
    <x v="1"/>
    <x v="2"/>
    <x v="255"/>
    <s v="0202 1304 8827 7008 7622 "/>
    <n v="584.29999999999995"/>
    <n v="250000"/>
    <n v="250000"/>
  </r>
  <r>
    <s v="FBAPSLLSRXGC"/>
    <s v="Power House Common Area Area"/>
    <s v="Office"/>
    <x v="1"/>
    <x v="1"/>
    <x v="2"/>
    <x v="255"/>
    <s v="5116 5829 3300 9643 3408 "/>
    <n v="584.29999999999995"/>
    <n v="250000"/>
    <n v="250000"/>
  </r>
  <r>
    <s v="FB9P9IBW3HBD"/>
    <s v="Anthony Robinson"/>
    <s v="Flats"/>
    <x v="3"/>
    <x v="7"/>
    <x v="2"/>
    <x v="95"/>
    <s v="4243 0790 8651 7113 2588 "/>
    <n v="116.9"/>
    <n v="50000"/>
    <n v="50000"/>
  </r>
  <r>
    <s v="FBY16Q020EO8"/>
    <s v="Joshua Harris"/>
    <s v="Terrace"/>
    <x v="7"/>
    <x v="12"/>
    <x v="2"/>
    <x v="95"/>
    <s v="1425 8395 9161 6424 1532 "/>
    <n v="70.099999999999994"/>
    <n v="30000"/>
    <n v="30000"/>
  </r>
  <r>
    <s v="FB9EF471DH14"/>
    <s v="Karen Rodriguez"/>
    <s v="Terrace"/>
    <x v="7"/>
    <x v="13"/>
    <x v="2"/>
    <x v="95"/>
    <s v="4929 2154 3155 9722 1627 "/>
    <n v="233.8"/>
    <n v="100000"/>
    <n v="100000"/>
  </r>
  <r>
    <s v="FBMSMZ8BWER8"/>
    <s v="Thomas &amp; Jane Jackson"/>
    <s v="Flats"/>
    <x v="4"/>
    <x v="38"/>
    <x v="2"/>
    <x v="95"/>
    <s v="3593 2719 4156 1318 9145 "/>
    <n v="70.099999999999994"/>
    <n v="30000"/>
    <n v="30000"/>
  </r>
  <r>
    <s v="FBW71RZPE56I"/>
    <s v="Elizabeth Martin"/>
    <s v="Flats"/>
    <x v="4"/>
    <x v="29"/>
    <x v="2"/>
    <x v="96"/>
    <s v="5973 6059 6810 9953 6865 "/>
    <n v="584.29999999999995"/>
    <n v="250000"/>
    <n v="250000"/>
  </r>
  <r>
    <s v="FB27DJ683MWW"/>
    <s v="Donald Jones"/>
    <s v="Flats"/>
    <x v="0"/>
    <x v="10"/>
    <x v="2"/>
    <x v="96"/>
    <s v="6788 2083 8876 9896 4204 "/>
    <n v="327.2"/>
    <n v="140000"/>
    <n v="140000"/>
  </r>
  <r>
    <s v="FBUHZBOPKUWM"/>
    <s v="Michelle Wilson"/>
    <s v="Flats"/>
    <x v="2"/>
    <x v="18"/>
    <x v="2"/>
    <x v="96"/>
    <s v="4323 7082 2764 0848 8044 "/>
    <n v="93.5"/>
    <n v="40000"/>
    <n v="40000"/>
  </r>
  <r>
    <s v="FB6C1HD6TRE7"/>
    <s v="Block A Common Area"/>
    <s v="Office"/>
    <x v="4"/>
    <x v="1"/>
    <x v="2"/>
    <x v="96"/>
    <s v="3859 1693 9428 2644 9688 "/>
    <n v="233.7"/>
    <n v="100000"/>
    <n v="100000"/>
  </r>
  <r>
    <s v="FBHB4SLTWN89"/>
    <s v="Block C Common Area"/>
    <s v="Office"/>
    <x v="0"/>
    <x v="1"/>
    <x v="2"/>
    <x v="96"/>
    <s v="4158 7277 6487 5728 5980 "/>
    <n v="233.7"/>
    <n v="100000"/>
    <n v="100000"/>
  </r>
  <r>
    <s v="FB4JJZX9I0MA"/>
    <s v="Security Utilities Common Area"/>
    <s v="Office"/>
    <x v="6"/>
    <x v="1"/>
    <x v="2"/>
    <x v="96"/>
    <s v="4223 4599 1326 8558 7375 "/>
    <n v="233.7"/>
    <n v="100000"/>
    <n v="100000"/>
  </r>
  <r>
    <s v="FBAMY6YWE02N"/>
    <s v="Sarah Wilson"/>
    <s v="Flats"/>
    <x v="3"/>
    <x v="34"/>
    <x v="2"/>
    <x v="97"/>
    <s v="7137 1327 5773 2395 0381 "/>
    <n v="46.7"/>
    <n v="20000"/>
    <n v="20000"/>
  </r>
  <r>
    <s v="FBTQA0Q68WJP"/>
    <s v="Joshua Harris"/>
    <s v="Terrace"/>
    <x v="7"/>
    <x v="12"/>
    <x v="2"/>
    <x v="98"/>
    <s v="3251 4949 2194 2682 2304 "/>
    <n v="81.8"/>
    <n v="35000"/>
    <n v="35000"/>
  </r>
  <r>
    <s v="FBPSU2696MCI"/>
    <s v="Patricia Williams"/>
    <s v="Flats"/>
    <x v="2"/>
    <x v="2"/>
    <x v="2"/>
    <x v="98"/>
    <s v="4533 4222 4674 7092 7885 "/>
    <n v="93.5"/>
    <n v="40000"/>
    <n v="40000"/>
  </r>
  <r>
    <s v="FBX1GYNEDU3C"/>
    <s v="Thomas Sanchez"/>
    <s v="Flats"/>
    <x v="0"/>
    <x v="26"/>
    <x v="2"/>
    <x v="98"/>
    <s v="0966 0032 9137 5180 7809 "/>
    <n v="93.5"/>
    <n v="40000"/>
    <n v="40000"/>
  </r>
  <r>
    <s v="FBC3ED525AAY"/>
    <s v="Power House Common Area Area"/>
    <s v="Office"/>
    <x v="1"/>
    <x v="1"/>
    <x v="2"/>
    <x v="99"/>
    <s v="1642 6075 3083 7640 9986 "/>
    <n v="229.1"/>
    <n v="98000"/>
    <n v="98000"/>
  </r>
  <r>
    <s v="FBI2LHJP2OR8"/>
    <s v="Robert Walker"/>
    <s v="Flats"/>
    <x v="2"/>
    <x v="39"/>
    <x v="2"/>
    <x v="100"/>
    <s v="5005 9430 1843 4061 6278 "/>
    <n v="350.5"/>
    <n v="150000"/>
    <n v="150000"/>
  </r>
  <r>
    <s v="FBHBQMK2X8HD"/>
    <s v="Donald Jones"/>
    <s v="Flats"/>
    <x v="0"/>
    <x v="10"/>
    <x v="2"/>
    <x v="100"/>
    <s v="3679 8244 9198 0481 8858 "/>
    <n v="409"/>
    <n v="175000"/>
    <n v="175000"/>
  </r>
  <r>
    <s v="FBGMONZJX1QO"/>
    <s v="Karen Rodriguez"/>
    <s v="Terrace"/>
    <x v="7"/>
    <x v="13"/>
    <x v="2"/>
    <x v="100"/>
    <s v="7374 1024 5772 4373 4642 "/>
    <n v="584.29999999999995"/>
    <n v="250000"/>
    <n v="250000"/>
  </r>
  <r>
    <s v="FBWCFR8SF7N5"/>
    <s v="Anthony Robinson"/>
    <s v="Flats"/>
    <x v="3"/>
    <x v="7"/>
    <x v="2"/>
    <x v="100"/>
    <s v="6671 3925 2747 7811 2439 "/>
    <n v="251.2"/>
    <n v="107500"/>
    <n v="107500"/>
  </r>
  <r>
    <s v="FB7T5XCNDAN3"/>
    <s v="Robert Robinson"/>
    <s v="Flats"/>
    <x v="0"/>
    <x v="30"/>
    <x v="2"/>
    <x v="100"/>
    <s v="6614 6837 1906 9315 0833 "/>
    <n v="46.8"/>
    <n v="20000"/>
    <n v="20000"/>
  </r>
  <r>
    <s v="FBLVFAYK3SUB"/>
    <s v="Donna Torres"/>
    <s v="Flats"/>
    <x v="3"/>
    <x v="8"/>
    <x v="2"/>
    <x v="100"/>
    <s v="2149 9482 5685 0453 5467 "/>
    <n v="128.5"/>
    <n v="55000"/>
    <n v="55000"/>
  </r>
  <r>
    <s v="FB15W1PEZWXS"/>
    <s v="Barbara Martinez"/>
    <s v="Flats"/>
    <x v="0"/>
    <x v="0"/>
    <x v="2"/>
    <x v="100"/>
    <s v="2894 7896 5616 6176 2984 "/>
    <n v="46.7"/>
    <n v="20000"/>
    <n v="20000"/>
  </r>
  <r>
    <s v="FBXWRYRQ1Z3O"/>
    <s v="Barbara Ramirez"/>
    <s v="Flats"/>
    <x v="4"/>
    <x v="21"/>
    <x v="2"/>
    <x v="100"/>
    <s v="5241 0882 7408 6036 7460 "/>
    <n v="70.099999999999994"/>
    <n v="30000"/>
    <n v="30000"/>
  </r>
  <r>
    <s v="FBHURJOZBF5U"/>
    <s v="Emily Thomas"/>
    <s v="Flats"/>
    <x v="0"/>
    <x v="23"/>
    <x v="2"/>
    <x v="100"/>
    <s v="0119 9915 9861 5576 4571 "/>
    <n v="93.5"/>
    <n v="40000"/>
    <n v="40000"/>
  </r>
  <r>
    <s v="FBGAGJUQKB8D"/>
    <s v="Joshua Harris"/>
    <s v="Terrace"/>
    <x v="7"/>
    <x v="12"/>
    <x v="2"/>
    <x v="101"/>
    <s v="6807 7887 7895 5370 5097 "/>
    <n v="58.4"/>
    <n v="25000"/>
    <n v="25000"/>
  </r>
  <r>
    <s v="FBV8PHR4A9ZB"/>
    <s v="Sarah Wilson"/>
    <s v="Flats"/>
    <x v="3"/>
    <x v="34"/>
    <x v="2"/>
    <x v="101"/>
    <s v="6648 8076 2394 1361 8462 "/>
    <n v="70.099999999999994"/>
    <n v="30000"/>
    <n v="30000"/>
  </r>
  <r>
    <s v="FBX1TXJDU4GZ"/>
    <s v="Power House Common Area Area"/>
    <s v="Office"/>
    <x v="1"/>
    <x v="1"/>
    <x v="2"/>
    <x v="101"/>
    <s v="1880 6988 7861 5874 7590 "/>
    <n v="584.29999999999995"/>
    <n v="250000"/>
    <n v="250000"/>
  </r>
  <r>
    <s v="FBCHL9NCK421"/>
    <s v="MANAGMENT Office"/>
    <s v="Office"/>
    <x v="5"/>
    <x v="5"/>
    <x v="2"/>
    <x v="101"/>
    <s v="5141 2612 0434 6713 0654 "/>
    <n v="233.7"/>
    <n v="100000"/>
    <n v="100000"/>
  </r>
  <r>
    <s v="FBUJCY22BQLO"/>
    <s v="Joshua Harris"/>
    <s v="Terrace"/>
    <x v="7"/>
    <x v="12"/>
    <x v="2"/>
    <x v="102"/>
    <s v="1004 4552 3990 1372 0427 "/>
    <n v="81.8"/>
    <n v="35000"/>
    <n v="35000"/>
  </r>
  <r>
    <s v="FBI15GVZ0MMV"/>
    <s v="Lisa Clark"/>
    <s v="Flats"/>
    <x v="3"/>
    <x v="14"/>
    <x v="2"/>
    <x v="102"/>
    <s v="4471 9214 3476 8483 2692 "/>
    <n v="102.8"/>
    <n v="44000"/>
    <n v="44000"/>
  </r>
  <r>
    <s v="FB9VR1KCRK0S"/>
    <s v="Paul Garcia"/>
    <s v="Flats"/>
    <x v="3"/>
    <x v="11"/>
    <x v="2"/>
    <x v="256"/>
    <s v="2626 2504 6522 8374 1823 "/>
    <n v="475.6"/>
    <n v="203500"/>
    <n v="203500"/>
  </r>
  <r>
    <s v="FBDVF2XBPUL4"/>
    <s v="Barbara Martinez"/>
    <s v="Flats"/>
    <x v="0"/>
    <x v="0"/>
    <x v="2"/>
    <x v="257"/>
    <s v="3023 0660 9191 6291 8051 "/>
    <n v="46.8"/>
    <n v="20000"/>
    <n v="20000"/>
  </r>
  <r>
    <s v="FBWYZZN9ICZ2"/>
    <s v="Power House Common Area Area"/>
    <s v="Office"/>
    <x v="1"/>
    <x v="1"/>
    <x v="2"/>
    <x v="103"/>
    <s v="0456 9520 1577 7012 1151 "/>
    <n v="584.20000000000005"/>
    <n v="250000"/>
    <n v="250000"/>
  </r>
  <r>
    <s v="FBLXBG6LBPQ1"/>
    <s v="Karen Allen"/>
    <s v="Pent House"/>
    <x v="3"/>
    <x v="28"/>
    <x v="2"/>
    <x v="103"/>
    <s v="5615 6144 8902 0302 1044 "/>
    <n v="233.7"/>
    <n v="100000"/>
    <n v="100000"/>
  </r>
  <r>
    <s v="FBIQYE7RHD3P"/>
    <s v="Michelle Wilson"/>
    <s v="Flats"/>
    <x v="2"/>
    <x v="18"/>
    <x v="2"/>
    <x v="103"/>
    <s v="1904 8648 0427 2214 7111 "/>
    <n v="23.4"/>
    <n v="10000"/>
    <n v="10000"/>
  </r>
  <r>
    <s v="FBL54QBGSI48"/>
    <s v="Block D Common Area"/>
    <s v="Office"/>
    <x v="3"/>
    <x v="1"/>
    <x v="2"/>
    <x v="104"/>
    <s v="3448 1531 9743 2426 8494 "/>
    <n v="350.6"/>
    <n v="150000"/>
    <n v="150000"/>
  </r>
  <r>
    <s v="FBRFYC51J8LV"/>
    <s v="Jennifer Lewis"/>
    <s v="Terrace"/>
    <x v="7"/>
    <x v="17"/>
    <x v="2"/>
    <x v="104"/>
    <s v="3387 4890 4874 0413 1020 "/>
    <n v="233.7"/>
    <n v="100000"/>
    <n v="100000"/>
  </r>
  <r>
    <s v="FBSLXSLHAPBR"/>
    <s v="Joshua Harris"/>
    <s v="Terrace"/>
    <x v="7"/>
    <x v="12"/>
    <x v="2"/>
    <x v="104"/>
    <s v="1324 1912 5077 3468 2398 "/>
    <n v="116.9"/>
    <n v="50000"/>
    <n v="50000"/>
  </r>
  <r>
    <s v="FB2VDU78HREM"/>
    <s v="Barbara Martinez"/>
    <s v="Flats"/>
    <x v="0"/>
    <x v="0"/>
    <x v="2"/>
    <x v="219"/>
    <s v="3241 9663 9080 6749 6208 "/>
    <n v="46.7"/>
    <n v="20000"/>
    <n v="20000"/>
  </r>
  <r>
    <s v="FBZPVDDZU7I1"/>
    <s v="Thomas Sanchez"/>
    <s v="Flats"/>
    <x v="0"/>
    <x v="26"/>
    <x v="2"/>
    <x v="219"/>
    <s v="3676 6420 2611 5335 4713 "/>
    <n v="93.5"/>
    <n v="40000"/>
    <n v="40000"/>
  </r>
  <r>
    <s v="FBZU0YVYJU30"/>
    <s v="Sarah Wilson"/>
    <s v="Flats"/>
    <x v="3"/>
    <x v="34"/>
    <x v="2"/>
    <x v="219"/>
    <s v="2758 6796 6372 6915 2446 "/>
    <n v="23.4"/>
    <n v="10000"/>
    <n v="10000"/>
  </r>
  <r>
    <s v="FBNG19R9PUVN"/>
    <s v="Sarah Wilson"/>
    <s v="Flats"/>
    <x v="3"/>
    <x v="34"/>
    <x v="2"/>
    <x v="258"/>
    <s v="5885 6718 1738 6467 1710 "/>
    <n v="23.4"/>
    <n v="10000"/>
    <n v="10000"/>
  </r>
  <r>
    <s v="FBHRT7KIZPZ1"/>
    <s v="Michelle Wilson"/>
    <s v="Flats"/>
    <x v="2"/>
    <x v="18"/>
    <x v="2"/>
    <x v="258"/>
    <s v="2209 8713 7062 0940 8523 "/>
    <n v="116.8"/>
    <n v="50000"/>
    <n v="50000"/>
  </r>
  <r>
    <s v="FBQKC6KNJE0M"/>
    <s v="Patricia Williams"/>
    <s v="Flats"/>
    <x v="2"/>
    <x v="2"/>
    <x v="2"/>
    <x v="258"/>
    <s v="1714 6574 5788 0019 2713 "/>
    <n v="116.8"/>
    <n v="50000"/>
    <n v="50000"/>
  </r>
  <r>
    <s v="FB7DL5FBKMCX"/>
    <s v="Barbara Ramirez"/>
    <s v="Flats"/>
    <x v="4"/>
    <x v="21"/>
    <x v="2"/>
    <x v="258"/>
    <s v="1370 4012 9353 8525 6127 "/>
    <n v="46.8"/>
    <n v="20000"/>
    <n v="20000"/>
  </r>
  <r>
    <s v="FB54T79SQLVS"/>
    <s v="Security Utilities Common Area"/>
    <s v="Office"/>
    <x v="6"/>
    <x v="1"/>
    <x v="2"/>
    <x v="105"/>
    <s v="4454 2331 3497 9703 6719 "/>
    <n v="233.7"/>
    <n v="100000"/>
    <n v="100000"/>
  </r>
  <r>
    <s v="FBIULKX1PLIX"/>
    <s v="Joshua Harris"/>
    <s v="Terrace"/>
    <x v="7"/>
    <x v="12"/>
    <x v="2"/>
    <x v="105"/>
    <s v="1345 5502 5402 5688 9998 "/>
    <n v="81.8"/>
    <n v="35000"/>
    <n v="35000"/>
  </r>
  <r>
    <s v="FB45GV4G28WZ"/>
    <s v="Richard Allen"/>
    <s v="Flats"/>
    <x v="2"/>
    <x v="6"/>
    <x v="2"/>
    <x v="105"/>
    <s v="0277 7763 6138 5991 4290 "/>
    <n v="280.5"/>
    <n v="120000"/>
    <n v="120000"/>
  </r>
  <r>
    <s v="FBYGX7ODWD4A"/>
    <s v="Michael Wright"/>
    <s v="Flats"/>
    <x v="3"/>
    <x v="9"/>
    <x v="2"/>
    <x v="106"/>
    <s v="6049 1354 6702 9290 1011 "/>
    <n v="210.3"/>
    <n v="90000"/>
    <n v="90000"/>
  </r>
  <r>
    <s v="FB1087ZQTVS3"/>
    <s v="Barbara Martinez"/>
    <s v="Flats"/>
    <x v="0"/>
    <x v="0"/>
    <x v="2"/>
    <x v="106"/>
    <s v="5695 1238 5533 5266 6412 "/>
    <n v="51.4"/>
    <n v="22000"/>
    <n v="22000"/>
  </r>
  <r>
    <s v="FBMRGQDZNRGK"/>
    <s v="Block B Common Area"/>
    <s v="Office"/>
    <x v="2"/>
    <x v="1"/>
    <x v="2"/>
    <x v="106"/>
    <s v="1752 7309 5386 4302 0172 "/>
    <n v="233.7"/>
    <n v="100000"/>
    <n v="100000"/>
  </r>
  <r>
    <s v="FBRFGJNDR5P7"/>
    <s v="Power House Common Area Area"/>
    <s v="Office"/>
    <x v="1"/>
    <x v="1"/>
    <x v="2"/>
    <x v="106"/>
    <s v="2401 4426 8406 1371 8639 "/>
    <n v="584.29999999999995"/>
    <n v="250000"/>
    <n v="250000"/>
  </r>
  <r>
    <s v="FB9KAOGRLEGQ"/>
    <s v="Anthony Lopez"/>
    <s v="Flats"/>
    <x v="2"/>
    <x v="25"/>
    <x v="2"/>
    <x v="106"/>
    <s v="1890 5401 5735 1757 4854 "/>
    <n v="93.5"/>
    <n v="40000"/>
    <n v="40000"/>
  </r>
  <r>
    <s v="FB2QNAJM82OF"/>
    <s v="Elizabeth Martin"/>
    <s v="Flats"/>
    <x v="4"/>
    <x v="29"/>
    <x v="2"/>
    <x v="106"/>
    <s v="2128 5602 6551 3265 0090 "/>
    <n v="584.29999999999995"/>
    <n v="250000"/>
    <n v="250000"/>
  </r>
  <r>
    <s v="FBMFLFKA9UBG"/>
    <s v="Robert Robinson"/>
    <s v="Flats"/>
    <x v="0"/>
    <x v="30"/>
    <x v="2"/>
    <x v="107"/>
    <s v="6335 7699 0437 2601 6035 "/>
    <n v="46.7"/>
    <n v="20000"/>
    <n v="20000"/>
  </r>
  <r>
    <s v="FBRVUZ48LCPK"/>
    <s v="Richard Garcia"/>
    <s v="Flats"/>
    <x v="3"/>
    <x v="36"/>
    <x v="2"/>
    <x v="107"/>
    <s v="4679 0338 9000 7207 6670 "/>
    <n v="175.3"/>
    <n v="75000"/>
    <n v="75000"/>
  </r>
  <r>
    <s v="FBB7QN4JXFXF"/>
    <s v="Joshua Harris"/>
    <s v="Terrace"/>
    <x v="7"/>
    <x v="12"/>
    <x v="2"/>
    <x v="108"/>
    <s v="1205 6790 9557 6459 7189 "/>
    <n v="116.8"/>
    <n v="50000"/>
    <n v="50000"/>
  </r>
  <r>
    <s v="FBXGUKAKC6GG"/>
    <s v="Sarah Wilson"/>
    <s v="Flats"/>
    <x v="3"/>
    <x v="34"/>
    <x v="2"/>
    <x v="108"/>
    <s v="1498 2498 0811 3773 3670 "/>
    <n v="23.3"/>
    <n v="10000"/>
    <n v="10000"/>
  </r>
  <r>
    <s v="FBR2SY94AIHY"/>
    <s v="Patricia Williams"/>
    <s v="Flats"/>
    <x v="2"/>
    <x v="2"/>
    <x v="2"/>
    <x v="108"/>
    <s v="7220 3531 0025 4573 2314 "/>
    <n v="116.9"/>
    <n v="50000"/>
    <n v="50000"/>
  </r>
  <r>
    <s v="FBPE1L1G9B94"/>
    <s v="Barbara Martinez"/>
    <s v="Flats"/>
    <x v="0"/>
    <x v="0"/>
    <x v="2"/>
    <x v="259"/>
    <s v="0190 3309 0873 7923 4317 "/>
    <n v="51.5"/>
    <n v="22000"/>
    <n v="22000"/>
  </r>
  <r>
    <s v="FBG7TJVS54PP"/>
    <s v="Donna Torres"/>
    <s v="Flats"/>
    <x v="3"/>
    <x v="8"/>
    <x v="2"/>
    <x v="259"/>
    <s v="1313 9474 5860 4504 5182 "/>
    <n v="128.6"/>
    <n v="55000"/>
    <n v="55000"/>
  </r>
  <r>
    <s v="FBAITBWJEJ0N"/>
    <s v="Sarah Wilson"/>
    <s v="Flats"/>
    <x v="3"/>
    <x v="34"/>
    <x v="2"/>
    <x v="260"/>
    <s v="4872 5901 2982 4488 4539 "/>
    <n v="23.4"/>
    <n v="10000"/>
    <n v="10000"/>
  </r>
  <r>
    <s v="FBWYXRKWP65N"/>
    <s v="Lisa Clark"/>
    <s v="Flats"/>
    <x v="3"/>
    <x v="14"/>
    <x v="2"/>
    <x v="261"/>
    <s v="3333 8302 8102 0514 1981 "/>
    <n v="116.9"/>
    <n v="50000"/>
    <n v="50000"/>
  </r>
  <r>
    <s v="FBANKKJZU6E4"/>
    <s v="Anthony Robinson"/>
    <s v="Flats"/>
    <x v="3"/>
    <x v="7"/>
    <x v="2"/>
    <x v="261"/>
    <s v="5054 8389 6360 7659 8518 "/>
    <n v="251.3"/>
    <n v="107500"/>
    <n v="107500"/>
  </r>
  <r>
    <s v="FBAWA83S123Y"/>
    <s v="Block A Common Area"/>
    <s v="Office"/>
    <x v="4"/>
    <x v="1"/>
    <x v="2"/>
    <x v="261"/>
    <s v="3385 6786 0159 1290 2548 "/>
    <n v="116.8"/>
    <n v="50000"/>
    <n v="50000"/>
  </r>
  <r>
    <s v="FB3WHWS44DKN"/>
    <s v="Block C Common Area"/>
    <s v="Office"/>
    <x v="0"/>
    <x v="1"/>
    <x v="2"/>
    <x v="261"/>
    <s v="0392 4447 4118 2794 4852 "/>
    <n v="116.9"/>
    <n v="50000"/>
    <n v="50000"/>
  </r>
  <r>
    <s v="FB1K7FFSD2IE"/>
    <s v="Block D Common Area"/>
    <s v="Office"/>
    <x v="3"/>
    <x v="1"/>
    <x v="2"/>
    <x v="261"/>
    <s v="3716 8916 7813 7831 7286 "/>
    <n v="350.5"/>
    <n v="150000"/>
    <n v="150000"/>
  </r>
  <r>
    <s v="FBJOJ7POJMDI"/>
    <s v="Power House Common Area Area"/>
    <s v="Office"/>
    <x v="1"/>
    <x v="1"/>
    <x v="2"/>
    <x v="261"/>
    <s v="3906 6843 1725 5306 4210 "/>
    <n v="584.29999999999995"/>
    <n v="250000"/>
    <n v="250000"/>
  </r>
  <r>
    <s v="FBYLBIPJ1OZR"/>
    <s v="Susan Nguyen"/>
    <s v="Flats"/>
    <x v="3"/>
    <x v="14"/>
    <x v="2"/>
    <x v="261"/>
    <s v="1097 7622 5270 1698 2083 "/>
    <n v="467.5"/>
    <n v="200000"/>
    <n v="200000"/>
  </r>
  <r>
    <s v="FB9BJU95YP4D"/>
    <s v="Thomas Sanchez"/>
    <s v="Flats"/>
    <x v="0"/>
    <x v="26"/>
    <x v="2"/>
    <x v="261"/>
    <s v="5834 4539 0384 2652 3190 "/>
    <n v="81.8"/>
    <n v="35000"/>
    <n v="35000"/>
  </r>
  <r>
    <s v="FB0HOKYCVYO3"/>
    <s v="Michelle Wilson"/>
    <s v="Flats"/>
    <x v="2"/>
    <x v="18"/>
    <x v="2"/>
    <x v="109"/>
    <s v="7137 5149 0943 1669 6108 "/>
    <n v="116.9"/>
    <n v="50000"/>
    <n v="50000"/>
  </r>
  <r>
    <s v="FBZQIHR6CJBZ"/>
    <s v="Betty Lopez"/>
    <s v="Flats"/>
    <x v="4"/>
    <x v="27"/>
    <x v="2"/>
    <x v="109"/>
    <s v="4132 4117 6795 2327 3300 "/>
    <n v="81.8"/>
    <n v="35000"/>
    <n v="35000"/>
  </r>
  <r>
    <s v="FBU4VBEEHAYC"/>
    <s v="Sarah Wilson"/>
    <s v="Flats"/>
    <x v="3"/>
    <x v="34"/>
    <x v="2"/>
    <x v="109"/>
    <s v="5344 2973 6239 3901 0426 "/>
    <n v="23.4"/>
    <n v="10000"/>
    <n v="10000"/>
  </r>
  <r>
    <s v="FB45SC2KD4FL"/>
    <s v="Emily Thomas"/>
    <s v="Flats"/>
    <x v="0"/>
    <x v="23"/>
    <x v="2"/>
    <x v="109"/>
    <s v="6839 5272 1562 6889 4959 "/>
    <n v="233.7"/>
    <n v="100000"/>
    <n v="100000"/>
  </r>
  <r>
    <s v="FBJPINYPYO9S"/>
    <s v="Jennifer Robinson"/>
    <s v="Terrace"/>
    <x v="7"/>
    <x v="35"/>
    <x v="2"/>
    <x v="109"/>
    <s v="1246 7026 0782 6703 6428 "/>
    <n v="350.6"/>
    <n v="150000"/>
    <n v="150000"/>
  </r>
  <r>
    <s v="FBVWFMW91KF3"/>
    <s v="Daniel Torres"/>
    <s v="Flats"/>
    <x v="4"/>
    <x v="24"/>
    <x v="2"/>
    <x v="109"/>
    <s v="5005 8960 8421 0853 0105 "/>
    <n v="141.4"/>
    <n v="60500"/>
    <n v="60500"/>
  </r>
  <r>
    <s v="FBBV3LF2SQI1"/>
    <s v="Joshua Harris"/>
    <s v="Terrace"/>
    <x v="7"/>
    <x v="12"/>
    <x v="2"/>
    <x v="262"/>
    <s v="4141 9803 5975 9851 3437 "/>
    <n v="116.9"/>
    <n v="50000"/>
    <n v="50000"/>
  </r>
  <r>
    <s v="FBLOHEVCDPMG"/>
    <s v="Thomas &amp; Jane Jackson"/>
    <s v="Flats"/>
    <x v="4"/>
    <x v="38"/>
    <x v="2"/>
    <x v="262"/>
    <s v="2369 4067 3205 8878 8827 "/>
    <n v="140.19999999999999"/>
    <n v="60000"/>
    <n v="60000"/>
  </r>
  <r>
    <s v="FB7BPOQAHG1G"/>
    <s v="Barbara Martinez"/>
    <s v="Flats"/>
    <x v="0"/>
    <x v="0"/>
    <x v="2"/>
    <x v="262"/>
    <s v="4570 3086 6728 6028 8390 "/>
    <n v="50.2"/>
    <n v="21500"/>
    <n v="21500"/>
  </r>
  <r>
    <s v="FBJDNR1QL43P"/>
    <s v="Karen Allen"/>
    <s v="Pent House"/>
    <x v="3"/>
    <x v="28"/>
    <x v="2"/>
    <x v="262"/>
    <s v="2126 2396 5055 3295 8091 "/>
    <n v="140.30000000000001"/>
    <n v="60000"/>
    <n v="60000"/>
  </r>
  <r>
    <s v="FBSMU6370QZ5"/>
    <s v="Robert Robinson"/>
    <s v="Flats"/>
    <x v="0"/>
    <x v="30"/>
    <x v="2"/>
    <x v="263"/>
    <s v="5676 4073 5637 6156 0285 "/>
    <n v="70.099999999999994"/>
    <n v="30000"/>
    <n v="30000"/>
  </r>
  <r>
    <s v="FB4WBH4GRHGQ"/>
    <s v="Sarah Wilson"/>
    <s v="Flats"/>
    <x v="3"/>
    <x v="34"/>
    <x v="2"/>
    <x v="263"/>
    <s v="6447 6197 7678 4435 6820 "/>
    <n v="23.4"/>
    <n v="10000"/>
    <n v="10000"/>
  </r>
  <r>
    <s v="FBJYTAFDD8TC"/>
    <s v="Barbara Martinez"/>
    <s v="Flats"/>
    <x v="0"/>
    <x v="0"/>
    <x v="2"/>
    <x v="264"/>
    <s v="1636 1111 6340 3877 6732 "/>
    <n v="70.099999999999994"/>
    <n v="30000"/>
    <n v="30000"/>
  </r>
  <r>
    <s v="FBW0TEYGT7N4"/>
    <s v="Sarah Wilson"/>
    <s v="Flats"/>
    <x v="3"/>
    <x v="34"/>
    <x v="2"/>
    <x v="265"/>
    <s v="2600 4090 3653 6491 5087 "/>
    <n v="23.3"/>
    <n v="10000"/>
    <n v="10000"/>
  </r>
  <r>
    <s v="FBG4MWEZTHQS"/>
    <s v="Security Utilities Common Area"/>
    <s v="Office"/>
    <x v="6"/>
    <x v="1"/>
    <x v="2"/>
    <x v="265"/>
    <s v="2413 3472 8987 7994 3164 "/>
    <n v="105.2"/>
    <n v="45000"/>
    <n v="45000"/>
  </r>
  <r>
    <s v="FB6EYZRCU3ZT"/>
    <s v="Power House Common Area Area"/>
    <s v="Office"/>
    <x v="1"/>
    <x v="1"/>
    <x v="2"/>
    <x v="265"/>
    <s v="4196 1082 8145 5691 8775 "/>
    <n v="233.7"/>
    <n v="100000"/>
    <n v="100000"/>
  </r>
  <r>
    <s v="FBT0LS38NSV5"/>
    <s v="Anthony Lopez"/>
    <s v="Flats"/>
    <x v="2"/>
    <x v="25"/>
    <x v="2"/>
    <x v="265"/>
    <s v="3627 3499 7436 8380 7619 "/>
    <n v="25.7"/>
    <n v="11000"/>
    <n v="11000"/>
  </r>
  <r>
    <s v="FBO7OUJ3ZK64"/>
    <s v="Dorothy Thomas"/>
    <s v="Flats"/>
    <x v="0"/>
    <x v="37"/>
    <x v="2"/>
    <x v="110"/>
    <s v="1379 0278 5980 7228 5545 "/>
    <n v="187"/>
    <n v="80000"/>
    <n v="80000"/>
  </r>
  <r>
    <s v="FB9HXBIZ29Z3"/>
    <s v="Mark Rodriguez"/>
    <s v="Flats"/>
    <x v="2"/>
    <x v="22"/>
    <x v="2"/>
    <x v="110"/>
    <s v="6877 4631 6323 3816 5161 "/>
    <n v="93.5"/>
    <n v="40000"/>
    <n v="40000"/>
  </r>
  <r>
    <s v="FBZ9CYMIJAV0"/>
    <s v="Patricia Williams"/>
    <s v="Flats"/>
    <x v="2"/>
    <x v="2"/>
    <x v="2"/>
    <x v="110"/>
    <s v="6586 5222 0250 6209 8145 "/>
    <n v="187"/>
    <n v="80000"/>
    <n v="80000"/>
  </r>
  <r>
    <s v="FBZPPSSQ6NJM"/>
    <s v="Barbara Martinez"/>
    <s v="Flats"/>
    <x v="0"/>
    <x v="0"/>
    <x v="2"/>
    <x v="110"/>
    <s v="3200 0561 0471 7850 6735 "/>
    <n v="151.9"/>
    <n v="65000"/>
    <n v="65000"/>
  </r>
  <r>
    <s v="FBD4OOZ0STTK"/>
    <s v="Karen Allen"/>
    <s v="Pent House"/>
    <x v="3"/>
    <x v="28"/>
    <x v="2"/>
    <x v="110"/>
    <s v="1001 9957 3057 2998 3994 "/>
    <n v="93.5"/>
    <n v="40000"/>
    <n v="40000"/>
  </r>
  <r>
    <s v="FB0BSO6FS6LU"/>
    <s v="Sarah Wilson"/>
    <s v="Flats"/>
    <x v="3"/>
    <x v="34"/>
    <x v="2"/>
    <x v="111"/>
    <s v="1129 0456 1058 7982 8450 "/>
    <n v="23.4"/>
    <n v="10000"/>
    <n v="10000"/>
  </r>
  <r>
    <s v="FBXBIJM0YM3B"/>
    <s v="Thomas Sanchez"/>
    <s v="Flats"/>
    <x v="0"/>
    <x v="26"/>
    <x v="2"/>
    <x v="111"/>
    <s v="3535 8599 0999 8466 2754 "/>
    <n v="81.8"/>
    <n v="35000"/>
    <n v="35000"/>
  </r>
  <r>
    <s v="FBZTCNE2YAWM"/>
    <s v="Joshua Harris"/>
    <s v="Terrace"/>
    <x v="7"/>
    <x v="12"/>
    <x v="2"/>
    <x v="111"/>
    <s v="3218 8142 8547 2357 3498 "/>
    <n v="116.8"/>
    <n v="50000"/>
    <n v="50000"/>
  </r>
  <r>
    <s v="FBCRKPOSREB7"/>
    <s v="Block D Common Area"/>
    <s v="Office"/>
    <x v="3"/>
    <x v="1"/>
    <x v="2"/>
    <x v="111"/>
    <s v="1604 9989 6668 5886 6743 "/>
    <n v="233.8"/>
    <n v="100000"/>
    <n v="100000"/>
  </r>
  <r>
    <s v="FBE6KLCH0Q0M"/>
    <s v="Power House Common Area Area"/>
    <s v="Office"/>
    <x v="1"/>
    <x v="1"/>
    <x v="2"/>
    <x v="111"/>
    <s v="3788 4290 3900 4973 1026 "/>
    <n v="467.5"/>
    <n v="200000"/>
    <n v="200000"/>
  </r>
  <r>
    <s v="FB6RUVH420W0"/>
    <s v="Barbara Ramirez"/>
    <s v="Flats"/>
    <x v="4"/>
    <x v="21"/>
    <x v="2"/>
    <x v="111"/>
    <s v="3380 0760 5228 5489 3265 "/>
    <n v="46.7"/>
    <n v="20000"/>
    <n v="20000"/>
  </r>
  <r>
    <s v="FBLA6MO0HK76"/>
    <s v="Donna Torres"/>
    <s v="Flats"/>
    <x v="3"/>
    <x v="8"/>
    <x v="2"/>
    <x v="112"/>
    <s v="0996 4216 9196 1726 4519 "/>
    <n v="121.5"/>
    <n v="52000"/>
    <n v="52000"/>
  </r>
  <r>
    <s v="FBK97PPS26OG"/>
    <s v="Anthony Lopez"/>
    <s v="Flats"/>
    <x v="2"/>
    <x v="25"/>
    <x v="2"/>
    <x v="112"/>
    <s v="2679 4987 0182 0302 7620 "/>
    <n v="23.4"/>
    <n v="10000"/>
    <n v="10000"/>
  </r>
  <r>
    <s v="FBRI6HGGKQMB"/>
    <s v="MANAGMENT Office"/>
    <s v="Office"/>
    <x v="5"/>
    <x v="5"/>
    <x v="2"/>
    <x v="112"/>
    <s v="7066 3160 4497 6806 7865 "/>
    <n v="116.9"/>
    <n v="50000"/>
    <n v="50000"/>
  </r>
  <r>
    <s v="FB82T55B7EO5"/>
    <s v="Block A Common Area"/>
    <s v="Office"/>
    <x v="4"/>
    <x v="1"/>
    <x v="2"/>
    <x v="266"/>
    <s v="4772 3872 0364 6434 0790 "/>
    <n v="116.9"/>
    <n v="50000"/>
    <n v="50000"/>
  </r>
  <r>
    <s v="FB5KF3HJC28P"/>
    <s v="Block C Common Area"/>
    <s v="Office"/>
    <x v="0"/>
    <x v="1"/>
    <x v="2"/>
    <x v="266"/>
    <s v="5859 6968 3652 0577 0274 "/>
    <n v="116.9"/>
    <n v="50000"/>
    <n v="50000"/>
  </r>
  <r>
    <s v="FBVE4J42181K"/>
    <s v="Security Utilities Common Area"/>
    <s v="Office"/>
    <x v="6"/>
    <x v="1"/>
    <x v="2"/>
    <x v="266"/>
    <s v="0639 2830 2613 8429 6906 "/>
    <n v="116.9"/>
    <n v="50000"/>
    <n v="50000"/>
  </r>
  <r>
    <s v="FBRLLM9DZFMA"/>
    <s v="Elizabeth Martin"/>
    <s v="Flats"/>
    <x v="4"/>
    <x v="29"/>
    <x v="2"/>
    <x v="266"/>
    <s v="5965 5852 5368 9200 8335 "/>
    <n v="584.29999999999995"/>
    <n v="250000"/>
    <n v="250000"/>
  </r>
  <r>
    <s v="FBA7H3QX004T"/>
    <s v="Betty Lopez"/>
    <s v="Flats"/>
    <x v="4"/>
    <x v="27"/>
    <x v="2"/>
    <x v="266"/>
    <s v="5592 7229 5413 0561 0403 "/>
    <n v="210.3"/>
    <n v="90000"/>
    <n v="90000"/>
  </r>
  <r>
    <s v="FB64M1FSBJEO"/>
    <s v="Power House Common Area Area"/>
    <s v="Office"/>
    <x v="1"/>
    <x v="1"/>
    <x v="2"/>
    <x v="113"/>
    <s v="2235 4719 2241 1061 9623 "/>
    <n v="233.7"/>
    <n v="100000"/>
    <n v="100000"/>
  </r>
  <r>
    <s v="FBKRPXDA3ZA5"/>
    <s v="Karen Allen"/>
    <s v="Pent House"/>
    <x v="3"/>
    <x v="28"/>
    <x v="2"/>
    <x v="113"/>
    <s v="1867 0091 2041 9771 3238 "/>
    <n v="467.4"/>
    <n v="200000"/>
    <n v="200000"/>
  </r>
  <r>
    <s v="FBSG3OYRXEZ7"/>
    <s v="Michelle Wilson"/>
    <s v="Flats"/>
    <x v="2"/>
    <x v="18"/>
    <x v="2"/>
    <x v="113"/>
    <s v="4179 1279 9935 3629 3480 "/>
    <n v="46.7"/>
    <n v="20000"/>
    <n v="20000"/>
  </r>
  <r>
    <s v="FB9848J31XYM"/>
    <s v="Anthony Lopez"/>
    <s v="Flats"/>
    <x v="2"/>
    <x v="25"/>
    <x v="2"/>
    <x v="113"/>
    <s v="3045 8544 1314 0811 0347 "/>
    <n v="163.6"/>
    <n v="70000"/>
    <n v="70000"/>
  </r>
  <r>
    <s v="FBDL1MCGA1UY"/>
    <s v="Joshua Harris"/>
    <s v="Terrace"/>
    <x v="7"/>
    <x v="12"/>
    <x v="2"/>
    <x v="114"/>
    <s v="0922 8928 0394 1119 3665 "/>
    <n v="116.9"/>
    <n v="50000"/>
    <n v="50000"/>
  </r>
  <r>
    <s v="FBGABERJFL8C"/>
    <s v="Richard Allen"/>
    <s v="Flats"/>
    <x v="2"/>
    <x v="6"/>
    <x v="2"/>
    <x v="115"/>
    <s v="7160 8857 4682 5638 5410 "/>
    <n v="23.4"/>
    <n v="10000"/>
    <n v="10000"/>
  </r>
  <r>
    <s v="FBZ87KGN8YHZ"/>
    <s v="Block B Common Area"/>
    <s v="Office"/>
    <x v="2"/>
    <x v="1"/>
    <x v="2"/>
    <x v="115"/>
    <s v="1876 2506 6274 9087 4479 "/>
    <n v="233.8"/>
    <n v="100000"/>
    <n v="100000"/>
  </r>
  <r>
    <s v="FBFTOEHRK6GB"/>
    <s v="Block A Common Area"/>
    <s v="Office"/>
    <x v="4"/>
    <x v="1"/>
    <x v="2"/>
    <x v="115"/>
    <s v="4105 6822 8809 5844 5687 "/>
    <n v="233.7"/>
    <n v="100000"/>
    <n v="100000"/>
  </r>
  <r>
    <s v="FBYFBF4YKH4G"/>
    <s v="Security Utilities Common Area"/>
    <s v="Office"/>
    <x v="6"/>
    <x v="1"/>
    <x v="2"/>
    <x v="115"/>
    <s v="1882 8449 5206 6246 8398 "/>
    <n v="350.5"/>
    <n v="150000"/>
    <n v="150000"/>
  </r>
  <r>
    <s v="FB1SWOAVUTQH"/>
    <s v="Power House Common Area Area"/>
    <s v="Office"/>
    <x v="1"/>
    <x v="1"/>
    <x v="2"/>
    <x v="115"/>
    <s v="1168 7730 8134 2825 5007 "/>
    <n v="584.29999999999995"/>
    <n v="250000"/>
    <n v="250000"/>
  </r>
  <r>
    <s v="FBDKK7TKCDRH"/>
    <s v="Paul Torres"/>
    <s v="Flats"/>
    <x v="2"/>
    <x v="15"/>
    <x v="2"/>
    <x v="115"/>
    <s v="6416 6207 0090 8369 7008 "/>
    <n v="70.099999999999994"/>
    <n v="30000"/>
    <n v="30000"/>
  </r>
  <r>
    <s v="FBWPU3KYSZE7"/>
    <s v="Barbara Ramirez"/>
    <s v="Flats"/>
    <x v="4"/>
    <x v="21"/>
    <x v="2"/>
    <x v="115"/>
    <s v="1663 3502 6313 5249 6152 "/>
    <n v="46.8"/>
    <n v="20000"/>
    <n v="20000"/>
  </r>
  <r>
    <s v="FBLCLBXKLXUW"/>
    <s v="Block D Common Area"/>
    <s v="Office"/>
    <x v="3"/>
    <x v="1"/>
    <x v="2"/>
    <x v="115"/>
    <s v="0149 5240 4510 6156 1038 "/>
    <n v="350.5"/>
    <n v="150000"/>
    <n v="150000"/>
  </r>
  <r>
    <s v="FBBJ6O9PR4OP"/>
    <s v="Anthony Robinson"/>
    <s v="Flats"/>
    <x v="3"/>
    <x v="7"/>
    <x v="2"/>
    <x v="116"/>
    <s v="1413 9230 0460 4785 8301 "/>
    <n v="116.8"/>
    <n v="50000"/>
    <n v="50000"/>
  </r>
  <r>
    <s v="FBMKLE42WJV1"/>
    <s v="Sarah Wilson"/>
    <s v="Flats"/>
    <x v="3"/>
    <x v="34"/>
    <x v="2"/>
    <x v="116"/>
    <s v="3470 6379 9934 1625 2396 "/>
    <n v="23.3"/>
    <n v="10000"/>
    <n v="10000"/>
  </r>
  <r>
    <s v="FBIE0Z9KOV2H"/>
    <s v="Emily Thomas"/>
    <s v="Flats"/>
    <x v="0"/>
    <x v="23"/>
    <x v="2"/>
    <x v="116"/>
    <s v="2541 0499 6836 2662 2938 "/>
    <n v="116.9"/>
    <n v="50000"/>
    <n v="50000"/>
  </r>
  <r>
    <s v="FB23CGKLK1LN"/>
    <s v="Elizabeth Martin"/>
    <s v="Flats"/>
    <x v="4"/>
    <x v="29"/>
    <x v="2"/>
    <x v="116"/>
    <s v="2776 5110 7901 0638 9887 "/>
    <n v="584.29999999999995"/>
    <n v="250000"/>
    <n v="250000"/>
  </r>
  <r>
    <s v="FBM8LMLU2NHB"/>
    <s v="Susan Nguyen"/>
    <s v="Flats"/>
    <x v="3"/>
    <x v="14"/>
    <x v="2"/>
    <x v="116"/>
    <s v="6453 4289 6174 9982 7368 "/>
    <n v="70.099999999999994"/>
    <n v="30000"/>
    <n v="30000"/>
  </r>
  <r>
    <s v="FBUMM9NXCEAH"/>
    <s v="Barbara Martinez"/>
    <s v="Flats"/>
    <x v="0"/>
    <x v="0"/>
    <x v="2"/>
    <x v="116"/>
    <s v="4933 4768 5731 6558 1590 "/>
    <n v="233.8"/>
    <n v="100000"/>
    <n v="100000"/>
  </r>
  <r>
    <s v="FBH8BP9OD69Q"/>
    <s v="Andrew Allen"/>
    <s v="Flats"/>
    <x v="2"/>
    <x v="4"/>
    <x v="2"/>
    <x v="116"/>
    <s v="1830 0620 6748 9804 3044 "/>
    <n v="116.8"/>
    <n v="50000"/>
    <n v="50000"/>
  </r>
  <r>
    <s v="FB837ESXW8MB"/>
    <s v="Donna Torres"/>
    <s v="Flats"/>
    <x v="3"/>
    <x v="8"/>
    <x v="2"/>
    <x v="116"/>
    <s v="5795 9736 3929 3558 9366 "/>
    <n v="584.29999999999995"/>
    <n v="250000"/>
    <n v="250000"/>
  </r>
  <r>
    <s v="FBRBKEIDB1JF"/>
    <s v="Donna Torres"/>
    <s v="Flats"/>
    <x v="3"/>
    <x v="8"/>
    <x v="2"/>
    <x v="116"/>
    <s v="3084 0417 7870 0767 4080 "/>
    <n v="584.29999999999995"/>
    <n v="250000"/>
    <n v="250000"/>
  </r>
  <r>
    <s v="FBWYUC0XICQ5"/>
    <s v="Robert Robinson"/>
    <s v="Flats"/>
    <x v="0"/>
    <x v="30"/>
    <x v="2"/>
    <x v="117"/>
    <s v="2496 3927 3375 7719 8826 "/>
    <n v="93.5"/>
    <n v="40000"/>
    <n v="40000"/>
  </r>
  <r>
    <s v="FBFCSELA3V5G"/>
    <s v="Thomas &amp; Jane Jackson"/>
    <s v="Flats"/>
    <x v="4"/>
    <x v="38"/>
    <x v="2"/>
    <x v="117"/>
    <s v="2896 4902 9904 6211 7832 "/>
    <n v="70.099999999999994"/>
    <n v="30000"/>
    <n v="30000"/>
  </r>
  <r>
    <s v="FBRJNX22CWEW"/>
    <s v="Lisa Clark"/>
    <s v="Flats"/>
    <x v="3"/>
    <x v="14"/>
    <x v="2"/>
    <x v="117"/>
    <s v="0083 0667 9582 6663 4943 "/>
    <n v="116.8"/>
    <n v="50000"/>
    <n v="50000"/>
  </r>
  <r>
    <s v="FBCOVLSN6870"/>
    <s v="Michelle Wilson"/>
    <s v="Flats"/>
    <x v="2"/>
    <x v="18"/>
    <x v="2"/>
    <x v="267"/>
    <s v="2120 0140 5380 2366 4980 "/>
    <n v="46.8"/>
    <n v="20000"/>
    <n v="20000"/>
  </r>
  <r>
    <s v="FBYVC5WMMC8Q"/>
    <s v="Sarah Wilson"/>
    <s v="Flats"/>
    <x v="3"/>
    <x v="34"/>
    <x v="2"/>
    <x v="267"/>
    <s v="5009 5354 7349 7739 0065 "/>
    <n v="28.1"/>
    <n v="12000"/>
    <n v="12000"/>
  </r>
  <r>
    <s v="FBTU81G9S8NN"/>
    <s v="Joshua Harris"/>
    <s v="Terrace"/>
    <x v="7"/>
    <x v="12"/>
    <x v="2"/>
    <x v="118"/>
    <s v="3931 5388 9087 5415 2633 "/>
    <n v="116.8"/>
    <n v="50000"/>
    <n v="50000"/>
  </r>
  <r>
    <s v="FBUFV4FYBI3P"/>
    <s v="Block D Common Area"/>
    <s v="Office"/>
    <x v="3"/>
    <x v="1"/>
    <x v="2"/>
    <x v="268"/>
    <s v="5272 4652 7909 8956 2737 "/>
    <n v="229.1"/>
    <n v="98000"/>
    <n v="98000"/>
  </r>
  <r>
    <s v="FBPZDQ2EOTW8"/>
    <s v="Nancy Sanchez"/>
    <s v="Pent House"/>
    <x v="4"/>
    <x v="31"/>
    <x v="2"/>
    <x v="119"/>
    <s v="3978 8654 3122 9892 0733 "/>
    <n v="116.9"/>
    <n v="50000"/>
    <n v="50000"/>
  </r>
  <r>
    <s v="FBNOBZJ6TYXK"/>
    <s v="Block C Common Area"/>
    <s v="Office"/>
    <x v="0"/>
    <x v="1"/>
    <x v="2"/>
    <x v="119"/>
    <s v="2717 1382 5008 9966 3076 "/>
    <n v="233.7"/>
    <n v="100000"/>
    <n v="100000"/>
  </r>
  <r>
    <s v="FB5NS4OPIKNA"/>
    <s v="Donald Jones"/>
    <s v="Flats"/>
    <x v="0"/>
    <x v="10"/>
    <x v="2"/>
    <x v="119"/>
    <s v="3699 5284 7811 4979 6419 "/>
    <n v="163.6"/>
    <n v="70000"/>
    <n v="70000"/>
  </r>
  <r>
    <s v="FB86C2JFD0BS"/>
    <s v="Emily Thomas"/>
    <s v="Flats"/>
    <x v="0"/>
    <x v="23"/>
    <x v="2"/>
    <x v="120"/>
    <s v="5786 5945 5085 7407 3230 "/>
    <n v="116.8"/>
    <n v="50000"/>
    <n v="50000"/>
  </r>
  <r>
    <s v="FBMFYC8228Q4"/>
    <s v="Power House Common Area Area"/>
    <s v="Office"/>
    <x v="1"/>
    <x v="1"/>
    <x v="2"/>
    <x v="120"/>
    <s v="4200 6557 3259 7858 3446 "/>
    <n v="584.29999999999995"/>
    <n v="250000"/>
    <n v="250000"/>
  </r>
  <r>
    <s v="FB4B52FN2JF8"/>
    <s v="Andrew Allen"/>
    <s v="Flats"/>
    <x v="2"/>
    <x v="4"/>
    <x v="2"/>
    <x v="120"/>
    <s v="6854 5510 0874 9283 5852 "/>
    <n v="116.9"/>
    <n v="50000"/>
    <n v="50000"/>
  </r>
  <r>
    <s v="FBIRYR82UXEZ"/>
    <s v="MANAGMENT Office"/>
    <s v="Office"/>
    <x v="5"/>
    <x v="5"/>
    <x v="2"/>
    <x v="120"/>
    <s v="2635 1335 9484 1612 2065 "/>
    <n v="233.7"/>
    <n v="100000"/>
    <n v="100000"/>
  </r>
  <r>
    <s v="FBGFZO2SL908"/>
    <s v="Sarah Wilson"/>
    <s v="Flats"/>
    <x v="3"/>
    <x v="34"/>
    <x v="2"/>
    <x v="269"/>
    <s v="6277 0597 0277 3450 8531 "/>
    <n v="28.1"/>
    <n v="12000"/>
    <n v="12000"/>
  </r>
  <r>
    <s v="FBFFB66H0QSK"/>
    <s v="Joshua Harris"/>
    <s v="Terrace"/>
    <x v="7"/>
    <x v="12"/>
    <x v="2"/>
    <x v="269"/>
    <s v="1352 3514 2611 2438 0344 "/>
    <n v="58.4"/>
    <n v="25000"/>
    <n v="25000"/>
  </r>
  <r>
    <s v="FBH21RH9D8XV"/>
    <s v="Block D Common Area"/>
    <s v="Office"/>
    <x v="3"/>
    <x v="1"/>
    <x v="2"/>
    <x v="269"/>
    <s v="2670 5756 7748 1679 1949 "/>
    <n v="350.5"/>
    <n v="150000"/>
    <n v="150000"/>
  </r>
  <r>
    <s v="FB2QUQ320NGO"/>
    <s v="Anthony Robinson"/>
    <s v="Flats"/>
    <x v="3"/>
    <x v="7"/>
    <x v="2"/>
    <x v="269"/>
    <s v="7305 9107 8586 7997 1278 "/>
    <n v="210.3"/>
    <n v="90000"/>
    <n v="90000"/>
  </r>
  <r>
    <s v="FBVZTLHT8Y5F"/>
    <s v="Anthony Robinson"/>
    <s v="Flats"/>
    <x v="3"/>
    <x v="7"/>
    <x v="2"/>
    <x v="269"/>
    <s v="1832 9196 2665 4756 3528 "/>
    <n v="23.4"/>
    <n v="10000"/>
    <n v="10000"/>
  </r>
  <r>
    <s v="FB64LIGXEV8G"/>
    <s v="Nancy Sanchez"/>
    <s v="Pent House"/>
    <x v="4"/>
    <x v="31"/>
    <x v="2"/>
    <x v="270"/>
    <s v="4891 7322 2090 6915 9727 "/>
    <n v="467.4"/>
    <n v="200000"/>
    <n v="200000"/>
  </r>
  <r>
    <s v="FBZRO6MER71C"/>
    <s v="Michelle Wilson"/>
    <s v="Flats"/>
    <x v="2"/>
    <x v="18"/>
    <x v="2"/>
    <x v="270"/>
    <s v="6230 6762 9698 6434 0658 "/>
    <n v="46.7"/>
    <n v="20000"/>
    <n v="20000"/>
  </r>
  <r>
    <s v="FBHRI16L5YRV"/>
    <s v="Joshua Harris"/>
    <s v="Terrace"/>
    <x v="7"/>
    <x v="12"/>
    <x v="2"/>
    <x v="121"/>
    <s v="4957 0603 6633 8599 0121 "/>
    <n v="58.5"/>
    <n v="25000"/>
    <n v="25000"/>
  </r>
  <r>
    <s v="FB65GSATOOV9"/>
    <s v="Sarah Wilson"/>
    <s v="Flats"/>
    <x v="3"/>
    <x v="34"/>
    <x v="2"/>
    <x v="122"/>
    <s v="3584 9935 4005 6200 2795 "/>
    <n v="23.4"/>
    <n v="10000"/>
    <n v="10000"/>
  </r>
  <r>
    <s v="FB7VPMQ5CUGD"/>
    <s v="Thomas Sanchez"/>
    <s v="Flats"/>
    <x v="0"/>
    <x v="26"/>
    <x v="2"/>
    <x v="122"/>
    <s v="1532 1430 1837 4439 5204 "/>
    <n v="81.8"/>
    <n v="35000"/>
    <n v="35000"/>
  </r>
  <r>
    <s v="FBGEAFA2XZ9V"/>
    <s v="Joshua Harris"/>
    <s v="Terrace"/>
    <x v="7"/>
    <x v="12"/>
    <x v="2"/>
    <x v="123"/>
    <s v="6264 9492 7062 2003 9198 "/>
    <n v="23.3"/>
    <n v="10000"/>
    <n v="10000"/>
  </r>
  <r>
    <s v="FBYCCIJEIXSG"/>
    <s v="Karen Rodriguez"/>
    <s v="Terrace"/>
    <x v="7"/>
    <x v="13"/>
    <x v="2"/>
    <x v="123"/>
    <s v="0910 5119 5994 1624 4669 "/>
    <n v="502.5"/>
    <n v="215000"/>
    <n v="215000"/>
  </r>
  <r>
    <s v="FBAQQ1V7ZMOJ"/>
    <s v="Block D Common Area"/>
    <s v="Office"/>
    <x v="3"/>
    <x v="1"/>
    <x v="2"/>
    <x v="123"/>
    <s v="2033 8033 6312 2517 6447 "/>
    <n v="350.6"/>
    <n v="150000"/>
    <n v="150000"/>
  </r>
  <r>
    <s v="FBWUMXGHOBS1"/>
    <s v="Jennifer Lewis"/>
    <s v="Terrace"/>
    <x v="7"/>
    <x v="17"/>
    <x v="2"/>
    <x v="123"/>
    <s v="5323 4018 2992 6201 2802 "/>
    <n v="116.8"/>
    <n v="50000"/>
    <n v="50000"/>
  </r>
  <r>
    <s v="FBPQMLQEUHVH"/>
    <s v="Richard Allen"/>
    <s v="Flats"/>
    <x v="2"/>
    <x v="6"/>
    <x v="2"/>
    <x v="271"/>
    <s v="4637 2539 0318 2653 0391 "/>
    <n v="280.5"/>
    <n v="120000"/>
    <n v="120000"/>
  </r>
  <r>
    <s v="FBVDC928HAWJ"/>
    <s v="Joshua Harris"/>
    <s v="Terrace"/>
    <x v="7"/>
    <x v="12"/>
    <x v="2"/>
    <x v="271"/>
    <s v="1275 5890 7530 1647 1614 "/>
    <n v="58.5"/>
    <n v="25000"/>
    <n v="25000"/>
  </r>
  <r>
    <s v="FBBEV2J0GN3K"/>
    <s v="Emily Thomas"/>
    <s v="Flats"/>
    <x v="0"/>
    <x v="23"/>
    <x v="2"/>
    <x v="272"/>
    <s v="5124 5390 5155 3964 0045 "/>
    <n v="46.8"/>
    <n v="20000"/>
    <n v="20000"/>
  </r>
  <r>
    <s v="FB9BQ1OHK0GZ"/>
    <s v="Karen Allen"/>
    <s v="Pent House"/>
    <x v="3"/>
    <x v="28"/>
    <x v="2"/>
    <x v="272"/>
    <s v="6377 0175 1442 6143 1470 "/>
    <n v="116.8"/>
    <n v="50000"/>
    <n v="50000"/>
  </r>
  <r>
    <s v="FBWIZGY5PLJQ"/>
    <s v="Thomas &amp; Jane Jackson"/>
    <s v="Flats"/>
    <x v="4"/>
    <x v="38"/>
    <x v="2"/>
    <x v="272"/>
    <s v="3719 0306 2376 9010 0805 "/>
    <n v="233.7"/>
    <n v="100000"/>
    <n v="100000"/>
  </r>
  <r>
    <s v="FBZZ8HOTV44M"/>
    <s v="Patricia Williams"/>
    <s v="Flats"/>
    <x v="2"/>
    <x v="2"/>
    <x v="2"/>
    <x v="272"/>
    <s v="4101 9749 6059 0687 1108 "/>
    <n v="116.8"/>
    <n v="50000"/>
    <n v="50000"/>
  </r>
  <r>
    <s v="FBD05VCQPFCH"/>
    <s v="Power House Common Area Area"/>
    <s v="Office"/>
    <x v="1"/>
    <x v="1"/>
    <x v="2"/>
    <x v="272"/>
    <s v="1986 4873 2880 5961 7453 "/>
    <n v="233.7"/>
    <n v="100000"/>
    <n v="100000"/>
  </r>
  <r>
    <s v="FBRDP7W7QOO4"/>
    <s v="Michelle Wilson"/>
    <s v="Flats"/>
    <x v="2"/>
    <x v="18"/>
    <x v="2"/>
    <x v="272"/>
    <s v="6979 7896 3136 3152 9852 "/>
    <n v="116.9"/>
    <n v="50000"/>
    <n v="50000"/>
  </r>
  <r>
    <s v="FBMGYTN3TSDJ"/>
    <s v="Joshua Harris"/>
    <s v="Terrace"/>
    <x v="7"/>
    <x v="12"/>
    <x v="2"/>
    <x v="272"/>
    <s v="3003 2187 9490 3253 7086 "/>
    <n v="233.7"/>
    <n v="100000"/>
    <n v="100000"/>
  </r>
  <r>
    <s v="FB3IHRPB4366"/>
    <s v="Sarah Wilson"/>
    <s v="Flats"/>
    <x v="3"/>
    <x v="34"/>
    <x v="2"/>
    <x v="124"/>
    <s v="1147 6069 6646 1348 6495 "/>
    <n v="28"/>
    <n v="12000"/>
    <n v="12000"/>
  </r>
  <r>
    <s v="FBYL77PQ9O4K"/>
    <s v="Anthony Lopez"/>
    <s v="Flats"/>
    <x v="2"/>
    <x v="25"/>
    <x v="2"/>
    <x v="124"/>
    <s v="4460 0237 1043 7812 7833 "/>
    <n v="113.4"/>
    <n v="48500"/>
    <n v="48500"/>
  </r>
  <r>
    <s v="FBU11497C8MO"/>
    <s v="Terrace Area Construction"/>
    <s v="Office"/>
    <x v="9"/>
    <x v="20"/>
    <x v="2"/>
    <x v="124"/>
    <s v="4460 3774 3616 7662 6483 "/>
    <n v="128.5"/>
    <n v="55000"/>
    <n v="55000"/>
  </r>
  <r>
    <s v="FBX99Q2CAGC2"/>
    <s v="Massionette Area Construction"/>
    <s v="Office"/>
    <x v="8"/>
    <x v="20"/>
    <x v="2"/>
    <x v="124"/>
    <s v="3105 2874 4554 3835 2623 "/>
    <n v="233.7"/>
    <n v="100000"/>
    <n v="100000"/>
  </r>
  <r>
    <s v="FBOZ7EUMRCE4"/>
    <s v="Michael Wright"/>
    <s v="Flats"/>
    <x v="3"/>
    <x v="9"/>
    <x v="2"/>
    <x v="124"/>
    <s v="3967 7127 9423 2082 6572 "/>
    <n v="210.4"/>
    <n v="90000"/>
    <n v="90000"/>
  </r>
  <r>
    <s v="FBRMFN7ZOJQZ"/>
    <s v="Andrew Allen"/>
    <s v="Flats"/>
    <x v="2"/>
    <x v="4"/>
    <x v="2"/>
    <x v="273"/>
    <s v="2453 0816 7817 1582 7055 "/>
    <n v="116.9"/>
    <n v="50000"/>
    <n v="50000"/>
  </r>
  <r>
    <s v="FB76KQZ55DTS"/>
    <s v="Betty Lopez"/>
    <s v="Flats"/>
    <x v="4"/>
    <x v="27"/>
    <x v="2"/>
    <x v="273"/>
    <s v="6341 8527 2175 0037 7441 "/>
    <n v="70.2"/>
    <n v="30000"/>
    <n v="30000"/>
  </r>
  <r>
    <s v="FBBFN6MUWRD2"/>
    <s v="Lisa Clark"/>
    <s v="Flats"/>
    <x v="3"/>
    <x v="14"/>
    <x v="2"/>
    <x v="273"/>
    <s v="6824 3661 1066 8419 5310 "/>
    <n v="115.2"/>
    <n v="49300"/>
    <n v="49300"/>
  </r>
  <r>
    <s v="FBZJRQC1BV4E"/>
    <s v="Security Utilities Common Area"/>
    <s v="Office"/>
    <x v="6"/>
    <x v="1"/>
    <x v="2"/>
    <x v="273"/>
    <s v="6330 3554 8074 8874 9052 "/>
    <n v="350.6"/>
    <n v="150000"/>
    <n v="150000"/>
  </r>
  <r>
    <s v="FBD99A82VOMV"/>
    <s v="Power House Common Area Area"/>
    <s v="Office"/>
    <x v="1"/>
    <x v="1"/>
    <x v="2"/>
    <x v="273"/>
    <s v="5021 5125 7719 3853 1197 "/>
    <n v="584.29999999999995"/>
    <n v="250000"/>
    <n v="250000"/>
  </r>
  <r>
    <s v="FBGYJQNFI9YO"/>
    <s v="Robert Walker"/>
    <s v="Flats"/>
    <x v="2"/>
    <x v="39"/>
    <x v="2"/>
    <x v="273"/>
    <s v="7290 6143 0381 9783 9590 "/>
    <n v="584.29999999999995"/>
    <n v="250000"/>
    <n v="250000"/>
  </r>
  <r>
    <s v="FBIH8RI0KDQM"/>
    <s v="Emily Thomas"/>
    <s v="Flats"/>
    <x v="0"/>
    <x v="23"/>
    <x v="2"/>
    <x v="274"/>
    <s v="4951 3014 9927 7054 4709 "/>
    <n v="46.7"/>
    <n v="20000"/>
    <n v="20000"/>
  </r>
  <r>
    <s v="FBQ7DP71X5K7"/>
    <s v="Jennifer Lewis"/>
    <s v="Terrace"/>
    <x v="7"/>
    <x v="17"/>
    <x v="2"/>
    <x v="274"/>
    <s v="3611 7839 0736 3354 5303 "/>
    <n v="93.5"/>
    <n v="40000"/>
    <n v="40000"/>
  </r>
  <r>
    <s v="FB2TFU83FM1F"/>
    <s v="Jennifer Lewis"/>
    <s v="Terrace"/>
    <x v="7"/>
    <x v="17"/>
    <x v="2"/>
    <x v="274"/>
    <s v="0300 7890 7742 2709 5723 "/>
    <n v="23.4"/>
    <n v="10000"/>
    <n v="10000"/>
  </r>
  <r>
    <s v="FB21BFIOP3RO"/>
    <s v="Daniel Torres"/>
    <s v="Flats"/>
    <x v="4"/>
    <x v="24"/>
    <x v="2"/>
    <x v="125"/>
    <s v="3803 3603 0985 2527 6227 "/>
    <n v="116.9"/>
    <n v="50000"/>
    <n v="50000"/>
  </r>
  <r>
    <s v="FBHQSK0EO87U"/>
    <s v="Dorothy Thomas"/>
    <s v="Flats"/>
    <x v="0"/>
    <x v="37"/>
    <x v="2"/>
    <x v="125"/>
    <s v="4988 2284 2178 8816 9779 "/>
    <n v="46.8"/>
    <n v="20000"/>
    <n v="20000"/>
  </r>
  <r>
    <s v="FBOJLL5T6SBF"/>
    <s v="Block D Common Area"/>
    <s v="Office"/>
    <x v="3"/>
    <x v="1"/>
    <x v="2"/>
    <x v="125"/>
    <s v="3376 0022 2313 9564 3458 "/>
    <n v="350.6"/>
    <n v="150000"/>
    <n v="150000"/>
  </r>
  <r>
    <s v="FBVO007JLKWY"/>
    <s v="Barbara Martinez"/>
    <s v="Flats"/>
    <x v="0"/>
    <x v="0"/>
    <x v="2"/>
    <x v="125"/>
    <s v="7315 8712 8285 8125 5962 "/>
    <n v="103.3"/>
    <n v="44200"/>
    <n v="44200"/>
  </r>
  <r>
    <s v="FBSOO0OV8WBZ"/>
    <s v="Sarah Wilson"/>
    <s v="Flats"/>
    <x v="3"/>
    <x v="34"/>
    <x v="2"/>
    <x v="275"/>
    <s v="5571 4598 0752 2359 6074 "/>
    <n v="46.5"/>
    <n v="19900"/>
    <n v="19900"/>
  </r>
  <r>
    <s v="FBEGATHN901I"/>
    <s v="Barbara Ramirez"/>
    <s v="Flats"/>
    <x v="4"/>
    <x v="21"/>
    <x v="2"/>
    <x v="275"/>
    <s v="1625 5858 4165 2506 0717 "/>
    <n v="70.099999999999994"/>
    <n v="30000"/>
    <n v="30000"/>
  </r>
  <r>
    <s v="FBLG8NSDZF4G"/>
    <s v="Karen Allen"/>
    <s v="Pent House"/>
    <x v="3"/>
    <x v="28"/>
    <x v="2"/>
    <x v="276"/>
    <s v="6809 5048 7351 7222 3961 "/>
    <n v="233.8"/>
    <n v="100000"/>
    <n v="100000"/>
  </r>
  <r>
    <s v="FBPP2SV44JJW"/>
    <s v="Thomas Sanchez"/>
    <s v="Flats"/>
    <x v="0"/>
    <x v="26"/>
    <x v="2"/>
    <x v="276"/>
    <s v="3040 6854 8271 7637 5089 "/>
    <n v="81.8"/>
    <n v="35000"/>
    <n v="35000"/>
  </r>
  <r>
    <s v="FBK6UUNJSWYH"/>
    <s v="Jennifer Robinson"/>
    <s v="Terrace"/>
    <x v="7"/>
    <x v="35"/>
    <x v="2"/>
    <x v="126"/>
    <s v="7200 8822 0252 4314 5616 "/>
    <n v="81.8"/>
    <n v="35000"/>
    <n v="35000"/>
  </r>
  <r>
    <s v="FB8E37Z3O7MB"/>
    <s v="Emily Thomas"/>
    <s v="Flats"/>
    <x v="0"/>
    <x v="23"/>
    <x v="2"/>
    <x v="126"/>
    <s v="5854 7339 6375 2866 0989 "/>
    <n v="116.9"/>
    <n v="50000"/>
    <n v="50000"/>
  </r>
  <r>
    <s v="FBABVJED85NY"/>
    <s v="Jennifer Lewis"/>
    <s v="Terrace"/>
    <x v="7"/>
    <x v="17"/>
    <x v="2"/>
    <x v="127"/>
    <s v="7240 8756 7804 8928 9365 "/>
    <n v="233.7"/>
    <n v="100000"/>
    <n v="100000"/>
  </r>
  <r>
    <s v="FBQ9X2KVGUL7"/>
    <s v="Richard Garcia"/>
    <s v="Flats"/>
    <x v="3"/>
    <x v="36"/>
    <x v="2"/>
    <x v="127"/>
    <s v="3245 6384 5712 1958 6886 "/>
    <n v="116.9"/>
    <n v="50000"/>
    <n v="50000"/>
  </r>
  <r>
    <s v="FBEJYABFO56Z"/>
    <s v="Anthony Robinson"/>
    <s v="Flats"/>
    <x v="3"/>
    <x v="7"/>
    <x v="2"/>
    <x v="127"/>
    <s v="6980 5840 7516 4395 6064 "/>
    <n v="116.9"/>
    <n v="50000"/>
    <n v="50000"/>
  </r>
  <r>
    <s v="FBD4LRNGHKC1"/>
    <s v="Joshua Harris"/>
    <s v="Terrace"/>
    <x v="7"/>
    <x v="12"/>
    <x v="2"/>
    <x v="127"/>
    <s v="4686 1202 4025 4255 9410 "/>
    <n v="233.7"/>
    <n v="100000"/>
    <n v="100000"/>
  </r>
  <r>
    <s v="FB70PVCPEQZV"/>
    <s v="Michelle Wilson"/>
    <s v="Flats"/>
    <x v="2"/>
    <x v="18"/>
    <x v="2"/>
    <x v="128"/>
    <s v="2952 0540 2514 4208 5292 "/>
    <n v="46.7"/>
    <n v="20000"/>
    <n v="20000"/>
  </r>
  <r>
    <s v="FB15P1WTGQVL"/>
    <s v="Patricia Williams"/>
    <s v="Flats"/>
    <x v="2"/>
    <x v="2"/>
    <x v="2"/>
    <x v="128"/>
    <s v="4706 9674 1327 1224 3802 "/>
    <n v="233.5"/>
    <n v="99900"/>
    <n v="99900"/>
  </r>
  <r>
    <s v="FBCCNZ0PEYHE"/>
    <s v="Block A Common Area"/>
    <s v="Office"/>
    <x v="4"/>
    <x v="1"/>
    <x v="2"/>
    <x v="128"/>
    <s v="0450 7854 9065 8187 3568 "/>
    <n v="116.9"/>
    <n v="50000"/>
    <n v="50000"/>
  </r>
  <r>
    <s v="FBFN9WAYDABA"/>
    <s v="Block B Common Area"/>
    <s v="Office"/>
    <x v="2"/>
    <x v="1"/>
    <x v="2"/>
    <x v="128"/>
    <s v="1617 9745 4488 7091 2125 "/>
    <n v="116.8"/>
    <n v="50000"/>
    <n v="50000"/>
  </r>
  <r>
    <s v="FB9GJ3TT8DDN"/>
    <s v="Block C Common Area"/>
    <s v="Office"/>
    <x v="0"/>
    <x v="1"/>
    <x v="2"/>
    <x v="128"/>
    <s v="1584 6927 0989 7490 4809 "/>
    <n v="116.8"/>
    <n v="50000"/>
    <n v="50000"/>
  </r>
  <r>
    <s v="FBR8KZCHHKDX"/>
    <s v="Block D Common Area"/>
    <s v="Office"/>
    <x v="3"/>
    <x v="1"/>
    <x v="2"/>
    <x v="128"/>
    <s v="1366 2017 7120 2008 9281 "/>
    <n v="233.7"/>
    <n v="100000"/>
    <n v="100000"/>
  </r>
  <r>
    <s v="FB7FA0L8DR3X"/>
    <s v="Mark Rodriguez"/>
    <s v="Flats"/>
    <x v="2"/>
    <x v="22"/>
    <x v="2"/>
    <x v="128"/>
    <s v="4921 1304 9884 5447 6888 "/>
    <n v="93.5"/>
    <n v="40000"/>
    <n v="40000"/>
  </r>
  <r>
    <s v="FBYEKY39VMU2"/>
    <s v="Barbara Ramirez"/>
    <s v="Flats"/>
    <x v="4"/>
    <x v="21"/>
    <x v="2"/>
    <x v="128"/>
    <s v="0045 4084 4328 6821 4804 "/>
    <n v="186.9"/>
    <n v="80000"/>
    <n v="80000"/>
  </r>
  <r>
    <s v="FBXXN842DQHC"/>
    <s v="Robert Robinson"/>
    <s v="Flats"/>
    <x v="0"/>
    <x v="30"/>
    <x v="2"/>
    <x v="128"/>
    <s v="6876 4954 1942 9706 4682 "/>
    <n v="46.7"/>
    <n v="20000"/>
    <n v="20000"/>
  </r>
  <r>
    <s v="FBZE216TQ3JR"/>
    <s v="Lisa Clark"/>
    <s v="Flats"/>
    <x v="3"/>
    <x v="14"/>
    <x v="2"/>
    <x v="277"/>
    <s v="1653 1880 0265 3620 8730 "/>
    <n v="116.9"/>
    <n v="50000"/>
    <n v="50000"/>
  </r>
  <r>
    <s v="FBDA6MIQ8FBQ"/>
    <s v="Betty Lopez"/>
    <s v="Flats"/>
    <x v="4"/>
    <x v="27"/>
    <x v="2"/>
    <x v="277"/>
    <s v="6328 2408 1498 8727 9154 "/>
    <n v="233.7"/>
    <n v="100000"/>
    <n v="100000"/>
  </r>
  <r>
    <s v="FBHXDQY2AF67"/>
    <s v="Sarah Wilson"/>
    <s v="Flats"/>
    <x v="3"/>
    <x v="34"/>
    <x v="2"/>
    <x v="277"/>
    <s v="4785 9889 6499 0615 8494 "/>
    <n v="28.1"/>
    <n v="12000"/>
    <n v="12000"/>
  </r>
  <r>
    <s v="FB7HZ8A2VYRS"/>
    <s v="Dorothy Thomas"/>
    <s v="Flats"/>
    <x v="0"/>
    <x v="37"/>
    <x v="2"/>
    <x v="277"/>
    <s v="1754 5674 5916 5720 6200 "/>
    <n v="186.9"/>
    <n v="80000"/>
    <n v="80000"/>
  </r>
  <r>
    <s v="FBRSX9L8WR28"/>
    <s v="Block D Common Area"/>
    <s v="Office"/>
    <x v="3"/>
    <x v="1"/>
    <x v="2"/>
    <x v="278"/>
    <s v="1954 1697 1456 5633 4102 "/>
    <n v="116.9"/>
    <n v="50000"/>
    <n v="50000"/>
  </r>
  <r>
    <s v="FB6SLJ6FORVC"/>
    <s v="Emily Thomas"/>
    <s v="Flats"/>
    <x v="0"/>
    <x v="23"/>
    <x v="2"/>
    <x v="278"/>
    <s v="1820 0603 7468 7823 9497 "/>
    <n v="467.4"/>
    <n v="200000"/>
    <n v="200000"/>
  </r>
  <r>
    <s v="FBUQBHCRMRTZ"/>
    <s v="Sarah Wilson"/>
    <s v="Flats"/>
    <x v="3"/>
    <x v="34"/>
    <x v="2"/>
    <x v="279"/>
    <s v="2910 4418 8382 3456 9178 "/>
    <n v="28"/>
    <n v="12000"/>
    <n v="12000"/>
  </r>
  <r>
    <s v="FBG2EV8Z4HEN"/>
    <s v="Andrew Allen"/>
    <s v="Flats"/>
    <x v="2"/>
    <x v="4"/>
    <x v="2"/>
    <x v="279"/>
    <s v="4412 6697 2564 0926 3529 "/>
    <n v="116.8"/>
    <n v="50000"/>
    <n v="50000"/>
  </r>
  <r>
    <s v="FBIMZI273TRU"/>
    <s v="Thomas Sanchez"/>
    <s v="Flats"/>
    <x v="0"/>
    <x v="26"/>
    <x v="2"/>
    <x v="279"/>
    <s v="0429 6431 4160 5960 7502 "/>
    <n v="140.19999999999999"/>
    <n v="60000"/>
    <n v="60000"/>
  </r>
  <r>
    <s v="FBIO47NEY0M8"/>
    <s v="Sarah Wilson"/>
    <s v="Flats"/>
    <x v="3"/>
    <x v="34"/>
    <x v="2"/>
    <x v="279"/>
    <s v="7203 2893 6971 4646 9747 "/>
    <n v="70.099999999999994"/>
    <n v="30000"/>
    <n v="30000"/>
  </r>
  <r>
    <s v="FBAT1C4XYQUD"/>
    <s v="Power House Common Area Area"/>
    <s v="Office"/>
    <x v="1"/>
    <x v="1"/>
    <x v="2"/>
    <x v="279"/>
    <s v="0384 9544 6746 8809 6649 "/>
    <n v="116.8"/>
    <n v="50000"/>
    <n v="50000"/>
  </r>
  <r>
    <s v="FB0LWL5TL0KW"/>
    <s v="Block D Common Area"/>
    <s v="Office"/>
    <x v="3"/>
    <x v="1"/>
    <x v="2"/>
    <x v="279"/>
    <s v="5670 8628 3336 1279 1415 "/>
    <n v="233.7"/>
    <n v="100000"/>
    <n v="100000"/>
  </r>
  <r>
    <s v="FB04V8HXA117"/>
    <s v="Michelle Wilson"/>
    <s v="Flats"/>
    <x v="2"/>
    <x v="18"/>
    <x v="2"/>
    <x v="279"/>
    <s v="6992 1902 5700 1494 0550 "/>
    <n v="23.4"/>
    <n v="10000"/>
    <n v="10000"/>
  </r>
  <r>
    <s v="FB5XSCHPGOB0"/>
    <s v="Donald Jones"/>
    <s v="Flats"/>
    <x v="0"/>
    <x v="10"/>
    <x v="2"/>
    <x v="129"/>
    <s v="0941 2495 2260 8727 5073 "/>
    <n v="338.9"/>
    <n v="145000"/>
    <n v="145000"/>
  </r>
  <r>
    <s v="FBXUWLEL1LRY"/>
    <s v="Barbara Martinez"/>
    <s v="Flats"/>
    <x v="0"/>
    <x v="0"/>
    <x v="2"/>
    <x v="130"/>
    <s v="1546 0514 9081 3208 1305 "/>
    <n v="57.9"/>
    <n v="24800"/>
    <n v="24800"/>
  </r>
  <r>
    <s v="FBH1OJ0HKL3L"/>
    <s v="Michelle Wilson"/>
    <s v="Flats"/>
    <x v="2"/>
    <x v="18"/>
    <x v="2"/>
    <x v="130"/>
    <s v="6550 5389 1121 3916 2117 "/>
    <n v="46.7"/>
    <n v="20000"/>
    <n v="20000"/>
  </r>
  <r>
    <s v="FBCS9E3LJ7CA"/>
    <s v="Jennifer Robinson"/>
    <s v="Terrace"/>
    <x v="7"/>
    <x v="35"/>
    <x v="2"/>
    <x v="130"/>
    <s v="5156 6600 2205 0446 0040 "/>
    <n v="257.10000000000002"/>
    <n v="110000"/>
    <n v="110000"/>
  </r>
  <r>
    <s v="FBKF7BW06OJL"/>
    <s v="Joshua Harris"/>
    <s v="Terrace"/>
    <x v="7"/>
    <x v="12"/>
    <x v="2"/>
    <x v="131"/>
    <s v="5574 7254 4279 6565 8281 "/>
    <n v="233.7"/>
    <n v="100000"/>
    <n v="100000"/>
  </r>
  <r>
    <s v="FB6EMAYELDX3"/>
    <s v="Anthony Lopez"/>
    <s v="Flats"/>
    <x v="2"/>
    <x v="25"/>
    <x v="2"/>
    <x v="131"/>
    <s v="6515 8057 8781 7403 8227 "/>
    <n v="186.9"/>
    <n v="80000"/>
    <n v="80000"/>
  </r>
  <r>
    <s v="FBDFJ6V5YGKT"/>
    <s v="Anthony Robinson"/>
    <s v="Flats"/>
    <x v="3"/>
    <x v="7"/>
    <x v="2"/>
    <x v="131"/>
    <s v="3614 0767 3591 8342 0585 "/>
    <n v="116.8"/>
    <n v="50000"/>
    <n v="50000"/>
  </r>
  <r>
    <s v="FBD9PZXLNPBW"/>
    <s v="Block A Common Area"/>
    <s v="Office"/>
    <x v="4"/>
    <x v="1"/>
    <x v="2"/>
    <x v="131"/>
    <s v="3349 7708 2762 2344 9324 "/>
    <n v="116.8"/>
    <n v="50000"/>
    <n v="50000"/>
  </r>
  <r>
    <s v="FB6SWM36EYR1"/>
    <s v="Block B Common Area"/>
    <s v="Office"/>
    <x v="2"/>
    <x v="1"/>
    <x v="2"/>
    <x v="131"/>
    <s v="4793 0218 3032 8966 9539 "/>
    <n v="116.9"/>
    <n v="50000"/>
    <n v="50000"/>
  </r>
  <r>
    <s v="FB2L37HYOFOV"/>
    <s v="Block C Common Area"/>
    <s v="Office"/>
    <x v="0"/>
    <x v="1"/>
    <x v="2"/>
    <x v="131"/>
    <s v="1695 5005 7530 8916 6281 "/>
    <n v="116.9"/>
    <n v="50000"/>
    <n v="50000"/>
  </r>
  <r>
    <s v="FBV1PBSM4Q7O"/>
    <s v="Security Utilities Common Area"/>
    <s v="Office"/>
    <x v="6"/>
    <x v="1"/>
    <x v="2"/>
    <x v="131"/>
    <s v="3909 3633 3344 1397 5183 "/>
    <n v="116.9"/>
    <n v="50000"/>
    <n v="50000"/>
  </r>
  <r>
    <s v="FBISDUR56TTB"/>
    <s v="Block D Common Area"/>
    <s v="Office"/>
    <x v="3"/>
    <x v="1"/>
    <x v="2"/>
    <x v="131"/>
    <s v="3455 4033 4624 7089 9394 "/>
    <n v="233.7"/>
    <n v="100000"/>
    <n v="100000"/>
  </r>
  <r>
    <s v="FBAYNKL6VL4B"/>
    <s v="Power House Common Area Area"/>
    <s v="Office"/>
    <x v="1"/>
    <x v="1"/>
    <x v="2"/>
    <x v="131"/>
    <s v="1304 2056 6043 9268 3579 "/>
    <n v="116.9"/>
    <n v="50000"/>
    <n v="50000"/>
  </r>
  <r>
    <s v="FBR5ZVC48QNT"/>
    <s v="Richard Allen"/>
    <s v="Flats"/>
    <x v="2"/>
    <x v="6"/>
    <x v="2"/>
    <x v="132"/>
    <s v="3652 9329 0154 2209 1350 "/>
    <n v="560.9"/>
    <n v="240000"/>
    <n v="240000"/>
  </r>
  <r>
    <s v="FBTIIVLKVWM6"/>
    <s v="Paul Torres"/>
    <s v="Flats"/>
    <x v="2"/>
    <x v="15"/>
    <x v="2"/>
    <x v="132"/>
    <s v="1150 4175 8779 7255 8845 "/>
    <n v="198.7"/>
    <n v="85000"/>
    <n v="85000"/>
  </r>
  <r>
    <s v="FBC7FJOL9FSJ"/>
    <s v="Karen Allen"/>
    <s v="Pent House"/>
    <x v="3"/>
    <x v="28"/>
    <x v="2"/>
    <x v="132"/>
    <s v="1190 8374 1658 2387 6962 "/>
    <n v="116.8"/>
    <n v="50000"/>
    <n v="50000"/>
  </r>
  <r>
    <s v="FB6GBS9KQT7Y"/>
    <s v="Karen Rodriguez"/>
    <s v="Terrace"/>
    <x v="7"/>
    <x v="13"/>
    <x v="2"/>
    <x v="132"/>
    <s v="3168 4696 4906 2246 7283 "/>
    <n v="467.4"/>
    <n v="200000"/>
    <n v="200000"/>
  </r>
  <r>
    <s v="FBBHEME0JJJ3"/>
    <s v="Elizabeth Martin"/>
    <s v="Flats"/>
    <x v="4"/>
    <x v="29"/>
    <x v="2"/>
    <x v="280"/>
    <s v="4679 0247 0613 3921 4158 "/>
    <n v="584.20000000000005"/>
    <n v="250000"/>
    <n v="250000"/>
  </r>
  <r>
    <s v="FB7K30IPHNUM"/>
    <s v="Michelle Wilson"/>
    <s v="Flats"/>
    <x v="2"/>
    <x v="18"/>
    <x v="2"/>
    <x v="133"/>
    <s v="2079 9738 8483 6091 9310 "/>
    <n v="46.8"/>
    <n v="20000"/>
    <n v="20000"/>
  </r>
  <r>
    <s v="FBWBBLBCQSZD"/>
    <s v="Barbara Ramirez"/>
    <s v="Flats"/>
    <x v="4"/>
    <x v="21"/>
    <x v="2"/>
    <x v="133"/>
    <s v="3334 4272 6134 9288 7847 "/>
    <n v="23.4"/>
    <n v="10000"/>
    <n v="10000"/>
  </r>
  <r>
    <s v="FBS4R3ANWJM7"/>
    <s v="Robert Robinson"/>
    <s v="Flats"/>
    <x v="0"/>
    <x v="30"/>
    <x v="2"/>
    <x v="134"/>
    <s v="1274 6381 3716 2692 2044 "/>
    <n v="93.5"/>
    <n v="40000"/>
    <n v="40000"/>
  </r>
  <r>
    <s v="FBBC1VHO5EI3"/>
    <s v="Power House Common Area Area"/>
    <s v="Office"/>
    <x v="1"/>
    <x v="1"/>
    <x v="2"/>
    <x v="134"/>
    <s v="1980 4750 0176 3916 5878 "/>
    <n v="116.9"/>
    <n v="50000"/>
    <n v="50000"/>
  </r>
  <r>
    <s v="FB8OIL2HJEPQ"/>
    <s v="Block D Common Area"/>
    <s v="Office"/>
    <x v="3"/>
    <x v="1"/>
    <x v="2"/>
    <x v="134"/>
    <s v="7208 3722 4065 6977 4513 "/>
    <n v="233.7"/>
    <n v="100000"/>
    <n v="100000"/>
  </r>
  <r>
    <s v="FB4AQWLOXNE5"/>
    <s v="Barbara Martinez"/>
    <s v="Flats"/>
    <x v="0"/>
    <x v="0"/>
    <x v="2"/>
    <x v="135"/>
    <s v="4176 5218 9442 3978 8823 "/>
    <n v="31.6"/>
    <n v="13500"/>
    <n v="13500"/>
  </r>
  <r>
    <s v="FBLSEFQTYUHY"/>
    <s v="Andrew Allen"/>
    <s v="Flats"/>
    <x v="2"/>
    <x v="4"/>
    <x v="2"/>
    <x v="135"/>
    <s v="0786 1324 7887 1729 3296 "/>
    <n v="46.8"/>
    <n v="20000"/>
    <n v="20000"/>
  </r>
  <r>
    <s v="FB341W5AOE0W"/>
    <s v="MANAGMENT Office"/>
    <s v="Office"/>
    <x v="5"/>
    <x v="5"/>
    <x v="2"/>
    <x v="135"/>
    <s v="4051 5495 4824 3937 5167 "/>
    <n v="93.5"/>
    <n v="40000"/>
    <n v="40000"/>
  </r>
  <r>
    <s v="FBDYNGR8FWC5"/>
    <s v="Barbara Martinez"/>
    <s v="Flats"/>
    <x v="0"/>
    <x v="0"/>
    <x v="2"/>
    <x v="136"/>
    <s v="2028 5097 5655 3471 4094 "/>
    <n v="23.3"/>
    <n v="10000"/>
    <n v="10000"/>
  </r>
  <r>
    <s v="FBHGYUT8KRAT"/>
    <s v="Block D Common Area"/>
    <s v="Office"/>
    <x v="3"/>
    <x v="1"/>
    <x v="2"/>
    <x v="136"/>
    <s v="2274 7568 9589 7842 1493 "/>
    <n v="233.7"/>
    <n v="100000"/>
    <n v="100000"/>
  </r>
  <r>
    <s v="FB94ATSSXPJ9"/>
    <s v="Karen Allen"/>
    <s v="Pent House"/>
    <x v="3"/>
    <x v="28"/>
    <x v="2"/>
    <x v="136"/>
    <s v="4662 2675 1826 4757 4163 "/>
    <n v="46.8"/>
    <n v="20000"/>
    <n v="20000"/>
  </r>
  <r>
    <s v="FBCAR0QEVNCH"/>
    <s v="Power House Common Area Area"/>
    <s v="Office"/>
    <x v="1"/>
    <x v="1"/>
    <x v="2"/>
    <x v="136"/>
    <s v="5499 8754 5525 2783 7321 "/>
    <n v="233.7"/>
    <n v="100000"/>
    <n v="100000"/>
  </r>
  <r>
    <s v="FB6CXSXFEJDN"/>
    <s v="Terrace Area Construction"/>
    <s v="Office"/>
    <x v="9"/>
    <x v="20"/>
    <x v="2"/>
    <x v="136"/>
    <s v="2306 3498 8113 2816 4276 "/>
    <n v="233.7"/>
    <n v="100000"/>
    <n v="100000"/>
  </r>
  <r>
    <s v="FBJVDVI9986S"/>
    <s v="Barbara Martinez"/>
    <s v="Flats"/>
    <x v="0"/>
    <x v="0"/>
    <x v="2"/>
    <x v="281"/>
    <s v="0163 8886 2062 1479 5441 "/>
    <n v="208.1"/>
    <n v="50000"/>
    <n v="50000"/>
  </r>
  <r>
    <s v="FB1973KSWHZS"/>
    <s v="Barbara Martinez"/>
    <s v="Flats"/>
    <x v="0"/>
    <x v="0"/>
    <x v="2"/>
    <x v="281"/>
    <s v="3220 3390 9786 8034 9189 "/>
    <n v="200.7"/>
    <n v="48200"/>
    <n v="48200"/>
  </r>
  <r>
    <s v="FBS3MNDK99Y3"/>
    <s v="Barbara Martinez"/>
    <s v="Flats"/>
    <x v="0"/>
    <x v="0"/>
    <x v="2"/>
    <x v="281"/>
    <s v="5069 7814 0587 7605 9092 "/>
    <n v="250.8"/>
    <n v="60250"/>
    <n v="60250"/>
  </r>
  <r>
    <s v="FB1MG4HIQEN2"/>
    <s v="Barbara Martinez"/>
    <s v="Flats"/>
    <x v="0"/>
    <x v="0"/>
    <x v="2"/>
    <x v="281"/>
    <s v="3189 1450 1373 2802 9172 "/>
    <n v="503.8"/>
    <n v="121000"/>
    <n v="121000"/>
  </r>
  <r>
    <s v="FBAQ87FRJ2G3"/>
    <s v="Anthony Robinson"/>
    <s v="Flats"/>
    <x v="3"/>
    <x v="7"/>
    <x v="2"/>
    <x v="281"/>
    <s v="3176 1141 8909 5348 3647 "/>
    <n v="166.6"/>
    <n v="40000"/>
    <n v="40000"/>
  </r>
  <r>
    <s v="FBK4LE8I7O09"/>
    <s v="Joshua Harris"/>
    <s v="Terrace"/>
    <x v="7"/>
    <x v="12"/>
    <x v="2"/>
    <x v="281"/>
    <s v="5965 0150 1286 4267 1619 "/>
    <n v="208.2"/>
    <n v="50000"/>
    <n v="50000"/>
  </r>
  <r>
    <s v="FB4VYA2XHKL3"/>
    <s v="Michelle Wilson"/>
    <s v="Flats"/>
    <x v="2"/>
    <x v="18"/>
    <x v="2"/>
    <x v="281"/>
    <s v="1013 9337 6940 3956 1789 "/>
    <n v="83.2"/>
    <n v="20000"/>
    <n v="20000"/>
  </r>
  <r>
    <s v="FBBC88OMCS9K"/>
    <s v="Block C Common Area"/>
    <s v="Office"/>
    <x v="0"/>
    <x v="1"/>
    <x v="2"/>
    <x v="281"/>
    <s v="0529 5656 8025 0441 5930 "/>
    <n v="208.2"/>
    <n v="50000"/>
    <n v="50000"/>
  </r>
  <r>
    <s v="FB3FQP01KTIV"/>
    <s v="Security Utilities Common Area"/>
    <s v="Office"/>
    <x v="6"/>
    <x v="1"/>
    <x v="2"/>
    <x v="281"/>
    <s v="0460 8094 9082 9786 9522 "/>
    <n v="208.1"/>
    <n v="50000"/>
    <n v="50000"/>
  </r>
  <r>
    <s v="FBUZ1DWEU4S2"/>
    <s v="Block A Common Area"/>
    <s v="Office"/>
    <x v="4"/>
    <x v="1"/>
    <x v="2"/>
    <x v="281"/>
    <s v="0407 4798 4141 1252 3687 "/>
    <n v="208.2"/>
    <n v="50000"/>
    <n v="50000"/>
  </r>
  <r>
    <s v="FBJ3TR4434UK"/>
    <s v="Karen Allen"/>
    <s v="Pent House"/>
    <x v="3"/>
    <x v="28"/>
    <x v="2"/>
    <x v="137"/>
    <s v="7349 7558 7575 1990 3253 "/>
    <n v="208.1"/>
    <n v="50000"/>
    <n v="50000"/>
  </r>
  <r>
    <s v="FB9I1A0I4CQX"/>
    <s v="Karen Rodriguez"/>
    <s v="Terrace"/>
    <x v="7"/>
    <x v="13"/>
    <x v="2"/>
    <x v="137"/>
    <s v="6765 0505 7145 5441 1036 "/>
    <n v="457.9"/>
    <n v="110000"/>
    <n v="110000"/>
  </r>
  <r>
    <s v="FBZ0MPT2VGC5"/>
    <s v="Paul Garcia"/>
    <s v="Flats"/>
    <x v="3"/>
    <x v="11"/>
    <x v="2"/>
    <x v="137"/>
    <s v="1647 2891 1735 1080 7473 "/>
    <n v="632.79999999999995"/>
    <n v="152000"/>
    <n v="152000"/>
  </r>
  <r>
    <s v="FBSGKVH7YDLR"/>
    <s v="Andrew Allen"/>
    <s v="Flats"/>
    <x v="2"/>
    <x v="4"/>
    <x v="2"/>
    <x v="137"/>
    <s v="2941 6320 5669 2069 9863 "/>
    <n v="208.1"/>
    <n v="50000"/>
    <n v="50000"/>
  </r>
  <r>
    <s v="FBI8653JG2Z6"/>
    <s v="Robert Walker"/>
    <s v="Flats"/>
    <x v="2"/>
    <x v="39"/>
    <x v="2"/>
    <x v="137"/>
    <s v="0114 7362 7394 5353 3487 "/>
    <n v="749.4"/>
    <n v="180000"/>
    <n v="180000"/>
  </r>
  <r>
    <s v="FBB3LHJTGMAV"/>
    <s v="Jennifer Lewis"/>
    <s v="Terrace"/>
    <x v="7"/>
    <x v="17"/>
    <x v="2"/>
    <x v="137"/>
    <s v="6303 1680 7339 8667 4417 "/>
    <n v="624.5"/>
    <n v="150000"/>
    <n v="150000"/>
  </r>
  <r>
    <s v="FBO43YHXBR3V"/>
    <s v="Sarah Wilson"/>
    <s v="Flats"/>
    <x v="3"/>
    <x v="34"/>
    <x v="2"/>
    <x v="282"/>
    <s v="4621 7618 0023 6068 8773 "/>
    <n v="41.7"/>
    <n v="10000"/>
    <n v="10000"/>
  </r>
  <r>
    <s v="FB4DOZ9ZMFQQ"/>
    <s v="Jennifer Lewis"/>
    <s v="Terrace"/>
    <x v="7"/>
    <x v="17"/>
    <x v="2"/>
    <x v="138"/>
    <s v="7303 3531 6838 4723 6966 "/>
    <n v="208.1"/>
    <n v="50000"/>
    <n v="50000"/>
  </r>
  <r>
    <s v="FBOFFNU9ABE5"/>
    <s v="Patricia Williams"/>
    <s v="Flats"/>
    <x v="2"/>
    <x v="2"/>
    <x v="2"/>
    <x v="138"/>
    <s v="6906 6870 8638 2166 3484 "/>
    <n v="208.2"/>
    <n v="50000"/>
    <n v="50000"/>
  </r>
  <r>
    <s v="FB2MS7NIV97E"/>
    <s v="Block D Common Area"/>
    <s v="Office"/>
    <x v="3"/>
    <x v="1"/>
    <x v="2"/>
    <x v="138"/>
    <s v="5035 5925 8074 1250 9068 "/>
    <n v="208.2"/>
    <n v="50000"/>
    <n v="50000"/>
  </r>
  <r>
    <s v="FB1OXS8HN02Q"/>
    <s v="Power House Common Area Area"/>
    <s v="Office"/>
    <x v="1"/>
    <x v="1"/>
    <x v="2"/>
    <x v="138"/>
    <s v="6686 5949 4882 6749 0767 "/>
    <n v="208.1"/>
    <n v="50000"/>
    <n v="50000"/>
  </r>
  <r>
    <s v="FB8S8FCLV405"/>
    <s v="Donald Jones"/>
    <s v="Flats"/>
    <x v="0"/>
    <x v="10"/>
    <x v="2"/>
    <x v="283"/>
    <s v="5750 8751 3170 7819 5741 "/>
    <n v="124.9"/>
    <n v="30000"/>
    <n v="30000"/>
  </r>
  <r>
    <s v="FBVGIDKANNLG"/>
    <s v="Joshua Harris"/>
    <s v="Terrace"/>
    <x v="7"/>
    <x v="12"/>
    <x v="2"/>
    <x v="284"/>
    <s v="6303 9351 5982 2785 9338 "/>
    <n v="208.1"/>
    <n v="50000"/>
    <n v="50000"/>
  </r>
  <r>
    <s v="FB1IPPXIS074"/>
    <s v="Block B Common Area"/>
    <s v="Office"/>
    <x v="2"/>
    <x v="1"/>
    <x v="2"/>
    <x v="285"/>
    <s v="2103 1849 9524 0380 5896 "/>
    <n v="208.1"/>
    <n v="50000"/>
    <n v="50000"/>
  </r>
  <r>
    <s v="FBTXVQ0I9N6T"/>
    <s v="Block D Common Area"/>
    <s v="Office"/>
    <x v="3"/>
    <x v="1"/>
    <x v="2"/>
    <x v="285"/>
    <s v="6950 7053 4419 7217 1823 "/>
    <n v="208.1"/>
    <n v="50000"/>
    <n v="50000"/>
  </r>
  <r>
    <s v="FBFU3UIJGBG1"/>
    <s v="Power House Common Area Area"/>
    <s v="Office"/>
    <x v="1"/>
    <x v="1"/>
    <x v="2"/>
    <x v="285"/>
    <s v="0118 2491 4890 9014 7933 "/>
    <n v="208.2"/>
    <n v="50000"/>
    <n v="50000"/>
  </r>
  <r>
    <s v="FBS86SS6FADZ"/>
    <s v="Sarah Wilson"/>
    <s v="Flats"/>
    <x v="3"/>
    <x v="34"/>
    <x v="2"/>
    <x v="286"/>
    <s v="0217 9245 5732 7074 7239 "/>
    <n v="41.6"/>
    <n v="10000"/>
    <n v="10000"/>
  </r>
  <r>
    <s v="FBC5OWO77F8M"/>
    <s v="Elizabeth Martin"/>
    <s v="Flats"/>
    <x v="4"/>
    <x v="29"/>
    <x v="2"/>
    <x v="287"/>
    <s v="2062 2801 5126 4222 5157 "/>
    <n v="1040.8"/>
    <n v="250000"/>
    <n v="250000"/>
  </r>
  <r>
    <s v="FBVTA0C7OFFL"/>
    <s v="Karen Allen"/>
    <s v="Pent House"/>
    <x v="3"/>
    <x v="28"/>
    <x v="2"/>
    <x v="287"/>
    <s v="2648 1527 7351 9239 6489 "/>
    <n v="208.2"/>
    <n v="50000"/>
    <n v="50000"/>
  </r>
  <r>
    <s v="FB08XHMIQT4A"/>
    <s v="Michelle Wilson"/>
    <s v="Flats"/>
    <x v="2"/>
    <x v="18"/>
    <x v="2"/>
    <x v="287"/>
    <s v="6301 1156 5440 2451 5110 "/>
    <n v="208.2"/>
    <n v="50000"/>
    <n v="50000"/>
  </r>
  <r>
    <s v="FBJBR7QKZ05R"/>
    <s v="Michael Wright"/>
    <s v="Flats"/>
    <x v="3"/>
    <x v="9"/>
    <x v="2"/>
    <x v="288"/>
    <s v="7038 2904 3853 6662 8201 "/>
    <n v="374.7"/>
    <n v="90000"/>
    <n v="90000"/>
  </r>
  <r>
    <s v="FBXYBZ8D07BG"/>
    <s v="Emily Thomas"/>
    <s v="Flats"/>
    <x v="0"/>
    <x v="23"/>
    <x v="2"/>
    <x v="288"/>
    <s v="2378 1362 3740 0142 3847 "/>
    <n v="416.3"/>
    <n v="100000"/>
    <n v="100000"/>
  </r>
  <r>
    <s v="FB9OETYABVBN"/>
    <s v="Joshua Harris"/>
    <s v="Terrace"/>
    <x v="7"/>
    <x v="12"/>
    <x v="2"/>
    <x v="139"/>
    <s v="7120 2283 6104 7439 9943 "/>
    <n v="104.1"/>
    <n v="25000"/>
    <n v="25000"/>
  </r>
  <r>
    <s v="FBCQ5V7C4QB6"/>
    <s v="Thomas Sanchez"/>
    <s v="Flats"/>
    <x v="0"/>
    <x v="26"/>
    <x v="2"/>
    <x v="139"/>
    <s v="3266 0792 1714 4797 1972 "/>
    <n v="166.5"/>
    <n v="40000"/>
    <n v="40000"/>
  </r>
  <r>
    <s v="FB7U0CPWSYY5"/>
    <s v="Security Utilities Common Area"/>
    <s v="Office"/>
    <x v="6"/>
    <x v="1"/>
    <x v="2"/>
    <x v="139"/>
    <s v="2608 5143 9374 8973 8666 "/>
    <n v="208.2"/>
    <n v="50000"/>
    <n v="50000"/>
  </r>
  <r>
    <s v="FBVZ8JN34Q28"/>
    <s v="Block D Common Area"/>
    <s v="Office"/>
    <x v="3"/>
    <x v="1"/>
    <x v="2"/>
    <x v="139"/>
    <s v="1202 4566 8475 7746 1517 "/>
    <n v="208.2"/>
    <n v="50000"/>
    <n v="50000"/>
  </r>
  <r>
    <s v="FBD4J6TQ1B0H"/>
    <s v="MANAGMENT Office"/>
    <s v="Office"/>
    <x v="5"/>
    <x v="5"/>
    <x v="2"/>
    <x v="139"/>
    <s v="2302 0366 9233 1977 3019 "/>
    <n v="208.2"/>
    <n v="50000"/>
    <n v="50000"/>
  </r>
  <r>
    <s v="FBAEYEOCCSOK"/>
    <s v="Anthony Robinson"/>
    <s v="Flats"/>
    <x v="3"/>
    <x v="7"/>
    <x v="2"/>
    <x v="139"/>
    <s v="0908 1052 0710 6117 3252 "/>
    <n v="104"/>
    <n v="25000"/>
    <n v="25000"/>
  </r>
  <r>
    <s v="FBIOQN1PH3P6"/>
    <s v="Daniel Torres"/>
    <s v="Flats"/>
    <x v="4"/>
    <x v="24"/>
    <x v="2"/>
    <x v="140"/>
    <s v="7309 6582 5650 7177 7496 "/>
    <n v="208.1"/>
    <n v="50000"/>
    <n v="50000"/>
  </r>
  <r>
    <s v="FBC2T89R7WSR"/>
    <s v="Lisa Clark"/>
    <s v="Flats"/>
    <x v="3"/>
    <x v="14"/>
    <x v="2"/>
    <x v="140"/>
    <s v="2166 9935 5594 8361 2493 "/>
    <n v="208.1"/>
    <n v="50000"/>
    <n v="50000"/>
  </r>
  <r>
    <s v="FBGNS1OF8TBA"/>
    <s v="Sarah Wilson"/>
    <s v="Flats"/>
    <x v="3"/>
    <x v="34"/>
    <x v="2"/>
    <x v="289"/>
    <s v="7126 2203 8964 4607 7682 "/>
    <n v="62.4"/>
    <n v="15000"/>
    <n v="15000"/>
  </r>
  <r>
    <s v="FB22VI3XB56Z"/>
    <s v="Karen Rodriguez"/>
    <s v="Terrace"/>
    <x v="7"/>
    <x v="13"/>
    <x v="2"/>
    <x v="141"/>
    <s v="0571 9641 4274 0932 2910 "/>
    <n v="416.3"/>
    <n v="100000"/>
    <n v="100000"/>
  </r>
  <r>
    <s v="FBNU3VZRZBWP"/>
    <s v="Karen Allen"/>
    <s v="Pent House"/>
    <x v="3"/>
    <x v="28"/>
    <x v="2"/>
    <x v="141"/>
    <s v="7373 2672 9639 7859 7016 "/>
    <n v="249.7"/>
    <n v="60000"/>
    <n v="60000"/>
  </r>
  <r>
    <s v="FBTCFURM9TOM"/>
    <s v="Jennifer Robinson"/>
    <s v="Terrace"/>
    <x v="7"/>
    <x v="35"/>
    <x v="2"/>
    <x v="141"/>
    <s v="2694 1395 9592 6340 3944 "/>
    <n v="333"/>
    <n v="80000"/>
    <n v="80000"/>
  </r>
  <r>
    <s v="FBHFSWY4CL4J"/>
    <s v="Block D Common Area"/>
    <s v="Office"/>
    <x v="3"/>
    <x v="1"/>
    <x v="2"/>
    <x v="141"/>
    <s v="6150 8645 7494 8824 5858 "/>
    <n v="208.1"/>
    <n v="50000"/>
    <n v="50000"/>
  </r>
  <r>
    <s v="FB9VVK3YAG7Y"/>
    <s v="Power House Common Area Area"/>
    <s v="Office"/>
    <x v="1"/>
    <x v="1"/>
    <x v="2"/>
    <x v="141"/>
    <s v="4270 9600 0443 3913 4820 "/>
    <n v="208.1"/>
    <n v="50000"/>
    <n v="50000"/>
  </r>
  <r>
    <s v="FB2ECMJXBITF"/>
    <s v="Richard Garcia"/>
    <s v="Flats"/>
    <x v="3"/>
    <x v="36"/>
    <x v="2"/>
    <x v="141"/>
    <s v="2202 4815 2934 2284 3443 "/>
    <n v="208.1"/>
    <n v="50000"/>
    <n v="50000"/>
  </r>
  <r>
    <s v="FBT8C1HR607J"/>
    <s v="Andrew Allen"/>
    <s v="Flats"/>
    <x v="2"/>
    <x v="4"/>
    <x v="2"/>
    <x v="290"/>
    <s v="4964 9956 5546 2915 1432 "/>
    <n v="208.2"/>
    <n v="50000"/>
    <n v="50000"/>
  </r>
  <r>
    <s v="FB4N62VJASIS"/>
    <s v="Patricia Williams"/>
    <s v="Flats"/>
    <x v="2"/>
    <x v="2"/>
    <x v="2"/>
    <x v="290"/>
    <s v="4700 6140 6189 9690 4219 "/>
    <n v="208.1"/>
    <n v="50000"/>
    <n v="50000"/>
  </r>
  <r>
    <s v="FB2VKIFMOBQC"/>
    <s v="Joshua Harris"/>
    <s v="Terrace"/>
    <x v="7"/>
    <x v="12"/>
    <x v="2"/>
    <x v="290"/>
    <s v="0120 2933 9673 8206 1465 "/>
    <n v="208.2"/>
    <n v="50000"/>
    <n v="50000"/>
  </r>
  <r>
    <s v="FBIV18BJL6ZL"/>
    <s v="Dorothy Thomas"/>
    <s v="Flats"/>
    <x v="0"/>
    <x v="37"/>
    <x v="2"/>
    <x v="142"/>
    <s v="3273 3027 8895 5279 7256 "/>
    <n v="333.1"/>
    <n v="80000"/>
    <n v="80000"/>
  </r>
  <r>
    <s v="FBX8MDE0IN3D"/>
    <s v="Betty Lopez"/>
    <s v="Flats"/>
    <x v="4"/>
    <x v="27"/>
    <x v="2"/>
    <x v="142"/>
    <s v="1607 6975 2619 6684 7543 "/>
    <n v="208.1"/>
    <n v="50000"/>
    <n v="50000"/>
  </r>
  <r>
    <s v="FBHR0AC3DF8T"/>
    <s v="Thomas &amp; Jane Jackson"/>
    <s v="Flats"/>
    <x v="4"/>
    <x v="38"/>
    <x v="2"/>
    <x v="142"/>
    <s v="2080 9811 5242 2725 9756 "/>
    <n v="274"/>
    <n v="65809.490000000005"/>
    <n v="65809.490000000005"/>
  </r>
  <r>
    <s v="FBO0T5IL3GCN"/>
    <s v="Elizabeth Martin"/>
    <s v="Flats"/>
    <x v="4"/>
    <x v="29"/>
    <x v="2"/>
    <x v="291"/>
    <s v="2313 3317 4050 1128 5809 "/>
    <n v="1040.8"/>
    <n v="250000"/>
    <n v="250000"/>
  </r>
  <r>
    <s v="FBPGHMDSNI7T"/>
    <s v="Elizabeth Martin"/>
    <s v="Flats"/>
    <x v="4"/>
    <x v="29"/>
    <x v="2"/>
    <x v="291"/>
    <s v="1284 9512 3373 7941 1414 "/>
    <n v="1040.7"/>
    <n v="250000"/>
    <n v="250000"/>
  </r>
  <r>
    <s v="FBKE4GBFRXHR"/>
    <s v="Elizabeth Martin"/>
    <s v="Flats"/>
    <x v="4"/>
    <x v="29"/>
    <x v="2"/>
    <x v="291"/>
    <s v="0380 6165 1877 7866 8491 "/>
    <n v="1040.8"/>
    <n v="250000"/>
    <n v="250000"/>
  </r>
  <r>
    <s v="FB3IVNO8YB50"/>
    <s v="Anthony Robinson"/>
    <s v="Flats"/>
    <x v="3"/>
    <x v="7"/>
    <x v="2"/>
    <x v="291"/>
    <s v="4578 2020 4548 1522 1378 "/>
    <n v="208.2"/>
    <n v="50000"/>
    <n v="50000"/>
  </r>
  <r>
    <s v="FB1BUCX6F0RC"/>
    <s v="Block D Common Area"/>
    <s v="Office"/>
    <x v="3"/>
    <x v="1"/>
    <x v="2"/>
    <x v="291"/>
    <s v="2392 5011 3574 1066 5844 "/>
    <n v="208.2"/>
    <n v="50000"/>
    <n v="50000"/>
  </r>
  <r>
    <s v="FBMAJ6P13BNL"/>
    <s v="Susan Nguyen"/>
    <s v="Flats"/>
    <x v="3"/>
    <x v="14"/>
    <x v="2"/>
    <x v="143"/>
    <s v="2851 1546 7871 0549 0419 "/>
    <n v="416.3"/>
    <n v="100000"/>
    <n v="100000"/>
  </r>
  <r>
    <s v="FB9JSWBF83VY"/>
    <s v="Block B Common Area"/>
    <s v="Office"/>
    <x v="2"/>
    <x v="1"/>
    <x v="2"/>
    <x v="143"/>
    <s v="6639 6666 0725 8282 6659 "/>
    <n v="208.2"/>
    <n v="50000"/>
    <n v="50000"/>
  </r>
  <r>
    <s v="FB5AYB7ONB9I"/>
    <s v="Block D Common Area"/>
    <s v="Office"/>
    <x v="3"/>
    <x v="1"/>
    <x v="2"/>
    <x v="143"/>
    <s v="3236 0101 3789 4409 0113 "/>
    <n v="416.3"/>
    <n v="100000"/>
    <n v="100000"/>
  </r>
  <r>
    <s v="FBIBTQNJ6EUH"/>
    <s v="Block C Common Area"/>
    <s v="Office"/>
    <x v="0"/>
    <x v="1"/>
    <x v="2"/>
    <x v="143"/>
    <s v="2383 8690 0164 4927 9554 "/>
    <n v="208.1"/>
    <n v="50000"/>
    <n v="50000"/>
  </r>
  <r>
    <s v="FBR2FBIRGSVP"/>
    <s v="Richard Allen"/>
    <s v="Flats"/>
    <x v="2"/>
    <x v="6"/>
    <x v="2"/>
    <x v="143"/>
    <s v="2708 2417 7718 7684 7481 "/>
    <n v="416.3"/>
    <n v="100000"/>
    <n v="100000"/>
  </r>
  <r>
    <s v="FBRIMSKR77KL"/>
    <s v="Security Utilities Common Area"/>
    <s v="Office"/>
    <x v="6"/>
    <x v="1"/>
    <x v="2"/>
    <x v="143"/>
    <s v="6908 3912 1392 7194 7034 "/>
    <n v="208.1"/>
    <n v="50000"/>
    <n v="50000"/>
  </r>
  <r>
    <s v="FB82Q5OTIBE7"/>
    <s v="Power House Common Area Area"/>
    <s v="Office"/>
    <x v="1"/>
    <x v="1"/>
    <x v="2"/>
    <x v="143"/>
    <s v="3386 4729 5547 5832 9566 "/>
    <n v="416.3"/>
    <n v="100000"/>
    <n v="100000"/>
  </r>
  <r>
    <s v="FBWS3BW4DBLI"/>
    <s v="Mark Rodriguez"/>
    <s v="Flats"/>
    <x v="2"/>
    <x v="22"/>
    <x v="2"/>
    <x v="143"/>
    <s v="0000 5338 3035 7008 5831 "/>
    <n v="166.5"/>
    <n v="40000"/>
    <n v="40000"/>
  </r>
  <r>
    <s v="FB79YHTXCJAI"/>
    <s v="Block A Common Area"/>
    <s v="Office"/>
    <x v="4"/>
    <x v="1"/>
    <x v="2"/>
    <x v="143"/>
    <s v="3781 2594 6754 2689 4502 "/>
    <n v="208.1"/>
    <n v="50000"/>
    <n v="50000"/>
  </r>
  <r>
    <s v="FBBSKSA5PL02"/>
    <s v="Donald Jones"/>
    <s v="Flats"/>
    <x v="0"/>
    <x v="10"/>
    <x v="2"/>
    <x v="292"/>
    <s v="7376 1762 2739 1764 3606 "/>
    <n v="291.39999999999998"/>
    <n v="70000"/>
    <n v="70000"/>
  </r>
  <r>
    <s v="FBFGXWI59ZE9"/>
    <s v="Jennifer Lewis"/>
    <s v="Terrace"/>
    <x v="7"/>
    <x v="17"/>
    <x v="2"/>
    <x v="292"/>
    <s v="3174 9855 9135 5445 8750 "/>
    <n v="208.2"/>
    <n v="50000"/>
    <n v="50000"/>
  </r>
  <r>
    <s v="FBKG028QLQAV"/>
    <s v="Anthony Lopez"/>
    <s v="Flats"/>
    <x v="2"/>
    <x v="25"/>
    <x v="2"/>
    <x v="293"/>
    <s v="1612 3227 0641 7103 1711 "/>
    <n v="416.3"/>
    <n v="100000"/>
    <n v="100000"/>
  </r>
  <r>
    <s v="FBW19XXMCKQP"/>
    <s v="Anthony Lopez"/>
    <s v="Flats"/>
    <x v="2"/>
    <x v="25"/>
    <x v="2"/>
    <x v="293"/>
    <s v="4356 4370 7130 9455 7277 "/>
    <n v="41.7"/>
    <n v="10000"/>
    <n v="10000"/>
  </r>
  <r>
    <s v="FBTVFLDCHQNC"/>
    <s v="Betty Lopez"/>
    <s v="Flats"/>
    <x v="4"/>
    <x v="27"/>
    <x v="2"/>
    <x v="293"/>
    <s v="2885 7881 3277 6448 8460 "/>
    <n v="208.2"/>
    <n v="50000"/>
    <n v="50000"/>
  </r>
  <r>
    <s v="FBFGW2XT24XF"/>
    <s v="Joshua Harris"/>
    <s v="Terrace"/>
    <x v="7"/>
    <x v="12"/>
    <x v="2"/>
    <x v="144"/>
    <s v="3540 8392 1949 7035 8841 "/>
    <n v="41.6"/>
    <n v="10000"/>
    <n v="10000"/>
  </r>
  <r>
    <s v="FBK6F351ABF0"/>
    <s v="Sarah Wilson"/>
    <s v="Flats"/>
    <x v="3"/>
    <x v="34"/>
    <x v="2"/>
    <x v="146"/>
    <s v="1695 8202 5981 6318 9969 "/>
    <n v="62.4"/>
    <n v="15000"/>
    <n v="15000"/>
  </r>
  <r>
    <s v="FBWXNR2NL519"/>
    <s v="Sarah Wilson"/>
    <s v="Flats"/>
    <x v="3"/>
    <x v="34"/>
    <x v="2"/>
    <x v="146"/>
    <s v="1682 0522 5805 5723 9504 "/>
    <n v="62.5"/>
    <n v="15000"/>
    <n v="15000"/>
  </r>
  <r>
    <s v="FBH4RMEI5MKH"/>
    <s v="Michelle Wilson"/>
    <s v="Flats"/>
    <x v="2"/>
    <x v="18"/>
    <x v="2"/>
    <x v="147"/>
    <s v="0644 0280 4881 8919 2705 "/>
    <n v="208.1"/>
    <n v="50000"/>
    <n v="50000"/>
  </r>
  <r>
    <s v="FBDGSVBZDS5J"/>
    <s v="Sarah Wilson"/>
    <s v="Flats"/>
    <x v="3"/>
    <x v="34"/>
    <x v="2"/>
    <x v="147"/>
    <s v="0319 7197 8160 3343 7630 "/>
    <n v="62.5"/>
    <n v="15000"/>
    <n v="15000"/>
  </r>
  <r>
    <s v="FBOZN5NLZZE5"/>
    <s v="Block D Common Area"/>
    <s v="Office"/>
    <x v="3"/>
    <x v="1"/>
    <x v="2"/>
    <x v="148"/>
    <s v="1740 9013 7670 1186 8793 "/>
    <n v="416.3"/>
    <n v="100000"/>
    <n v="100000"/>
  </r>
  <r>
    <s v="FBHMUWZ96ISL"/>
    <s v="Joshua Harris"/>
    <s v="Terrace"/>
    <x v="7"/>
    <x v="12"/>
    <x v="2"/>
    <x v="148"/>
    <s v="0975 3546 9880 9394 9340 "/>
    <n v="104.1"/>
    <n v="25000"/>
    <n v="25000"/>
  </r>
  <r>
    <s v="FB5QFAJ83KPH"/>
    <s v="Sarah Wilson"/>
    <s v="Flats"/>
    <x v="3"/>
    <x v="34"/>
    <x v="2"/>
    <x v="149"/>
    <s v="1146 3059 9167 0520 6391 "/>
    <n v="62.4"/>
    <n v="15000"/>
    <n v="15000"/>
  </r>
  <r>
    <s v="FBI8UXA0LIFX"/>
    <s v="Jennifer Lewis"/>
    <s v="Terrace"/>
    <x v="7"/>
    <x v="17"/>
    <x v="2"/>
    <x v="149"/>
    <s v="4579 4961 7614 7790 4074 "/>
    <n v="208.1"/>
    <n v="50000"/>
    <n v="50000"/>
  </r>
  <r>
    <s v="FBD4XU8C8DL7"/>
    <s v="Power House Common Area Area"/>
    <s v="Office"/>
    <x v="1"/>
    <x v="1"/>
    <x v="2"/>
    <x v="150"/>
    <s v="6086 1775 1958 7507 0931 "/>
    <n v="208.2"/>
    <n v="50000"/>
    <n v="50000"/>
  </r>
  <r>
    <s v="FBUF0S496DJF"/>
    <s v="Anthony Robinson"/>
    <s v="Flats"/>
    <x v="3"/>
    <x v="7"/>
    <x v="2"/>
    <x v="152"/>
    <s v="4220 3840 9810 1096 9430 "/>
    <n v="208.1"/>
    <n v="50000"/>
    <n v="50000"/>
  </r>
  <r>
    <s v="FBRN9ZOGRXUY"/>
    <s v="Karen Allen"/>
    <s v="Pent House"/>
    <x v="3"/>
    <x v="28"/>
    <x v="2"/>
    <x v="152"/>
    <s v="4855 2344 2784 2704 4506 "/>
    <n v="416.3"/>
    <n v="100000"/>
    <n v="100000"/>
  </r>
  <r>
    <s v="FB32YD6M5MHR"/>
    <s v="Thomas Sanchez"/>
    <s v="Flats"/>
    <x v="0"/>
    <x v="26"/>
    <x v="2"/>
    <x v="152"/>
    <s v="3591 8406 0241 7867 3356 "/>
    <n v="124.9"/>
    <n v="30000"/>
    <n v="30000"/>
  </r>
  <r>
    <s v="FBXGKXHCKTLR"/>
    <s v="Jennifer Lewis"/>
    <s v="Terrace"/>
    <x v="7"/>
    <x v="17"/>
    <x v="2"/>
    <x v="153"/>
    <s v="6631 0463 5556 1830 5116 "/>
    <n v="416.3"/>
    <n v="100000"/>
    <n v="100000"/>
  </r>
  <r>
    <s v="FB1PL5GR6E07"/>
    <s v="Block D Common Area"/>
    <s v="Office"/>
    <x v="3"/>
    <x v="1"/>
    <x v="2"/>
    <x v="153"/>
    <s v="5679 0319 6821 0187 8670 "/>
    <n v="416.3"/>
    <n v="100000"/>
    <n v="100000"/>
  </r>
  <r>
    <s v="FB4GH610RI3H"/>
    <s v="Robert Robinson"/>
    <s v="Flats"/>
    <x v="0"/>
    <x v="30"/>
    <x v="2"/>
    <x v="154"/>
    <s v="1229 3798 0176 6648 7128 "/>
    <n v="208.2"/>
    <n v="50000"/>
    <n v="50000"/>
  </r>
  <r>
    <s v="FB3RKFOTVERR"/>
    <s v="Block C Common Area"/>
    <s v="Office"/>
    <x v="0"/>
    <x v="1"/>
    <x v="2"/>
    <x v="154"/>
    <s v="1851 2926 7984 2338 2255 "/>
    <n v="208.2"/>
    <n v="50000"/>
    <n v="50000"/>
  </r>
  <r>
    <s v="FBZJYZ7G0PKI"/>
    <s v="Block A Common Area"/>
    <s v="Office"/>
    <x v="4"/>
    <x v="1"/>
    <x v="2"/>
    <x v="154"/>
    <s v="7017 4319 5933 9417 3548 "/>
    <n v="208.2"/>
    <n v="50000"/>
    <n v="50000"/>
  </r>
  <r>
    <s v="FBA59YAS3PA0"/>
    <s v="MANAGMENT Office"/>
    <s v="Office"/>
    <x v="5"/>
    <x v="5"/>
    <x v="2"/>
    <x v="154"/>
    <s v="3772 6551 5179 3099 3304 "/>
    <n v="208.1"/>
    <n v="50000"/>
    <n v="50000"/>
  </r>
  <r>
    <s v="FBOQMVBACJOZ"/>
    <s v="Andrew Allen"/>
    <s v="Flats"/>
    <x v="2"/>
    <x v="4"/>
    <x v="2"/>
    <x v="154"/>
    <s v="4724 0651 5059 6842 4892 "/>
    <n v="208.1"/>
    <n v="50000"/>
    <n v="50000"/>
  </r>
  <r>
    <s v="FBWR0G5E2NET"/>
    <s v="James Clark"/>
    <s v="Flats"/>
    <x v="4"/>
    <x v="33"/>
    <x v="2"/>
    <x v="155"/>
    <s v="1770 4236 0053 4238 2043 "/>
    <n v="416.3"/>
    <n v="100000"/>
    <n v="100000"/>
  </r>
  <r>
    <s v="FBLZHFRNPS25"/>
    <s v="Joshua Harris"/>
    <s v="Terrace"/>
    <x v="7"/>
    <x v="12"/>
    <x v="2"/>
    <x v="155"/>
    <s v="0437 9874 0288 9345 7833 "/>
    <n v="41.6"/>
    <n v="10000"/>
    <n v="10000"/>
  </r>
  <r>
    <s v="FBJ7GTYMS6P3"/>
    <s v="Power House Common Area Area"/>
    <s v="Office"/>
    <x v="1"/>
    <x v="1"/>
    <x v="2"/>
    <x v="294"/>
    <s v="3747 0675 0612 2347 6827 "/>
    <n v="166.5"/>
    <n v="40000"/>
    <n v="40000"/>
  </r>
  <r>
    <s v="FB2Q5V9CRMSZ"/>
    <s v="Patricia Williams"/>
    <s v="Flats"/>
    <x v="2"/>
    <x v="2"/>
    <x v="2"/>
    <x v="156"/>
    <s v="6232 2233 7228 9323 2987 "/>
    <n v="146.1"/>
    <n v="35100"/>
    <n v="35100"/>
  </r>
  <r>
    <s v="FB9JJ4CJBFMI"/>
    <s v="Block B Common Area"/>
    <s v="Office"/>
    <x v="2"/>
    <x v="1"/>
    <x v="2"/>
    <x v="156"/>
    <s v="4304 9869 4484 0439 3661 "/>
    <n v="208.1"/>
    <n v="50000"/>
    <n v="50000"/>
  </r>
  <r>
    <s v="FB9R4IDBD042"/>
    <s v="Block D Common Area"/>
    <s v="Office"/>
    <x v="3"/>
    <x v="1"/>
    <x v="2"/>
    <x v="156"/>
    <s v="3960 4534 1215 8153 7189 "/>
    <n v="208.1"/>
    <n v="50000"/>
    <n v="50000"/>
  </r>
  <r>
    <s v="FBRBEIYRE9SY"/>
    <s v="Security Utilities Common Area"/>
    <s v="Office"/>
    <x v="6"/>
    <x v="1"/>
    <x v="2"/>
    <x v="156"/>
    <s v="3641 6608 2966 1647 7117 "/>
    <n v="208.2"/>
    <n v="50000"/>
    <n v="50000"/>
  </r>
  <r>
    <s v="FBJKHP8UGKNK"/>
    <s v="Power House Common Area Area"/>
    <s v="Office"/>
    <x v="1"/>
    <x v="1"/>
    <x v="2"/>
    <x v="156"/>
    <s v="5340 8472 6203 0790 9802 "/>
    <n v="208.2"/>
    <n v="50000"/>
    <n v="50000"/>
  </r>
  <r>
    <s v="FBID4N5R0PM3"/>
    <s v="Emily Thomas"/>
    <s v="Flats"/>
    <x v="0"/>
    <x v="23"/>
    <x v="2"/>
    <x v="156"/>
    <s v="5901 6692 7294 3498 3856 "/>
    <n v="145.69999999999999"/>
    <n v="35000"/>
    <n v="35000"/>
  </r>
  <r>
    <s v="FBP337YVDN0Q"/>
    <s v="Joshua Harris"/>
    <s v="Terrace"/>
    <x v="7"/>
    <x v="12"/>
    <x v="2"/>
    <x v="156"/>
    <s v="5027 4433 8328 8199 4047 "/>
    <n v="62.5"/>
    <n v="15000"/>
    <n v="15000"/>
  </r>
  <r>
    <s v="FBC6V64UX4QV"/>
    <s v="Sarah Wilson"/>
    <s v="Flats"/>
    <x v="3"/>
    <x v="34"/>
    <x v="2"/>
    <x v="295"/>
    <s v="6050 1036 7018 2741 4492 "/>
    <n v="41.7"/>
    <n v="10000"/>
    <n v="10000"/>
  </r>
  <r>
    <s v="FBF4RY4T3REQ"/>
    <s v="Jennifer Robinson"/>
    <s v="Terrace"/>
    <x v="7"/>
    <x v="35"/>
    <x v="2"/>
    <x v="295"/>
    <s v="4479 7396 2644 8840 0784 "/>
    <n v="166.5"/>
    <n v="40000"/>
    <n v="40000"/>
  </r>
  <r>
    <s v="FBS2ZV9SNB7P"/>
    <s v="Robert Walker"/>
    <s v="Flats"/>
    <x v="2"/>
    <x v="39"/>
    <x v="2"/>
    <x v="296"/>
    <s v="2240 8298 2254 9576 5693 "/>
    <n v="749.3"/>
    <n v="180000"/>
    <n v="180000"/>
  </r>
  <r>
    <s v="FBCJFDMS8RAJ"/>
    <s v="Joshua Harris"/>
    <s v="Terrace"/>
    <x v="7"/>
    <x v="12"/>
    <x v="2"/>
    <x v="296"/>
    <s v="2380 9359 4883 2658 0937 "/>
    <n v="104"/>
    <n v="25000"/>
    <n v="25000"/>
  </r>
  <r>
    <s v="FBNK30TN3AR0"/>
    <s v="Lisa Clark"/>
    <s v="Flats"/>
    <x v="3"/>
    <x v="14"/>
    <x v="2"/>
    <x v="297"/>
    <s v="5073 8176 9953 6643 5838 "/>
    <n v="187.3"/>
    <n v="45000"/>
    <n v="45000"/>
  </r>
  <r>
    <s v="FBQL1BNUJI3H"/>
    <s v="Sarah Wilson"/>
    <s v="Flats"/>
    <x v="3"/>
    <x v="34"/>
    <x v="2"/>
    <x v="298"/>
    <s v="1526 0345 2975 9293 4051 "/>
    <n v="41.6"/>
    <n v="10000"/>
    <n v="10000"/>
  </r>
  <r>
    <s v="FBZBN7CCTIYD"/>
    <s v="Joshua Harris"/>
    <s v="Terrace"/>
    <x v="7"/>
    <x v="12"/>
    <x v="2"/>
    <x v="298"/>
    <s v="3869 9470 0944 2486 7644 "/>
    <n v="41.7"/>
    <n v="10000"/>
    <n v="10000"/>
  </r>
  <r>
    <s v="FBQ7PP80GXDO"/>
    <s v="Block D Common Area"/>
    <s v="Office"/>
    <x v="3"/>
    <x v="1"/>
    <x v="2"/>
    <x v="298"/>
    <s v="3456 8457 6467 0095 7141 "/>
    <n v="416.3"/>
    <n v="100000"/>
    <n v="100000"/>
  </r>
  <r>
    <s v="FBEQND0GM9SL"/>
    <s v="Karen Rodriguez"/>
    <s v="Terrace"/>
    <x v="7"/>
    <x v="13"/>
    <x v="2"/>
    <x v="299"/>
    <s v="4587 2982 9895 5168 0640 "/>
    <n v="624.5"/>
    <n v="150000"/>
    <n v="150000"/>
  </r>
  <r>
    <s v="FB7EHEPP9MTZ"/>
    <s v="Patricia Williams"/>
    <s v="Flats"/>
    <x v="2"/>
    <x v="2"/>
    <x v="2"/>
    <x v="299"/>
    <s v="6920 5748 8380 7511 9389 "/>
    <n v="145.69999999999999"/>
    <n v="35000"/>
    <n v="35000"/>
  </r>
  <r>
    <s v="FB2WGT7282OM"/>
    <s v="Joshua Harris"/>
    <s v="Terrace"/>
    <x v="7"/>
    <x v="12"/>
    <x v="2"/>
    <x v="157"/>
    <s v="3128 3374 4119 8769 5819 "/>
    <n v="104"/>
    <n v="25000"/>
    <n v="25000"/>
  </r>
  <r>
    <s v="FBOR4CQWSYCT"/>
    <s v="Thomas Sanchez"/>
    <s v="Flats"/>
    <x v="0"/>
    <x v="26"/>
    <x v="2"/>
    <x v="157"/>
    <s v="1769 7528 4023 7460 3300 "/>
    <n v="124.9"/>
    <n v="30000"/>
    <n v="30000"/>
  </r>
  <r>
    <s v="FB8P97VS30M5"/>
    <s v="Power House Common Area Area"/>
    <s v="Office"/>
    <x v="1"/>
    <x v="1"/>
    <x v="2"/>
    <x v="157"/>
    <s v="3738 2190 6689 9829 9341 "/>
    <n v="416.3"/>
    <n v="100000"/>
    <n v="100000"/>
  </r>
  <r>
    <s v="FBRI1TBQ6IRO"/>
    <s v="MANAGMENT Office"/>
    <s v="Office"/>
    <x v="5"/>
    <x v="5"/>
    <x v="2"/>
    <x v="157"/>
    <s v="5712 5216 9598 6948 5658 "/>
    <n v="208.2"/>
    <n v="50000"/>
    <n v="50000"/>
  </r>
  <r>
    <s v="FBW9780LSIHT"/>
    <s v="Barbara Ramirez"/>
    <s v="Flats"/>
    <x v="4"/>
    <x v="21"/>
    <x v="2"/>
    <x v="157"/>
    <s v="2913 5839 8530 5320 5948 "/>
    <n v="62.5"/>
    <n v="15000"/>
    <n v="15000"/>
  </r>
  <r>
    <s v="FBOEC42KBD32"/>
    <s v="Karen Allen"/>
    <s v="Pent House"/>
    <x v="3"/>
    <x v="28"/>
    <x v="2"/>
    <x v="300"/>
    <s v="5740 1649 7008 5008 8905 "/>
    <n v="208.2"/>
    <n v="50000"/>
    <n v="50000"/>
  </r>
  <r>
    <s v="FB5P9MP2WW9H"/>
    <s v="Block A Common Area"/>
    <s v="Office"/>
    <x v="4"/>
    <x v="1"/>
    <x v="2"/>
    <x v="300"/>
    <s v="2991 6995 8910 5453 3520 "/>
    <n v="416.3"/>
    <n v="100000"/>
    <n v="100000"/>
  </r>
  <r>
    <s v="FBG6MVEKW8HJ"/>
    <s v="Block C Common Area"/>
    <s v="Office"/>
    <x v="0"/>
    <x v="1"/>
    <x v="2"/>
    <x v="300"/>
    <s v="0906 9859 7583 7883 7107 "/>
    <n v="416.3"/>
    <n v="100000"/>
    <n v="100000"/>
  </r>
  <r>
    <s v="FBTK1AQSAZGW"/>
    <s v="Block D Common Area"/>
    <s v="Office"/>
    <x v="3"/>
    <x v="1"/>
    <x v="2"/>
    <x v="300"/>
    <s v="3447 5139 9608 8088 3246 "/>
    <n v="416.3"/>
    <n v="100000"/>
    <n v="100000"/>
  </r>
  <r>
    <s v="FBRXNOMM84DV"/>
    <s v="Security Utilities Common Area"/>
    <s v="Office"/>
    <x v="6"/>
    <x v="1"/>
    <x v="2"/>
    <x v="300"/>
    <s v="5300 4664 4433 5374 5009 "/>
    <n v="416.3"/>
    <n v="100000"/>
    <n v="100000"/>
  </r>
  <r>
    <s v="FBO8NHV7BVSD"/>
    <s v="Power House Common Area Area"/>
    <s v="Office"/>
    <x v="1"/>
    <x v="1"/>
    <x v="2"/>
    <x v="300"/>
    <s v="6213 4709 4275 0945 7775 "/>
    <n v="832.6"/>
    <n v="200000"/>
    <n v="200000"/>
  </r>
  <r>
    <s v="FBPHJ301454Q"/>
    <s v="Emily Thomas"/>
    <s v="Flats"/>
    <x v="0"/>
    <x v="23"/>
    <x v="2"/>
    <x v="158"/>
    <s v="4079 5837 1246 8078 8240 "/>
    <n v="62.5"/>
    <n v="15000"/>
    <n v="15000"/>
  </r>
  <r>
    <s v="FB3G08754BY9"/>
    <s v="Andrew Allen"/>
    <s v="Flats"/>
    <x v="2"/>
    <x v="4"/>
    <x v="2"/>
    <x v="158"/>
    <s v="2914 8310 5226 1471 3038 "/>
    <n v="104.1"/>
    <n v="25000"/>
    <n v="25000"/>
  </r>
  <r>
    <s v="FBVO612YZ4RO"/>
    <s v="Anthony Robinson"/>
    <s v="Flats"/>
    <x v="3"/>
    <x v="7"/>
    <x v="2"/>
    <x v="158"/>
    <s v="7044 8137 7090 1645 1968 "/>
    <n v="104.1"/>
    <n v="25000"/>
    <n v="25000"/>
  </r>
  <r>
    <s v="FBG7CODSAAOW"/>
    <s v="Paul Torres"/>
    <s v="Flats"/>
    <x v="2"/>
    <x v="15"/>
    <x v="2"/>
    <x v="158"/>
    <s v="5318 9314 0822 5461 2592 "/>
    <n v="208.1"/>
    <n v="50000"/>
    <n v="50000"/>
  </r>
  <r>
    <s v="FBU5DEQIL3WS"/>
    <s v="Michelle Wilson"/>
    <s v="Flats"/>
    <x v="2"/>
    <x v="18"/>
    <x v="2"/>
    <x v="301"/>
    <s v="5538 1774 0183 6805 0736 "/>
    <n v="166.5"/>
    <n v="40000"/>
    <n v="40000"/>
  </r>
  <r>
    <s v="FBSQPJ92CGQX"/>
    <s v="Michael Wright"/>
    <s v="Flats"/>
    <x v="3"/>
    <x v="9"/>
    <x v="2"/>
    <x v="301"/>
    <s v="0327 5958 3974 4165 2936 "/>
    <n v="271"/>
    <n v="65100"/>
    <n v="65100"/>
  </r>
  <r>
    <s v="FBR4VBCT8JZJ"/>
    <s v="Thomas &amp; Jane Jackson"/>
    <s v="Flats"/>
    <x v="4"/>
    <x v="38"/>
    <x v="2"/>
    <x v="159"/>
    <s v="4974 8675 1888 6907 3253 "/>
    <n v="416.3"/>
    <n v="100000"/>
    <n v="100000"/>
  </r>
  <r>
    <s v="FB5P45GYMOQ8"/>
    <s v="Thomas &amp; Jane Jackson"/>
    <s v="Flats"/>
    <x v="4"/>
    <x v="38"/>
    <x v="2"/>
    <x v="159"/>
    <s v="4492 1093 1173 1262 0723 "/>
    <n v="41.6"/>
    <n v="10000"/>
    <n v="10000"/>
  </r>
  <r>
    <s v="FBXPMQM8SJ1L"/>
    <s v="Joshua Harris"/>
    <s v="Terrace"/>
    <x v="7"/>
    <x v="12"/>
    <x v="2"/>
    <x v="159"/>
    <s v="0110 3244 2083 6647 4981 "/>
    <n v="104.1"/>
    <n v="25000"/>
    <n v="25000"/>
  </r>
  <r>
    <s v="FBLKELOVFG4G"/>
    <s v="Barbara Ramirez"/>
    <s v="Flats"/>
    <x v="4"/>
    <x v="21"/>
    <x v="2"/>
    <x v="160"/>
    <s v="4888 6018 0913 9682 7267 "/>
    <n v="83.2"/>
    <n v="20000"/>
    <n v="20000"/>
  </r>
  <r>
    <s v="FB6KACCVF5JR"/>
    <s v="Paul Garcia"/>
    <s v="Flats"/>
    <x v="3"/>
    <x v="11"/>
    <x v="2"/>
    <x v="160"/>
    <s v="2667 7688 0886 5790 6697 "/>
    <n v="416.3"/>
    <n v="100000"/>
    <n v="100000"/>
  </r>
  <r>
    <s v="FBJ1WKO8W30H"/>
    <s v="Richard Allen"/>
    <s v="Flats"/>
    <x v="2"/>
    <x v="6"/>
    <x v="2"/>
    <x v="160"/>
    <s v="6361 8951 0557 3171 1979 "/>
    <n v="782.6"/>
    <n v="188000"/>
    <n v="188000"/>
  </r>
  <r>
    <s v="FBV62GWGEX5D"/>
    <s v="Sarah Wilson"/>
    <s v="Flats"/>
    <x v="3"/>
    <x v="34"/>
    <x v="2"/>
    <x v="160"/>
    <s v="6967 9946 4373 1617 1604 "/>
    <n v="41.6"/>
    <n v="10000"/>
    <n v="10000"/>
  </r>
  <r>
    <s v="FBYWVRLYRB03"/>
    <s v="Jennifer Robinson"/>
    <s v="Terrace"/>
    <x v="7"/>
    <x v="35"/>
    <x v="2"/>
    <x v="302"/>
    <s v="2172 7619 5848 9729 2803 "/>
    <n v="333.1"/>
    <n v="80000"/>
    <n v="80000"/>
  </r>
  <r>
    <s v="FBACOE4QWENW"/>
    <s v="Joshua Harris"/>
    <s v="Terrace"/>
    <x v="7"/>
    <x v="12"/>
    <x v="2"/>
    <x v="302"/>
    <s v="6461 1670 8041 7162 3976 "/>
    <n v="104.1"/>
    <n v="25000"/>
    <n v="25000"/>
  </r>
  <r>
    <s v="FBYWJLXF38R3"/>
    <s v="Joshua Harris"/>
    <s v="Terrace"/>
    <x v="7"/>
    <x v="12"/>
    <x v="2"/>
    <x v="161"/>
    <s v="6166 8587 4449 0028 2417 "/>
    <n v="208.2"/>
    <n v="50000"/>
    <n v="50000"/>
  </r>
  <r>
    <s v="FBUZRB1RXJPV"/>
    <s v="Emily Thomas"/>
    <s v="Flats"/>
    <x v="0"/>
    <x v="23"/>
    <x v="2"/>
    <x v="161"/>
    <s v="1649 7382 3311 1085 9426 "/>
    <n v="208.1"/>
    <n v="50000"/>
    <n v="50000"/>
  </r>
  <r>
    <s v="FBOSXYS3I0G7"/>
    <s v="Mark Rodriguez"/>
    <s v="Flats"/>
    <x v="2"/>
    <x v="22"/>
    <x v="2"/>
    <x v="161"/>
    <s v="0526 5917 2800 8502 7423 "/>
    <n v="166.5"/>
    <n v="40000"/>
    <n v="40000"/>
  </r>
  <r>
    <s v="FB9A7AZ9SDC0"/>
    <s v="Donald Jones"/>
    <s v="Flats"/>
    <x v="0"/>
    <x v="10"/>
    <x v="2"/>
    <x v="161"/>
    <s v="5549 4393 6722 3748 3670 "/>
    <n v="707.7"/>
    <n v="170000"/>
    <n v="170000"/>
  </r>
  <r>
    <s v="FB0YF0MM8RCG"/>
    <s v="Anthony Robinson"/>
    <s v="Flats"/>
    <x v="3"/>
    <x v="7"/>
    <x v="2"/>
    <x v="162"/>
    <s v="2575 0908 8260 4659 6517 "/>
    <n v="104.1"/>
    <n v="25000"/>
    <n v="25000"/>
  </r>
  <r>
    <s v="FBAGUE8H5O8X"/>
    <s v="Richard Garcia"/>
    <s v="Flats"/>
    <x v="3"/>
    <x v="36"/>
    <x v="2"/>
    <x v="162"/>
    <s v="0061 9873 0871 9935 0129 "/>
    <n v="208.2"/>
    <n v="50000"/>
    <n v="50000"/>
  </r>
  <r>
    <s v="FBSMVHDOWVNZ"/>
    <s v="Jennifer Lewis"/>
    <s v="Terrace"/>
    <x v="7"/>
    <x v="17"/>
    <x v="2"/>
    <x v="162"/>
    <s v="6700 4117 8920 7334 8830 "/>
    <n v="208.2"/>
    <n v="50000"/>
    <n v="50000"/>
  </r>
  <r>
    <s v="FBRQLTSIN09B"/>
    <s v="Block D Common Area"/>
    <s v="Office"/>
    <x v="3"/>
    <x v="1"/>
    <x v="2"/>
    <x v="162"/>
    <s v="4831 1003 2741 5368 5835 "/>
    <n v="416.3"/>
    <n v="100000"/>
    <n v="100000"/>
  </r>
  <r>
    <s v="FB9IGKJSXTCR"/>
    <s v="Andrew Allen"/>
    <s v="Flats"/>
    <x v="2"/>
    <x v="4"/>
    <x v="2"/>
    <x v="162"/>
    <s v="1761 3495 1275 0367 8737 "/>
    <n v="199.8"/>
    <n v="48000"/>
    <n v="48000"/>
  </r>
  <r>
    <s v="FBD507POVSKH"/>
    <s v="Joshua Harris"/>
    <s v="Terrace"/>
    <x v="7"/>
    <x v="12"/>
    <x v="2"/>
    <x v="163"/>
    <s v="2569 8321 9637 6723 2172 "/>
    <n v="208.1"/>
    <n v="50000"/>
    <n v="50000"/>
  </r>
  <r>
    <s v="FB0PU9M5EZWM"/>
    <s v="Donald Jones"/>
    <s v="Flats"/>
    <x v="0"/>
    <x v="10"/>
    <x v="2"/>
    <x v="165"/>
    <s v="4732 8535 1714 1698 7377 "/>
    <n v="208.2"/>
    <n v="50000"/>
    <n v="50000"/>
  </r>
  <r>
    <s v="FBOCIL0C6LOW"/>
    <s v="Power House Common Area Area"/>
    <s v="Office"/>
    <x v="1"/>
    <x v="1"/>
    <x v="2"/>
    <x v="165"/>
    <s v="4763 3414 6343 8229 2557 "/>
    <n v="416.3"/>
    <n v="100000"/>
    <n v="100000"/>
  </r>
  <r>
    <s v="FB7I7C4GV6TR"/>
    <s v="Karen Rodriguez"/>
    <s v="Terrace"/>
    <x v="7"/>
    <x v="13"/>
    <x v="2"/>
    <x v="165"/>
    <s v="7274 1238 9267 7688 3386 "/>
    <n v="416.3"/>
    <n v="100000"/>
    <n v="100000"/>
  </r>
  <r>
    <s v="FBRLST7Z2QPM"/>
    <s v="Block D Common Area"/>
    <s v="Office"/>
    <x v="3"/>
    <x v="1"/>
    <x v="2"/>
    <x v="166"/>
    <s v="2211 5273 2660 9092 5799 "/>
    <n v="208.2"/>
    <n v="50000"/>
    <n v="50000"/>
  </r>
  <r>
    <s v="FBNXG8SHR0V6"/>
    <s v="Betty Lopez"/>
    <s v="Flats"/>
    <x v="4"/>
    <x v="27"/>
    <x v="2"/>
    <x v="166"/>
    <s v="0748 8158 5792 0723 7214 "/>
    <n v="374.6"/>
    <n v="90000"/>
    <n v="90000"/>
  </r>
  <r>
    <s v="FBLE4BHIUT6U"/>
    <s v="Patricia Williams"/>
    <s v="Flats"/>
    <x v="2"/>
    <x v="2"/>
    <x v="2"/>
    <x v="167"/>
    <s v="5555 7114 4793 2950 4780 "/>
    <n v="124.9"/>
    <n v="30000"/>
    <n v="30000"/>
  </r>
  <r>
    <s v="FB08KPOO05AK"/>
    <s v="Dorothy Thomas"/>
    <s v="Flats"/>
    <x v="0"/>
    <x v="37"/>
    <x v="2"/>
    <x v="167"/>
    <s v="7161 0642 2488 4360 6709 "/>
    <n v="41.6"/>
    <n v="10000"/>
    <n v="10000"/>
  </r>
  <r>
    <s v="FB8AYZQK1DXW"/>
    <s v="Anthony Robinson"/>
    <s v="Flats"/>
    <x v="3"/>
    <x v="7"/>
    <x v="2"/>
    <x v="167"/>
    <s v="3873 5363 2353 6094 4377 "/>
    <n v="208.2"/>
    <n v="50000"/>
    <n v="50000"/>
  </r>
  <r>
    <s v="FBG37IGMGPS6"/>
    <s v="Thomas Sanchez"/>
    <s v="Flats"/>
    <x v="0"/>
    <x v="26"/>
    <x v="2"/>
    <x v="168"/>
    <s v="2648 4219 3401 9013 6459 "/>
    <n v="83.3"/>
    <n v="20000"/>
    <n v="20000"/>
  </r>
  <r>
    <s v="FB9MR11VOKOC"/>
    <s v="Michelle Wilson"/>
    <s v="Flats"/>
    <x v="2"/>
    <x v="18"/>
    <x v="2"/>
    <x v="168"/>
    <s v="0586 9140 7285 7857 3844 "/>
    <n v="333.1"/>
    <n v="80000"/>
    <n v="80000"/>
  </r>
  <r>
    <s v="FBSPV2KI64R2"/>
    <s v="Block B Common Area"/>
    <s v="Office"/>
    <x v="2"/>
    <x v="1"/>
    <x v="2"/>
    <x v="168"/>
    <s v="3151 8869 6990 6363 2055 "/>
    <n v="416.3"/>
    <n v="100000"/>
    <n v="100000"/>
  </r>
  <r>
    <s v="FBFN96THBXY9"/>
    <s v="Block D Common Area"/>
    <s v="Office"/>
    <x v="3"/>
    <x v="1"/>
    <x v="2"/>
    <x v="168"/>
    <s v="4796 8294 0618 6205 4453 "/>
    <n v="832.6"/>
    <n v="200000"/>
    <n v="200000"/>
  </r>
  <r>
    <s v="FB5QTB25WF5K"/>
    <s v="Power House Common Area Area"/>
    <s v="Office"/>
    <x v="1"/>
    <x v="1"/>
    <x v="2"/>
    <x v="168"/>
    <s v="5834 0505 8445 8862 8592 "/>
    <n v="832.6"/>
    <n v="200000"/>
    <n v="200000"/>
  </r>
  <r>
    <s v="FBWSUXZRK9UN"/>
    <s v="Daniel Ramirez"/>
    <s v="Flats"/>
    <x v="0"/>
    <x v="19"/>
    <x v="2"/>
    <x v="170"/>
    <s v="3168 2848 4934 6866 8222 "/>
    <n v="416.3"/>
    <n v="100000"/>
    <n v="100000"/>
  </r>
  <r>
    <s v="FBDZVFKKD56A"/>
    <s v="Joshua Harris"/>
    <s v="Terrace"/>
    <x v="7"/>
    <x v="12"/>
    <x v="2"/>
    <x v="171"/>
    <s v="3432 8890 8209 0347 9567 "/>
    <n v="104.1"/>
    <n v="25000"/>
    <n v="25000"/>
  </r>
  <r>
    <s v="FBGGOMOFGLOA"/>
    <s v="Emily Thomas"/>
    <s v="Flats"/>
    <x v="0"/>
    <x v="23"/>
    <x v="2"/>
    <x v="171"/>
    <s v="0577 6759 9027 6301 8813 "/>
    <n v="291.39999999999998"/>
    <n v="70000"/>
    <n v="70000"/>
  </r>
  <r>
    <s v="FBTZWZCWBB5K"/>
    <s v="Robert Walker"/>
    <s v="Flats"/>
    <x v="2"/>
    <x v="39"/>
    <x v="2"/>
    <x v="171"/>
    <s v="5759 3893 1338 7705 5812 "/>
    <n v="41.6"/>
    <n v="10000"/>
    <n v="10000"/>
  </r>
  <r>
    <s v="FBT98QETXJ1L"/>
    <s v="Joshua Harris"/>
    <s v="Terrace"/>
    <x v="7"/>
    <x v="12"/>
    <x v="2"/>
    <x v="171"/>
    <s v="1803 0709 9058 0271 3413 "/>
    <n v="41.6"/>
    <n v="10000"/>
    <n v="10000"/>
  </r>
  <r>
    <s v="FBRH0I40P4YD"/>
    <s v="Joshua Harris"/>
    <s v="Terrace"/>
    <x v="7"/>
    <x v="12"/>
    <x v="2"/>
    <x v="172"/>
    <s v="5797 8970 7303 1633 7218 "/>
    <n v="104.1"/>
    <n v="25000"/>
    <n v="25000"/>
  </r>
  <r>
    <s v="FBXCFTNW8XNZ"/>
    <s v="Andrew Allen"/>
    <s v="Flats"/>
    <x v="2"/>
    <x v="4"/>
    <x v="2"/>
    <x v="172"/>
    <s v="0509 9703 2188 2130 1652 "/>
    <n v="208.2"/>
    <n v="50000"/>
    <n v="50000"/>
  </r>
  <r>
    <s v="FBTRB1FO3RI8"/>
    <s v="Anthony Lopez"/>
    <s v="Flats"/>
    <x v="2"/>
    <x v="25"/>
    <x v="2"/>
    <x v="173"/>
    <s v="1766 9285 0646 5803 4952 "/>
    <n v="166.5"/>
    <n v="40000"/>
    <n v="40000"/>
  </r>
  <r>
    <s v="FB37T1LSIDKI"/>
    <s v="Patricia Williams"/>
    <s v="Flats"/>
    <x v="2"/>
    <x v="2"/>
    <x v="2"/>
    <x v="173"/>
    <s v="1993 0150 8875 4917 8890 "/>
    <n v="124.9"/>
    <n v="30000"/>
    <n v="30000"/>
  </r>
  <r>
    <s v="FB38Z4HHWPEO"/>
    <s v="Power House Common Area Area"/>
    <s v="Office"/>
    <x v="1"/>
    <x v="1"/>
    <x v="2"/>
    <x v="303"/>
    <s v="5271 0797 7767 7889 8993 "/>
    <n v="1040.7"/>
    <n v="250000"/>
    <n v="250000"/>
  </r>
  <r>
    <s v="FBEE9NGRPSJU"/>
    <s v="Robert Robinson"/>
    <s v="Flats"/>
    <x v="0"/>
    <x v="30"/>
    <x v="2"/>
    <x v="174"/>
    <s v="4767 6344 6213 4204 0548 "/>
    <n v="208.1"/>
    <n v="50000"/>
    <n v="50000"/>
  </r>
  <r>
    <s v="FBKXE4U4AVHB"/>
    <s v="Joshua Harris"/>
    <s v="Terrace"/>
    <x v="7"/>
    <x v="12"/>
    <x v="2"/>
    <x v="174"/>
    <s v="5866 5893 0302 7353 1940 "/>
    <n v="41.6"/>
    <n v="10000"/>
    <n v="10000"/>
  </r>
  <r>
    <s v="FB9KK74ECPE3"/>
    <s v="Thomas Sanchez"/>
    <s v="Flats"/>
    <x v="0"/>
    <x v="26"/>
    <x v="2"/>
    <x v="304"/>
    <s v="5521 4883 3853 4228 1222 "/>
    <n v="104"/>
    <n v="25000"/>
    <n v="25000"/>
  </r>
  <r>
    <s v="FBACVFFK1DGZ"/>
    <s v="Anthony Robinson"/>
    <s v="Flats"/>
    <x v="3"/>
    <x v="7"/>
    <x v="2"/>
    <x v="175"/>
    <s v="7178 5424 3344 5218 1531 "/>
    <n v="83.2"/>
    <n v="20000"/>
    <n v="20000"/>
  </r>
  <r>
    <s v="FBOTFCLTL04N"/>
    <s v="Massionette Area Construction"/>
    <s v="Office"/>
    <x v="8"/>
    <x v="20"/>
    <x v="2"/>
    <x v="175"/>
    <s v="1727 5132 7365 4861 6450 "/>
    <n v="416.3"/>
    <n v="100000"/>
    <n v="100000"/>
  </r>
  <r>
    <s v="FBZFF4131705"/>
    <s v="Robert Walker"/>
    <s v="Flats"/>
    <x v="2"/>
    <x v="39"/>
    <x v="2"/>
    <x v="175"/>
    <s v="6812 0604 9206 7407 9092 "/>
    <n v="957.5"/>
    <n v="230000"/>
    <n v="230000"/>
  </r>
  <r>
    <s v="FB1I80KIS4MR"/>
    <s v="Joshua Harris"/>
    <s v="Terrace"/>
    <x v="7"/>
    <x v="12"/>
    <x v="2"/>
    <x v="175"/>
    <s v="0609 0850 2179 6939 3870 "/>
    <n v="104.1"/>
    <n v="25000"/>
    <n v="25000"/>
  </r>
  <r>
    <s v="FBNSI2DZ235M"/>
    <s v="Patricia Williams"/>
    <s v="Flats"/>
    <x v="2"/>
    <x v="2"/>
    <x v="2"/>
    <x v="305"/>
    <s v="3157 2172 6472 0595 8606 "/>
    <n v="124.9"/>
    <n v="30000"/>
    <n v="30000"/>
  </r>
  <r>
    <s v="FBJ473EQCQY2"/>
    <s v="Joshua Harris"/>
    <s v="Terrace"/>
    <x v="7"/>
    <x v="12"/>
    <x v="2"/>
    <x v="306"/>
    <s v="4133 2588 0691 8275 5724 "/>
    <n v="104.1"/>
    <n v="25000"/>
    <n v="25000"/>
  </r>
  <r>
    <s v="FB31KMBKCQX8"/>
    <s v="Block D Common Area"/>
    <s v="Office"/>
    <x v="3"/>
    <x v="1"/>
    <x v="2"/>
    <x v="306"/>
    <s v="2029 1194 4208 7961 0919 "/>
    <n v="416.3"/>
    <n v="100000"/>
    <n v="100000"/>
  </r>
  <r>
    <s v="FBQSVM5KAVG8"/>
    <s v="Karen Allen"/>
    <s v="Pent House"/>
    <x v="3"/>
    <x v="28"/>
    <x v="2"/>
    <x v="176"/>
    <s v="2986 1277 9461 3106 1960 "/>
    <n v="145.69999999999999"/>
    <n v="35000"/>
    <n v="35000"/>
  </r>
  <r>
    <s v="FBRHH6N9KO2J"/>
    <s v="Sarah Wilson"/>
    <s v="Flats"/>
    <x v="3"/>
    <x v="34"/>
    <x v="2"/>
    <x v="176"/>
    <s v="6420 3240 6604 4351 4321 "/>
    <n v="62.5"/>
    <n v="15000"/>
    <n v="15000"/>
  </r>
  <r>
    <s v="FB4JHP67OT4B"/>
    <s v="Karen Rodriguez"/>
    <s v="Terrace"/>
    <x v="7"/>
    <x v="13"/>
    <x v="2"/>
    <x v="176"/>
    <s v="2065 2543 9281 8661 6349 "/>
    <n v="457.9"/>
    <n v="110000"/>
    <n v="110000"/>
  </r>
  <r>
    <s v="FB52QWIVXH2P"/>
    <s v="Anthony Robinson"/>
    <s v="Flats"/>
    <x v="3"/>
    <x v="7"/>
    <x v="2"/>
    <x v="177"/>
    <s v="3614 9587 4825 4877 4857 "/>
    <n v="124.9"/>
    <n v="30000"/>
    <n v="30000"/>
  </r>
  <r>
    <s v="FBXITR4F3IHF"/>
    <s v="Lisa Clark"/>
    <s v="Flats"/>
    <x v="3"/>
    <x v="14"/>
    <x v="2"/>
    <x v="177"/>
    <s v="4858 6061 5482 7373 0259 "/>
    <n v="166.5"/>
    <n v="40000"/>
    <n v="40000"/>
  </r>
  <r>
    <s v="FB6YA8NMIC91"/>
    <s v="Susan Nguyen"/>
    <s v="Flats"/>
    <x v="3"/>
    <x v="14"/>
    <x v="2"/>
    <x v="177"/>
    <s v="0841 2654 4321 7436 7076 "/>
    <n v="208.1"/>
    <n v="50000"/>
    <n v="50000"/>
  </r>
  <r>
    <s v="FBL5EY1YBZHS"/>
    <s v="Paul Perez"/>
    <s v="Flats"/>
    <x v="3"/>
    <x v="16"/>
    <x v="2"/>
    <x v="307"/>
    <s v="2865 5287 4653 5446 9776 "/>
    <n v="41.6"/>
    <n v="10000"/>
    <n v="10000"/>
  </r>
  <r>
    <s v="FB0RJ3AGPYBW"/>
    <s v="Joshua Harris"/>
    <s v="Terrace"/>
    <x v="7"/>
    <x v="12"/>
    <x v="2"/>
    <x v="178"/>
    <s v="4920 7510 7397 7379 1074 "/>
    <n v="104.1"/>
    <n v="25000"/>
    <n v="25000"/>
  </r>
  <r>
    <s v="FBV4K1YJ3ISJ"/>
    <s v="Barbara Martinez"/>
    <s v="Flats"/>
    <x v="0"/>
    <x v="0"/>
    <x v="2"/>
    <x v="178"/>
    <s v="1552 7244 9425 6180 6605 "/>
    <n v="168.6"/>
    <n v="40500"/>
    <n v="40500"/>
  </r>
  <r>
    <s v="FBUT1ASYDS06"/>
    <s v="Barbara Martinez"/>
    <s v="Flats"/>
    <x v="0"/>
    <x v="0"/>
    <x v="2"/>
    <x v="178"/>
    <s v="5328 9176 5080 3434 1768 "/>
    <n v="208.1"/>
    <n v="50000"/>
    <n v="50000"/>
  </r>
  <r>
    <s v="FBQOPS68ZFQH"/>
    <s v="Barbara Martinez"/>
    <s v="Flats"/>
    <x v="0"/>
    <x v="0"/>
    <x v="2"/>
    <x v="178"/>
    <s v="6677 1903 0919 7306 8111 "/>
    <n v="624.5"/>
    <n v="150000"/>
    <n v="150000"/>
  </r>
  <r>
    <s v="FBPNFOL79JKI"/>
    <s v="Jennifer Robinson"/>
    <s v="Terrace"/>
    <x v="7"/>
    <x v="35"/>
    <x v="2"/>
    <x v="178"/>
    <s v="4107 3383 8282 3589 1436 "/>
    <n v="124.9"/>
    <n v="30000"/>
    <n v="30000"/>
  </r>
  <r>
    <s v="FBH6LPU9S4SX"/>
    <s v="Michael Wright"/>
    <s v="Flats"/>
    <x v="3"/>
    <x v="9"/>
    <x v="2"/>
    <x v="178"/>
    <s v="2959 4750 2490 4273 6649 "/>
    <n v="541.20000000000005"/>
    <n v="130000"/>
    <n v="130000"/>
  </r>
  <r>
    <s v="FBRHI9HDGJEP"/>
    <s v="Donna Torres"/>
    <s v="Flats"/>
    <x v="3"/>
    <x v="8"/>
    <x v="2"/>
    <x v="178"/>
    <s v="0469 5191 3657 5158 7310 "/>
    <n v="416.3"/>
    <n v="100000"/>
    <n v="100000"/>
  </r>
  <r>
    <s v="FBYELUXQCZVZ"/>
    <s v="Jennifer Lewis"/>
    <s v="Terrace"/>
    <x v="7"/>
    <x v="17"/>
    <x v="2"/>
    <x v="308"/>
    <s v="3768 8943 6160 8977 8534 "/>
    <n v="416.3"/>
    <n v="100000"/>
    <n v="100000"/>
  </r>
  <r>
    <s v="FBKRY6604OW6"/>
    <s v="Block D Common Area"/>
    <s v="Office"/>
    <x v="3"/>
    <x v="1"/>
    <x v="2"/>
    <x v="308"/>
    <s v="1025 7839 9309 8697 2786 "/>
    <n v="208.1"/>
    <n v="50000"/>
    <n v="50000"/>
  </r>
  <r>
    <s v="FBQSG8D5V3JM"/>
    <s v="Power House Common Area Area"/>
    <s v="Office"/>
    <x v="1"/>
    <x v="1"/>
    <x v="2"/>
    <x v="308"/>
    <s v="3782 4646 3123 7197 3499 "/>
    <n v="416.3"/>
    <n v="100000"/>
    <n v="100000"/>
  </r>
  <r>
    <s v="FBJZNXJ44SC0"/>
    <s v="Richard Garcia"/>
    <s v="Flats"/>
    <x v="3"/>
    <x v="36"/>
    <x v="2"/>
    <x v="179"/>
    <s v="0337 8206 9373 7688 6523 "/>
    <n v="208.1"/>
    <n v="50000"/>
    <n v="50000"/>
  </r>
  <r>
    <s v="FBPR0POPL0JD"/>
    <s v="Michelle Wilson"/>
    <s v="Flats"/>
    <x v="2"/>
    <x v="18"/>
    <x v="2"/>
    <x v="179"/>
    <s v="4654 0042 4476 6741 6354 "/>
    <n v="83.2"/>
    <n v="20000"/>
    <n v="20000"/>
  </r>
  <r>
    <s v="FBMIE9SDJWXG"/>
    <s v="Joshua Harris"/>
    <s v="Terrace"/>
    <x v="7"/>
    <x v="12"/>
    <x v="2"/>
    <x v="179"/>
    <s v="5796 0035 2191 5548 2199 "/>
    <n v="104"/>
    <n v="25000"/>
    <n v="25000"/>
  </r>
  <r>
    <s v="FBKBCU0QCUVF"/>
    <s v="Barbara Ramirez"/>
    <s v="Flats"/>
    <x v="4"/>
    <x v="21"/>
    <x v="2"/>
    <x v="179"/>
    <s v="5973 4508 5826 8499 1528 "/>
    <n v="291.39999999999998"/>
    <n v="70000"/>
    <n v="70000"/>
  </r>
  <r>
    <s v="FBMMYL04ILO5"/>
    <s v="Security Utilities Common Area"/>
    <s v="Office"/>
    <x v="6"/>
    <x v="1"/>
    <x v="2"/>
    <x v="180"/>
    <s v="5362 3881 5065 8612 3026 "/>
    <n v="208.1"/>
    <n v="50000"/>
    <n v="50000"/>
  </r>
  <r>
    <s v="FB60CC019HAH"/>
    <s v="Block C Common Area"/>
    <s v="Office"/>
    <x v="0"/>
    <x v="1"/>
    <x v="2"/>
    <x v="180"/>
    <s v="3176 1317 8502 8398 7300 "/>
    <n v="208.1"/>
    <n v="50000"/>
    <n v="50000"/>
  </r>
  <r>
    <s v="FB0ZV8B94JIZ"/>
    <s v="Emily Thomas"/>
    <s v="Flats"/>
    <x v="0"/>
    <x v="23"/>
    <x v="2"/>
    <x v="180"/>
    <s v="2014 4973 7330 4277 5221 "/>
    <n v="220.7"/>
    <n v="53000"/>
    <n v="53000"/>
  </r>
  <r>
    <s v="FBOZJ2VY1UVD"/>
    <s v="Joshua Harris"/>
    <s v="Terrace"/>
    <x v="7"/>
    <x v="12"/>
    <x v="2"/>
    <x v="181"/>
    <s v="2231 9346 1208 6477 4186 "/>
    <n v="208.2"/>
    <n v="50000"/>
    <n v="50000"/>
  </r>
  <r>
    <s v="FBPCV4A2C4P3"/>
    <s v="Sarah Wilson"/>
    <s v="Flats"/>
    <x v="3"/>
    <x v="34"/>
    <x v="2"/>
    <x v="181"/>
    <s v="3856 1925 3258 4137 9127 "/>
    <n v="62.4"/>
    <n v="15000"/>
    <n v="15000"/>
  </r>
  <r>
    <s v="FBFHPMV03BMJ"/>
    <s v="Jennifer Robinson"/>
    <s v="Terrace"/>
    <x v="7"/>
    <x v="35"/>
    <x v="2"/>
    <x v="181"/>
    <s v="1540 6124 9824 8445 9094 "/>
    <n v="208.1"/>
    <n v="50000"/>
    <n v="50000"/>
  </r>
  <r>
    <s v="FB8MD3WQPC74"/>
    <s v="Donald Jones"/>
    <s v="Flats"/>
    <x v="0"/>
    <x v="10"/>
    <x v="2"/>
    <x v="181"/>
    <s v="1213 6228 1025 5787 9802 "/>
    <n v="437.1"/>
    <n v="105000"/>
    <n v="105000"/>
  </r>
  <r>
    <s v="FBM6JJGYSWQM"/>
    <s v="Block A Common Area"/>
    <s v="Office"/>
    <x v="4"/>
    <x v="1"/>
    <x v="2"/>
    <x v="181"/>
    <s v="4979 3423 7051 5384 3762 "/>
    <n v="208.1"/>
    <n v="50000"/>
    <n v="50000"/>
  </r>
  <r>
    <s v="FB1S654GJXQO"/>
    <s v="Power House Common Area Area"/>
    <s v="Office"/>
    <x v="1"/>
    <x v="1"/>
    <x v="2"/>
    <x v="181"/>
    <s v="4680 8950 0172 2378 7621 "/>
    <n v="416.3"/>
    <n v="100000"/>
    <n v="100000"/>
  </r>
  <r>
    <s v="FBTWTTIDF97H"/>
    <s v="Block D Common Area"/>
    <s v="Office"/>
    <x v="3"/>
    <x v="1"/>
    <x v="2"/>
    <x v="181"/>
    <s v="0558 9778 4575 2829 0235 "/>
    <n v="208.2"/>
    <n v="50000"/>
    <n v="50000"/>
  </r>
  <r>
    <s v="FB3CDQ6XRFG4"/>
    <s v="Karen Allen"/>
    <s v="Pent House"/>
    <x v="3"/>
    <x v="28"/>
    <x v="2"/>
    <x v="181"/>
    <s v="3463 0304 1107 0529 8729 "/>
    <n v="449.6"/>
    <n v="108000"/>
    <n v="108000"/>
  </r>
  <r>
    <s v="FBKCMMX3W310"/>
    <s v="James Clark"/>
    <s v="Flats"/>
    <x v="4"/>
    <x v="33"/>
    <x v="2"/>
    <x v="182"/>
    <s v="1206 5978 6156 8263 9383 "/>
    <n v="41.7"/>
    <n v="10000"/>
    <n v="10000"/>
  </r>
  <r>
    <s v="FBAYYTKIG2D6"/>
    <s v="Jennifer Lewis"/>
    <s v="Terrace"/>
    <x v="7"/>
    <x v="17"/>
    <x v="2"/>
    <x v="182"/>
    <s v="1390 4983 3125 2842 3275 "/>
    <n v="208.1"/>
    <n v="50000"/>
    <n v="50000"/>
  </r>
  <r>
    <s v="FBNYB5HZQE34"/>
    <s v="Betty Lopez"/>
    <s v="Flats"/>
    <x v="4"/>
    <x v="27"/>
    <x v="2"/>
    <x v="182"/>
    <s v="2955 4209 4568 3074 9357 "/>
    <n v="124.9"/>
    <n v="30000"/>
    <n v="30000"/>
  </r>
  <r>
    <s v="FBIQ7A5E1SIK"/>
    <s v="Betty Lopez"/>
    <s v="Flats"/>
    <x v="4"/>
    <x v="27"/>
    <x v="2"/>
    <x v="182"/>
    <s v="4127 9482 5175 3865 3402 "/>
    <n v="208.2"/>
    <n v="50000"/>
    <n v="50000"/>
  </r>
  <r>
    <s v="FB0RSMB4Y91R"/>
    <s v="Richard Allen"/>
    <s v="Flats"/>
    <x v="2"/>
    <x v="6"/>
    <x v="2"/>
    <x v="183"/>
    <s v="5575 4380 7149 3232 0989 "/>
    <n v="208.2"/>
    <n v="50000"/>
    <n v="50000"/>
  </r>
  <r>
    <s v="FBDWRG7TEF0J"/>
    <s v="MANAGMENT Office"/>
    <s v="Office"/>
    <x v="5"/>
    <x v="5"/>
    <x v="2"/>
    <x v="183"/>
    <s v="0822 5756 6550 1205 9345 "/>
    <n v="208.1"/>
    <n v="50000"/>
    <n v="50000"/>
  </r>
  <r>
    <s v="FBV9CM97U4X2"/>
    <s v="Mark Rodriguez"/>
    <s v="Flats"/>
    <x v="2"/>
    <x v="22"/>
    <x v="2"/>
    <x v="183"/>
    <s v="3290 6609 6741 7879 8522 "/>
    <n v="83.3"/>
    <n v="20000"/>
    <n v="20000"/>
  </r>
  <r>
    <s v="FBW1RKWDCEFM"/>
    <s v="Anthony Robinson"/>
    <s v="Flats"/>
    <x v="3"/>
    <x v="7"/>
    <x v="2"/>
    <x v="309"/>
    <s v="1733 0718 0009 2608 4318 "/>
    <n v="208.2"/>
    <n v="50000"/>
    <n v="50000"/>
  </r>
  <r>
    <s v="FBMO4DWWCUCW"/>
    <s v="Block D Common Area"/>
    <s v="Office"/>
    <x v="3"/>
    <x v="1"/>
    <x v="2"/>
    <x v="309"/>
    <s v="0909 2851 2353 6404 8401 "/>
    <n v="416.3"/>
    <n v="100000"/>
    <n v="100000"/>
  </r>
  <r>
    <s v="FBO1GASK6T5P"/>
    <s v="Patricia Williams"/>
    <s v="Flats"/>
    <x v="2"/>
    <x v="2"/>
    <x v="2"/>
    <x v="309"/>
    <s v="5628 9373 2922 3473 5421 "/>
    <n v="154"/>
    <n v="37000"/>
    <n v="37000"/>
  </r>
  <r>
    <s v="FBYI856CLRXI"/>
    <s v="Daniel Torres"/>
    <s v="Flats"/>
    <x v="4"/>
    <x v="24"/>
    <x v="2"/>
    <x v="184"/>
    <s v="2998 5350 1914 5050 9041 "/>
    <n v="208.2"/>
    <n v="50000"/>
    <n v="50000"/>
  </r>
  <r>
    <s v="FBA7SW2DLPRJ"/>
    <s v="Sarah Wilson"/>
    <s v="Flats"/>
    <x v="3"/>
    <x v="34"/>
    <x v="2"/>
    <x v="184"/>
    <s v="0985 4129 9283 8708 5859 "/>
    <n v="83.3"/>
    <n v="20000"/>
    <n v="20000"/>
  </r>
  <r>
    <s v="FB8BED784HMT"/>
    <s v="Nancy Sanchez"/>
    <s v="Pent House"/>
    <x v="4"/>
    <x v="31"/>
    <x v="2"/>
    <x v="184"/>
    <s v="2847 1715 6260 0111 6166 "/>
    <n v="249.8"/>
    <n v="60000"/>
    <n v="60000"/>
  </r>
  <r>
    <s v="FB60BE438ETI"/>
    <s v="Thomas Sanchez"/>
    <s v="Flats"/>
    <x v="0"/>
    <x v="26"/>
    <x v="2"/>
    <x v="310"/>
    <s v="5046 6106 1759 0176 0924 "/>
    <n v="62.5"/>
    <n v="15000"/>
    <n v="15000"/>
  </r>
  <r>
    <s v="FBURCHSEKBR8"/>
    <s v="Jennifer Robinson"/>
    <s v="Terrace"/>
    <x v="7"/>
    <x v="35"/>
    <x v="2"/>
    <x v="310"/>
    <s v="0467 7803 2975 1206 0184 "/>
    <n v="124.9"/>
    <n v="30000"/>
    <n v="30000"/>
  </r>
  <r>
    <s v="FBQLTFWJO82W"/>
    <s v="Sarah Wilson"/>
    <s v="Flats"/>
    <x v="3"/>
    <x v="34"/>
    <x v="2"/>
    <x v="310"/>
    <s v="6124 8452 7555 5325 5548 "/>
    <n v="62.4"/>
    <n v="15000"/>
    <n v="15000"/>
  </r>
  <r>
    <s v="FBQEIG058FR6"/>
    <s v="Patricia Williams"/>
    <s v="Flats"/>
    <x v="2"/>
    <x v="2"/>
    <x v="2"/>
    <x v="310"/>
    <s v="3525 5298 1684 2831 4933 "/>
    <n v="124.9"/>
    <n v="30000"/>
    <n v="30000"/>
  </r>
  <r>
    <s v="FBMJY2J9227C"/>
    <s v="Power House Common Area Area"/>
    <s v="Office"/>
    <x v="1"/>
    <x v="1"/>
    <x v="2"/>
    <x v="310"/>
    <s v="0887 1474 0545 5395 4324 "/>
    <n v="208.2"/>
    <n v="50000"/>
    <n v="50000"/>
  </r>
  <r>
    <s v="FBPLVCDUOBQE"/>
    <s v="Dorothy Thomas"/>
    <s v="Flats"/>
    <x v="0"/>
    <x v="37"/>
    <x v="2"/>
    <x v="185"/>
    <s v="6459 3362 5772 4143 1744 "/>
    <n v="83.3"/>
    <n v="20000"/>
    <n v="20000"/>
  </r>
  <r>
    <s v="FB53JBD3J8FU"/>
    <s v="Michelle Wilson"/>
    <s v="Flats"/>
    <x v="2"/>
    <x v="18"/>
    <x v="2"/>
    <x v="186"/>
    <s v="6225 5395 0005 2217 4376 "/>
    <n v="208.2"/>
    <n v="50000"/>
    <n v="50000"/>
  </r>
  <r>
    <s v="FBP52EIWXNNS"/>
    <s v="Block B Common Area"/>
    <s v="Office"/>
    <x v="2"/>
    <x v="1"/>
    <x v="2"/>
    <x v="186"/>
    <s v="7248 1140 6460 0507 7056 "/>
    <n v="208.2"/>
    <n v="50000"/>
    <n v="50000"/>
  </r>
  <r>
    <s v="FBTC0DNTIBR6"/>
    <s v="Block D Common Area"/>
    <s v="Office"/>
    <x v="3"/>
    <x v="1"/>
    <x v="2"/>
    <x v="186"/>
    <s v="0925 0280 1546 9415 4089 "/>
    <n v="416.3"/>
    <n v="100000"/>
    <n v="100000"/>
  </r>
  <r>
    <s v="FBALXB00PMLW"/>
    <s v="Power House Common Area Area"/>
    <s v="Office"/>
    <x v="1"/>
    <x v="1"/>
    <x v="2"/>
    <x v="186"/>
    <s v="2333 7840 8631 0203 1362 "/>
    <n v="832.6"/>
    <n v="200000"/>
    <n v="200000"/>
  </r>
  <r>
    <s v="FBCS0A4AZGH4"/>
    <s v="Daniel Ramirez"/>
    <s v="Flats"/>
    <x v="0"/>
    <x v="19"/>
    <x v="2"/>
    <x v="187"/>
    <s v="2880 1685 8214 9419 8873 "/>
    <n v="416.3"/>
    <n v="100000"/>
    <n v="100000"/>
  </r>
  <r>
    <s v="FBBSJEVP1JJW"/>
    <s v="Andrew Allen"/>
    <s v="Flats"/>
    <x v="2"/>
    <x v="4"/>
    <x v="2"/>
    <x v="188"/>
    <s v="4005 6484 6910 7451 3540 "/>
    <n v="208.1"/>
    <n v="50000"/>
    <n v="50000"/>
  </r>
  <r>
    <s v="FBY73Y3Q0S5V"/>
    <s v="Joshua Harris"/>
    <s v="Terrace"/>
    <x v="7"/>
    <x v="12"/>
    <x v="2"/>
    <x v="188"/>
    <s v="4955 3771 3119 1553 0989 "/>
    <n v="104.1"/>
    <n v="25000"/>
    <n v="25000"/>
  </r>
  <r>
    <s v="FBFTWCXCE4NF"/>
    <s v="Nancy Sanchez"/>
    <s v="Pent House"/>
    <x v="4"/>
    <x v="31"/>
    <x v="2"/>
    <x v="188"/>
    <s v="6790 2122 7126 5327 3358 "/>
    <n v="416.3"/>
    <n v="100000"/>
    <n v="100000"/>
  </r>
  <r>
    <s v="FBSBGB2C9MIE"/>
    <s v="Robert Robinson"/>
    <s v="Flats"/>
    <x v="0"/>
    <x v="30"/>
    <x v="2"/>
    <x v="189"/>
    <s v="2049 7422 3860 1534 1097 "/>
    <n v="208.2"/>
    <n v="50000"/>
    <n v="50000"/>
  </r>
  <r>
    <s v="FBA722PSV6AU"/>
    <s v="Emily Thomas"/>
    <s v="Flats"/>
    <x v="0"/>
    <x v="23"/>
    <x v="2"/>
    <x v="189"/>
    <s v="1200 2061 0175 4523 8693 "/>
    <n v="416.3"/>
    <n v="100000"/>
    <n v="100000"/>
  </r>
  <r>
    <s v="FB88OZYGPV5V"/>
    <s v="Karen Allen"/>
    <s v="Pent House"/>
    <x v="3"/>
    <x v="28"/>
    <x v="2"/>
    <x v="189"/>
    <s v="5182 8784 6071 5718 6938 "/>
    <n v="83.3"/>
    <n v="20000"/>
    <n v="20000"/>
  </r>
  <r>
    <s v="FBVFPCGK7UJN"/>
    <s v="Paul Torres"/>
    <s v="Flats"/>
    <x v="2"/>
    <x v="15"/>
    <x v="2"/>
    <x v="189"/>
    <s v="0596 7535 8726 7725 1189 "/>
    <n v="208.2"/>
    <n v="50000"/>
    <n v="50000"/>
  </r>
  <r>
    <s v="FBKGMRK5586J"/>
    <s v="Joshua Harris"/>
    <s v="Terrace"/>
    <x v="7"/>
    <x v="12"/>
    <x v="2"/>
    <x v="190"/>
    <s v="5422 3100 5304 0972 2568 "/>
    <n v="104.1"/>
    <n v="25000"/>
    <n v="25000"/>
  </r>
  <r>
    <s v="FBY9QFEM6TAB"/>
    <s v="Anthony Robinson"/>
    <s v="Flats"/>
    <x v="3"/>
    <x v="7"/>
    <x v="2"/>
    <x v="190"/>
    <s v="5897 5567 3030 7834 4505 "/>
    <n v="124.8"/>
    <n v="30000"/>
    <n v="30000"/>
  </r>
  <r>
    <s v="FBSDNCS81V9L"/>
    <s v="Dorothy Thomas"/>
    <s v="Flats"/>
    <x v="0"/>
    <x v="37"/>
    <x v="2"/>
    <x v="190"/>
    <s v="0571 6412 6105 9036 0604 "/>
    <n v="41.6"/>
    <n v="10000"/>
    <n v="10000"/>
  </r>
  <r>
    <s v="FBFZAVV55YZN"/>
    <s v="Susan Nguyen"/>
    <s v="Flats"/>
    <x v="3"/>
    <x v="14"/>
    <x v="2"/>
    <x v="190"/>
    <s v="1987 4358 6847 0121 5753 "/>
    <n v="832.6"/>
    <n v="200000"/>
    <n v="200000"/>
  </r>
  <r>
    <s v="FBA3QAL7SN2W"/>
    <s v="Joshua Harris"/>
    <s v="Terrace"/>
    <x v="7"/>
    <x v="12"/>
    <x v="2"/>
    <x v="192"/>
    <s v="5925 5206 3132 9741 0762 "/>
    <n v="208.1"/>
    <n v="50000"/>
    <n v="50000"/>
  </r>
  <r>
    <s v="FBKMWSM8ZUWC"/>
    <s v="Security Utilities Common Area"/>
    <s v="Office"/>
    <x v="6"/>
    <x v="1"/>
    <x v="2"/>
    <x v="192"/>
    <s v="1951 9131 6302 0451 0134 "/>
    <n v="208.2"/>
    <n v="50000"/>
    <n v="50000"/>
  </r>
  <r>
    <s v="FBKBPH1DRQM6"/>
    <s v="Block D Common Area"/>
    <s v="Office"/>
    <x v="3"/>
    <x v="1"/>
    <x v="2"/>
    <x v="192"/>
    <s v="6722 6923 7185 6948 2232 "/>
    <n v="416.3"/>
    <n v="100000"/>
    <n v="100000"/>
  </r>
  <r>
    <s v="FB0S5QTJBCKL"/>
    <s v="Thomas Sanchez"/>
    <s v="Flats"/>
    <x v="0"/>
    <x v="26"/>
    <x v="2"/>
    <x v="193"/>
    <s v="2571 3057 5315 9093 1505 "/>
    <n v="83.3"/>
    <n v="20000"/>
    <n v="20000"/>
  </r>
  <r>
    <s v="FBMYEO5BV3SG"/>
    <s v="Paul Garcia"/>
    <s v="Flats"/>
    <x v="3"/>
    <x v="11"/>
    <x v="2"/>
    <x v="193"/>
    <s v="1195 2212 1802 2590 4811 "/>
    <n v="416.3"/>
    <n v="100000"/>
    <n v="100000"/>
  </r>
  <r>
    <s v="FBTNX89473EC"/>
    <s v="Block A Common Area"/>
    <s v="Office"/>
    <x v="4"/>
    <x v="1"/>
    <x v="2"/>
    <x v="193"/>
    <s v="6065 4303 9019 9188 0673 "/>
    <n v="208.2"/>
    <n v="50000"/>
    <n v="50000"/>
  </r>
  <r>
    <s v="FB7O9HIAAY2B"/>
    <s v="Power House Common Area Area"/>
    <s v="Office"/>
    <x v="1"/>
    <x v="1"/>
    <x v="2"/>
    <x v="193"/>
    <s v="6695 1976 1746 9559 2700 "/>
    <n v="416.3"/>
    <n v="100000"/>
    <n v="100000"/>
  </r>
  <r>
    <s v="FBR5R0006EB2"/>
    <s v="Block C Common Area"/>
    <s v="Office"/>
    <x v="0"/>
    <x v="1"/>
    <x v="2"/>
    <x v="193"/>
    <s v="4191 4642 7892 9669 8413 "/>
    <n v="208.2"/>
    <n v="50000"/>
    <n v="50000"/>
  </r>
  <r>
    <s v="FBHUWFI7Q13T"/>
    <s v="Sarah Wilson"/>
    <s v="Flats"/>
    <x v="3"/>
    <x v="34"/>
    <x v="2"/>
    <x v="194"/>
    <s v="3042 0613 3715 2171 3621 "/>
    <n v="41.7"/>
    <n v="10000"/>
    <n v="10000"/>
  </r>
  <r>
    <s v="FBJXFWTX8LUG"/>
    <s v="Anthony Lopez"/>
    <s v="Flats"/>
    <x v="2"/>
    <x v="25"/>
    <x v="2"/>
    <x v="194"/>
    <s v="5822 9293 8340 5696 9063 "/>
    <n v="229"/>
    <n v="55000"/>
    <n v="55000"/>
  </r>
  <r>
    <s v="FBL3U67JEH17"/>
    <s v="Karen Rodriguez"/>
    <s v="Terrace"/>
    <x v="7"/>
    <x v="13"/>
    <x v="2"/>
    <x v="195"/>
    <s v="0819 4718 7317 8633 5810 "/>
    <n v="416.3"/>
    <n v="100000"/>
    <n v="100000"/>
  </r>
  <r>
    <s v="FBIDRDOFZQ19"/>
    <s v="Patricia Williams"/>
    <s v="Flats"/>
    <x v="2"/>
    <x v="2"/>
    <x v="2"/>
    <x v="195"/>
    <s v="0775 5837 8884 2224 0318 "/>
    <n v="166.5"/>
    <n v="40000"/>
    <n v="40000"/>
  </r>
  <r>
    <s v="FB6SVUAFLQ0S"/>
    <s v="Block D Common Area"/>
    <s v="Office"/>
    <x v="3"/>
    <x v="1"/>
    <x v="2"/>
    <x v="195"/>
    <s v="7179 3917 6957 0118 0198 "/>
    <n v="208.1"/>
    <n v="50000"/>
    <n v="50000"/>
  </r>
  <r>
    <s v="FBEOA8KL9G7J"/>
    <s v="Sarah Wilson"/>
    <s v="Flats"/>
    <x v="3"/>
    <x v="34"/>
    <x v="2"/>
    <x v="311"/>
    <s v="3946 4901 6482 5798 8644 "/>
    <n v="41.6"/>
    <n v="10000"/>
    <n v="10000"/>
  </r>
  <r>
    <s v="FBU7670PXSSQ"/>
    <s v="Power House Common Area Area"/>
    <s v="Office"/>
    <x v="1"/>
    <x v="1"/>
    <x v="2"/>
    <x v="311"/>
    <s v="4551 5356 6480 6851 3342 "/>
    <n v="416.3"/>
    <n v="100000"/>
    <n v="100000"/>
  </r>
  <r>
    <s v="FBUM57PL81WG"/>
    <s v="Andrew Allen"/>
    <s v="Flats"/>
    <x v="2"/>
    <x v="4"/>
    <x v="2"/>
    <x v="311"/>
    <s v="7178 8135 1991 7557 9006 "/>
    <n v="50"/>
    <n v="12000"/>
    <n v="12000"/>
  </r>
  <r>
    <s v="FB22G9UWJDXX"/>
    <s v="Anthony Robinson"/>
    <s v="Flats"/>
    <x v="3"/>
    <x v="7"/>
    <x v="2"/>
    <x v="312"/>
    <s v="2288 1277 2248 5399 2740 "/>
    <n v="208.2"/>
    <n v="50000"/>
    <n v="50000"/>
  </r>
  <r>
    <s v="FBGTRFRU54M7"/>
    <s v="Michelle Wilson"/>
    <s v="Flats"/>
    <x v="2"/>
    <x v="18"/>
    <x v="2"/>
    <x v="312"/>
    <s v="5754 1051 2094 9346 5636 "/>
    <n v="41.6"/>
    <n v="10000"/>
    <n v="10000"/>
  </r>
  <r>
    <s v="FBGTRFRU54M7"/>
    <s v="Michelle Wilson"/>
    <s v="Flats"/>
    <x v="2"/>
    <x v="18"/>
    <x v="2"/>
    <x v="312"/>
    <s v="2427 2254 9740 0622 4591 "/>
    <n v="41.6"/>
    <n v="10000"/>
    <n v="10000"/>
  </r>
  <r>
    <s v="FBATCKWFT2Y8"/>
    <s v="Block D Common Area"/>
    <s v="Office"/>
    <x v="3"/>
    <x v="1"/>
    <x v="2"/>
    <x v="312"/>
    <s v="3291 3660 0695 8072 4327 "/>
    <n v="208.2"/>
    <n v="50000"/>
    <n v="50000"/>
  </r>
  <r>
    <s v="FB42TH9PT2LF"/>
    <s v="Joshua Harris"/>
    <s v="Terrace"/>
    <x v="7"/>
    <x v="12"/>
    <x v="2"/>
    <x v="312"/>
    <s v="6651 9654 4313 5686 9972 "/>
    <n v="104.1"/>
    <n v="25000"/>
    <n v="25000"/>
  </r>
  <r>
    <s v="FBI1LLGAFR48"/>
    <s v="Joshua Harris"/>
    <s v="Terrace"/>
    <x v="7"/>
    <x v="12"/>
    <x v="2"/>
    <x v="312"/>
    <s v="0942 3701 0765 9748 2662 "/>
    <n v="41.6"/>
    <n v="10000"/>
    <n v="10000"/>
  </r>
  <r>
    <s v="FB7F8PDO3ACT"/>
    <s v="Karen Allen"/>
    <s v="Pent House"/>
    <x v="3"/>
    <x v="28"/>
    <x v="2"/>
    <x v="313"/>
    <s v="1994 3731 7508 0665 3892 "/>
    <n v="412.1"/>
    <n v="99000"/>
    <n v="99000"/>
  </r>
  <r>
    <s v="FBZ8E495KET5"/>
    <s v="Block D Common Area"/>
    <s v="Office"/>
    <x v="3"/>
    <x v="1"/>
    <x v="2"/>
    <x v="197"/>
    <s v="4177 6960 3363 1005 2511 "/>
    <n v="416.3"/>
    <n v="100000"/>
    <n v="100000"/>
  </r>
  <r>
    <s v="FBSK0B7SRJ5F"/>
    <s v="Power House Common Area Area"/>
    <s v="Office"/>
    <x v="1"/>
    <x v="1"/>
    <x v="2"/>
    <x v="197"/>
    <s v="1557 7843 2424 6617 4045 "/>
    <n v="416.3"/>
    <n v="100000"/>
    <n v="100000"/>
  </r>
  <r>
    <s v="FB524LQICY7O"/>
    <s v="MANAGMENT Office"/>
    <s v="Office"/>
    <x v="5"/>
    <x v="5"/>
    <x v="2"/>
    <x v="197"/>
    <s v="2452 1398 4225 1081 0557 "/>
    <n v="208.2"/>
    <n v="50000"/>
    <n v="50000"/>
  </r>
  <r>
    <s v="FBNHV86NJFDA"/>
    <s v="Andrew Allen"/>
    <s v="Flats"/>
    <x v="2"/>
    <x v="4"/>
    <x v="2"/>
    <x v="197"/>
    <s v="7307 8318 8496 3363 4348 "/>
    <n v="83.2"/>
    <n v="20000"/>
    <n v="20000"/>
  </r>
  <r>
    <s v="FBFZGVGZAPHZ"/>
    <s v="Sarah Wilson"/>
    <s v="Flats"/>
    <x v="3"/>
    <x v="34"/>
    <x v="2"/>
    <x v="314"/>
    <s v="5728 7431 3855 5011 1049 "/>
    <n v="62.5"/>
    <n v="15000"/>
    <n v="15000"/>
  </r>
  <r>
    <s v="FBDTVPXTJK6M"/>
    <s v="Michelle Wilson"/>
    <s v="Flats"/>
    <x v="2"/>
    <x v="18"/>
    <x v="2"/>
    <x v="314"/>
    <s v="2350 7071 9209 3097 6757 "/>
    <n v="83.3"/>
    <n v="20000"/>
    <n v="20000"/>
  </r>
  <r>
    <s v="FBQM3LA1MWUE"/>
    <s v="Joshua Harris"/>
    <s v="Terrace"/>
    <x v="7"/>
    <x v="12"/>
    <x v="2"/>
    <x v="315"/>
    <s v="0383 0057 4928 0209 1590 "/>
    <n v="104.1"/>
    <n v="25000"/>
    <n v="25000"/>
  </r>
  <r>
    <s v="FB1RFQDRIJIL"/>
    <s v="Patricia Williams"/>
    <s v="Flats"/>
    <x v="2"/>
    <x v="2"/>
    <x v="2"/>
    <x v="198"/>
    <s v="4449 9785 1454 9067 1270 "/>
    <n v="124.9"/>
    <n v="30000"/>
    <n v="30000"/>
  </r>
  <r>
    <s v="FBY4ZWSLFSFB"/>
    <s v="Thomas Sanchez"/>
    <s v="Flats"/>
    <x v="0"/>
    <x v="26"/>
    <x v="2"/>
    <x v="198"/>
    <s v="2870 9908 7049 1861 9297 "/>
    <n v="83.2"/>
    <n v="20000"/>
    <n v="20000"/>
  </r>
  <r>
    <s v="FB8NYUFYTGD4"/>
    <s v="Donna Torres"/>
    <s v="Flats"/>
    <x v="3"/>
    <x v="8"/>
    <x v="2"/>
    <x v="198"/>
    <s v="0658 3223 1948 4534 2421 "/>
    <n v="312.2"/>
    <n v="75000"/>
    <n v="75000"/>
  </r>
  <r>
    <s v="FBLRE7SOZ9W1"/>
    <s v="Andrew Allen"/>
    <s v="Flats"/>
    <x v="2"/>
    <x v="4"/>
    <x v="2"/>
    <x v="198"/>
    <s v="0945 4395 2122 5996 8467 "/>
    <n v="208.2"/>
    <n v="50000"/>
    <n v="50000"/>
  </r>
  <r>
    <s v="FB8C4FS8YLEU"/>
    <s v="Joshua Harris"/>
    <s v="Terrace"/>
    <x v="7"/>
    <x v="12"/>
    <x v="2"/>
    <x v="316"/>
    <s v="6114 0211 2191 1732 6568 "/>
    <n v="104.1"/>
    <n v="25000"/>
    <n v="25000"/>
  </r>
  <r>
    <s v="FB22P325X312"/>
    <s v="Lisa Clark"/>
    <s v="Flats"/>
    <x v="3"/>
    <x v="14"/>
    <x v="2"/>
    <x v="316"/>
    <s v="1324 7593 3079 8733 1456 "/>
    <n v="166.6"/>
    <n v="40000"/>
    <n v="40000"/>
  </r>
  <r>
    <s v="FB32KFO7RNT0"/>
    <s v="Sarah Wilson"/>
    <s v="Flats"/>
    <x v="3"/>
    <x v="34"/>
    <x v="2"/>
    <x v="317"/>
    <s v="5290 1514 0398 1976 6101 "/>
    <n v="41.6"/>
    <n v="10000"/>
    <n v="10000"/>
  </r>
  <r>
    <s v="FBTSXU9TWKRX"/>
    <s v="Michael Wright"/>
    <s v="Flats"/>
    <x v="3"/>
    <x v="9"/>
    <x v="2"/>
    <x v="317"/>
    <s v="3249 2278 7140 0409 2963 "/>
    <n v="158.1"/>
    <n v="38000"/>
    <n v="38000"/>
  </r>
  <r>
    <s v="FBUFCUGCL2MZ"/>
    <s v="Security Utilities Common Area"/>
    <s v="Office"/>
    <x v="6"/>
    <x v="1"/>
    <x v="2"/>
    <x v="317"/>
    <s v="2295 8522 5429 6470 8653 "/>
    <n v="208.1"/>
    <n v="50000"/>
    <n v="50000"/>
  </r>
  <r>
    <s v="FBTOFHEZ7X23"/>
    <s v="Power House Common Area Area"/>
    <s v="Office"/>
    <x v="1"/>
    <x v="1"/>
    <x v="2"/>
    <x v="317"/>
    <s v="0819 6361 3898 8300 8821 "/>
    <n v="416.3"/>
    <n v="100000"/>
    <n v="100000"/>
  </r>
  <r>
    <s v="FBBPZOLQLSEE"/>
    <s v="Robert Walker"/>
    <s v="Flats"/>
    <x v="2"/>
    <x v="39"/>
    <x v="2"/>
    <x v="317"/>
    <s v="5338 1757 0530 0439 5384 "/>
    <n v="416.3"/>
    <n v="100000"/>
    <n v="100000"/>
  </r>
  <r>
    <s v="FB80E1YW297U"/>
    <s v="Nancy Sanchez"/>
    <s v="Pent House"/>
    <x v="4"/>
    <x v="31"/>
    <x v="2"/>
    <x v="318"/>
    <s v="4403 4521 7273 8916 1770 "/>
    <n v="208.2"/>
    <n v="50000"/>
    <n v="50000"/>
  </r>
  <r>
    <s v="FBSG2WX2YSQZ"/>
    <s v="Block B Common Area"/>
    <s v="Office"/>
    <x v="2"/>
    <x v="1"/>
    <x v="2"/>
    <x v="318"/>
    <s v="1970 4210 2631 4053 5447 "/>
    <n v="208.1"/>
    <n v="50000"/>
    <n v="50000"/>
  </r>
  <r>
    <s v="FBOAGPMA5RK4"/>
    <s v="Block C Common Area"/>
    <s v="Office"/>
    <x v="0"/>
    <x v="1"/>
    <x v="2"/>
    <x v="318"/>
    <s v="1040 6463 4147 2707 8743 "/>
    <n v="208.1"/>
    <n v="50000"/>
    <n v="50000"/>
  </r>
  <r>
    <s v="FBH0X0H6QMPW"/>
    <s v="Block D Common Area"/>
    <s v="Office"/>
    <x v="3"/>
    <x v="1"/>
    <x v="2"/>
    <x v="318"/>
    <s v="0137 6618 7763 6574 1290 "/>
    <n v="416.3"/>
    <n v="100000"/>
    <n v="100000"/>
  </r>
  <r>
    <s v="FBYBJ6EPREXV"/>
    <s v="Michelle Wilson"/>
    <s v="Flats"/>
    <x v="2"/>
    <x v="18"/>
    <x v="2"/>
    <x v="318"/>
    <s v="7213 5456 7092 2848 0651 "/>
    <n v="416.3"/>
    <n v="100000"/>
    <n v="100000"/>
  </r>
  <r>
    <s v="FB1YT0MWK7Y6"/>
    <s v="Jennifer Robinson"/>
    <s v="Terrace"/>
    <x v="7"/>
    <x v="35"/>
    <x v="2"/>
    <x v="199"/>
    <s v="0839 8057 3785 5832 1205 "/>
    <n v="333"/>
    <n v="80000"/>
    <n v="80000"/>
  </r>
  <r>
    <s v="FB1PA40IJU99"/>
    <s v="Dorothy Thomas"/>
    <s v="Flats"/>
    <x v="0"/>
    <x v="37"/>
    <x v="2"/>
    <x v="199"/>
    <s v="6234 8965 5644 3055 0133 "/>
    <n v="83.2"/>
    <n v="20000"/>
    <n v="20000"/>
  </r>
  <r>
    <s v="FBRL2RQWIELC"/>
    <s v="Block A Common Area"/>
    <s v="Office"/>
    <x v="4"/>
    <x v="1"/>
    <x v="2"/>
    <x v="199"/>
    <s v="0064 3616 1770 7147 5368 "/>
    <n v="208.1"/>
    <n v="50000"/>
    <n v="50000"/>
  </r>
  <r>
    <s v="FBCRQA6GT6AB"/>
    <s v="Power House Common Area Area"/>
    <s v="Office"/>
    <x v="1"/>
    <x v="1"/>
    <x v="2"/>
    <x v="199"/>
    <s v="3487 0212 2848 5203 1772 "/>
    <n v="416.3"/>
    <n v="100000"/>
    <n v="100000"/>
  </r>
  <r>
    <s v="FBP8ECOFVTGR"/>
    <s v="Karen Rodriguez"/>
    <s v="Terrace"/>
    <x v="7"/>
    <x v="13"/>
    <x v="2"/>
    <x v="199"/>
    <s v="5026 6915 1527 6885 9261 "/>
    <n v="832.6"/>
    <n v="200000"/>
    <n v="200000"/>
  </r>
  <r>
    <s v="FBTYNUIP2N1I"/>
    <s v="Richard Garcia"/>
    <s v="Flats"/>
    <x v="3"/>
    <x v="36"/>
    <x v="2"/>
    <x v="200"/>
    <s v="3536 5145 2093 3435 4195 "/>
    <n v="208.2"/>
    <n v="50000"/>
    <n v="50000"/>
  </r>
  <r>
    <s v="FBIQTLZYW927"/>
    <s v="Robert Robinson"/>
    <s v="Flats"/>
    <x v="0"/>
    <x v="30"/>
    <x v="2"/>
    <x v="200"/>
    <s v="1559 0115 9354 8583 2769 "/>
    <n v="83.2"/>
    <n v="20000"/>
    <n v="20000"/>
  </r>
  <r>
    <s v="FBUX261QY558"/>
    <s v="Anthony Robinson"/>
    <s v="Flats"/>
    <x v="3"/>
    <x v="7"/>
    <x v="2"/>
    <x v="200"/>
    <s v="5629 8438 3233 2879 3150 "/>
    <n v="208.1"/>
    <n v="50000"/>
    <n v="50000"/>
  </r>
  <r>
    <s v="FBJKGXEDATD9"/>
    <s v="Donald Jones"/>
    <s v="Flats"/>
    <x v="0"/>
    <x v="10"/>
    <x v="2"/>
    <x v="200"/>
    <s v="0051 6816 6859 1718 3694 "/>
    <n v="191.5"/>
    <n v="46000"/>
    <n v="46000"/>
  </r>
  <r>
    <s v="FB77ZZACIDTO"/>
    <s v="Barbara Martinez"/>
    <s v="Flats"/>
    <x v="0"/>
    <x v="0"/>
    <x v="2"/>
    <x v="200"/>
    <s v="6040 4939 2470 4999 5826 "/>
    <n v="366.4"/>
    <n v="88000"/>
    <n v="88000"/>
  </r>
  <r>
    <s v="FB77ZZACIDTO"/>
    <s v="Barbara Martinez"/>
    <s v="Flats"/>
    <x v="0"/>
    <x v="0"/>
    <x v="2"/>
    <x v="200"/>
    <s v="5828 9757 4778 9493 0820 "/>
    <n v="208.1"/>
    <n v="50000"/>
    <n v="50000"/>
  </r>
  <r>
    <s v="FB42R3PO0QKD"/>
    <s v="Barbara Martinez"/>
    <s v="Flats"/>
    <x v="0"/>
    <x v="0"/>
    <x v="2"/>
    <x v="200"/>
    <s v="2697 1528 7180 8748 5753 "/>
    <n v="208.2"/>
    <n v="50000"/>
    <n v="50000"/>
  </r>
  <r>
    <s v="FB42R3PO0QKD"/>
    <s v="Barbara Martinez"/>
    <s v="Flats"/>
    <x v="0"/>
    <x v="0"/>
    <x v="2"/>
    <x v="200"/>
    <s v="6952 2002 2335 4345 5792 "/>
    <n v="208.1"/>
    <n v="50000"/>
    <n v="50000"/>
  </r>
  <r>
    <s v="FBJYTX5TG878"/>
    <s v="Barbara Martinez"/>
    <s v="Flats"/>
    <x v="0"/>
    <x v="0"/>
    <x v="2"/>
    <x v="200"/>
    <s v="5324 3184 5958 5875 5160 "/>
    <n v="208.2"/>
    <n v="50000"/>
    <n v="50000"/>
  </r>
  <r>
    <s v="FBD3M8XDLUMZ"/>
    <s v="Joshua Harris"/>
    <s v="Terrace"/>
    <x v="7"/>
    <x v="12"/>
    <x v="2"/>
    <x v="319"/>
    <s v="4271 4556 8558 4440 7422 "/>
    <n v="124.9"/>
    <n v="30000"/>
    <n v="30000"/>
  </r>
  <r>
    <s v="FBEY0FS7VHW3"/>
    <s v="Emily Thomas"/>
    <s v="Flats"/>
    <x v="0"/>
    <x v="23"/>
    <x v="2"/>
    <x v="320"/>
    <s v="0046 6896 6976 5505 4662 "/>
    <n v="124.9"/>
    <n v="30000"/>
    <n v="30000"/>
  </r>
  <r>
    <s v="FB73HVM1BU7G"/>
    <s v="Sarah Wilson"/>
    <s v="Flats"/>
    <x v="3"/>
    <x v="34"/>
    <x v="2"/>
    <x v="320"/>
    <s v="3990 3716 5591 6531 9264 "/>
    <n v="83.2"/>
    <n v="20000"/>
    <n v="20000"/>
  </r>
  <r>
    <s v="FBMX01946R2P"/>
    <s v="Andrew Allen"/>
    <s v="Flats"/>
    <x v="2"/>
    <x v="4"/>
    <x v="2"/>
    <x v="320"/>
    <s v="5652 9085 4093 5761 6198 "/>
    <n v="104.1"/>
    <n v="25000"/>
    <n v="25000"/>
  </r>
  <r>
    <s v="FBTZLJT7LYDR"/>
    <s v="Daniel Ramirez"/>
    <s v="Flats"/>
    <x v="0"/>
    <x v="19"/>
    <x v="2"/>
    <x v="320"/>
    <s v="1516 8719 2548 6195 2082 "/>
    <n v="457.9"/>
    <n v="110000"/>
    <n v="110000"/>
  </r>
  <r>
    <s v="FBSJ7ECT17RN"/>
    <s v="Block D Common Area"/>
    <s v="Office"/>
    <x v="3"/>
    <x v="1"/>
    <x v="2"/>
    <x v="320"/>
    <s v="5415 8395 1097 1601 0660 "/>
    <n v="416.3"/>
    <n v="100000"/>
    <n v="100000"/>
  </r>
  <r>
    <s v="FBV73BQ7QJHF"/>
    <s v="Patricia Williams"/>
    <s v="Flats"/>
    <x v="2"/>
    <x v="2"/>
    <x v="2"/>
    <x v="320"/>
    <s v="4018 0066 9337 9468 2190 "/>
    <n v="124.9"/>
    <n v="30000"/>
    <n v="30000"/>
  </r>
  <r>
    <s v="FBJCVNO4II4C"/>
    <s v="Sarah Wilson"/>
    <s v="Flats"/>
    <x v="3"/>
    <x v="34"/>
    <x v="2"/>
    <x v="321"/>
    <s v="3789 9586 6895 7695 1430 "/>
    <n v="41.7"/>
    <n v="10000"/>
    <n v="10000"/>
  </r>
  <r>
    <s v="FBDDFWL4HN9V"/>
    <s v="Joshua Harris"/>
    <s v="Terrace"/>
    <x v="7"/>
    <x v="12"/>
    <x v="2"/>
    <x v="321"/>
    <s v="6189 6121 6094 9383 9195 "/>
    <n v="62.4"/>
    <n v="15000"/>
    <n v="15000"/>
  </r>
  <r>
    <s v="FB18GYWCPY71"/>
    <s v="Betty Lopez"/>
    <s v="Flats"/>
    <x v="4"/>
    <x v="27"/>
    <x v="2"/>
    <x v="321"/>
    <s v="1797 1803 4586 5303 9785 "/>
    <n v="333"/>
    <n v="80000"/>
    <n v="80000"/>
  </r>
  <r>
    <s v="FBKOY6VB6X9W"/>
    <s v="Daniel Torres"/>
    <s v="Flats"/>
    <x v="4"/>
    <x v="24"/>
    <x v="2"/>
    <x v="201"/>
    <s v="0408 6452 7031 0780 0154 "/>
    <n v="166.5"/>
    <n v="40000"/>
    <n v="40000"/>
  </r>
  <r>
    <s v="FBKQ0IWB2RE5"/>
    <s v="Joshua Harris"/>
    <s v="Terrace"/>
    <x v="7"/>
    <x v="12"/>
    <x v="2"/>
    <x v="201"/>
    <s v="0644 5005 5369 3626 5173 "/>
    <n v="208.2"/>
    <n v="50000"/>
    <n v="50000"/>
  </r>
  <r>
    <s v="FB37CLU19CKQ"/>
    <s v="Donald Jones"/>
    <s v="Flats"/>
    <x v="0"/>
    <x v="10"/>
    <x v="2"/>
    <x v="201"/>
    <s v="4195 2740 8553 8890 1690 "/>
    <n v="204"/>
    <n v="49000"/>
    <n v="49000"/>
  </r>
  <r>
    <s v="FBA8Z3JPXMHC"/>
    <s v="Donald Jones"/>
    <s v="Flats"/>
    <x v="0"/>
    <x v="10"/>
    <x v="2"/>
    <x v="201"/>
    <s v="4667 0004 3162 4523 6320 "/>
    <n v="832.6"/>
    <n v="200000"/>
    <n v="200000"/>
  </r>
  <r>
    <s v="FBXKG5P0EPBH"/>
    <s v="Mark Rodriguez"/>
    <s v="Flats"/>
    <x v="2"/>
    <x v="22"/>
    <x v="2"/>
    <x v="201"/>
    <s v="0111 2345 9774 5096 6672 "/>
    <n v="83.2"/>
    <n v="20000"/>
    <n v="20000"/>
  </r>
  <r>
    <s v="FBIT9WECDL9W"/>
    <s v="Power House Common Area Area"/>
    <s v="Office"/>
    <x v="1"/>
    <x v="1"/>
    <x v="2"/>
    <x v="201"/>
    <s v="5836 8460 9223 7469 7776 "/>
    <n v="416.3"/>
    <n v="100000"/>
    <n v="100000"/>
  </r>
  <r>
    <s v="FB6VFESCTFEC"/>
    <s v="Elizabeth Martin"/>
    <s v="Flats"/>
    <x v="4"/>
    <x v="29"/>
    <x v="2"/>
    <x v="322"/>
    <s v="2846 8553 5867 8906 2060 "/>
    <n v="1040.7"/>
    <n v="250000"/>
    <n v="250000"/>
  </r>
  <r>
    <s v="FBEP2ADAPOEI"/>
    <s v="Thomas Sanchez"/>
    <s v="Flats"/>
    <x v="0"/>
    <x v="26"/>
    <x v="2"/>
    <x v="322"/>
    <s v="3572 4398 0924 4938 3239 "/>
    <n v="83.3"/>
    <n v="20000"/>
    <n v="20000"/>
  </r>
  <r>
    <s v="FBUI875P92KK"/>
    <s v="Richard Allen"/>
    <s v="Flats"/>
    <x v="2"/>
    <x v="6"/>
    <x v="2"/>
    <x v="322"/>
    <s v="3701 3591 1209 6695 6813 "/>
    <n v="208.1"/>
    <n v="50000"/>
    <n v="50000"/>
  </r>
  <r>
    <s v="FBJB8G7YWP07"/>
    <s v="Jennifer Robinson"/>
    <s v="Terrace"/>
    <x v="7"/>
    <x v="35"/>
    <x v="2"/>
    <x v="323"/>
    <s v="0418 7221 6178 4117 6777 "/>
    <n v="124.9"/>
    <n v="30000"/>
    <n v="30000"/>
  </r>
  <r>
    <s v="FBPN6Q2HOHYR"/>
    <s v="Sarah Wilson"/>
    <s v="Flats"/>
    <x v="3"/>
    <x v="34"/>
    <x v="2"/>
    <x v="323"/>
    <s v="1918 4870 8418 3336 9459 "/>
    <n v="54.1"/>
    <n v="13000"/>
    <n v="13000"/>
  </r>
  <r>
    <s v="FBA1OUBXSQVA"/>
    <s v="Patricia Williams"/>
    <s v="Flats"/>
    <x v="2"/>
    <x v="2"/>
    <x v="2"/>
    <x v="323"/>
    <s v="0594 1459 0420 6373 0209 "/>
    <n v="145.69999999999999"/>
    <n v="35000"/>
    <n v="35000"/>
  </r>
  <r>
    <s v="FBHCBTD9XSRO"/>
    <s v="Block D Common Area"/>
    <s v="Office"/>
    <x v="3"/>
    <x v="1"/>
    <x v="2"/>
    <x v="323"/>
    <s v="2568 9591 7490 3927 0460 "/>
    <n v="208.1"/>
    <n v="50000"/>
    <n v="50000"/>
  </r>
  <r>
    <s v="FB8DD29VEN16"/>
    <s v="Power House Common Area Area"/>
    <s v="Office"/>
    <x v="1"/>
    <x v="1"/>
    <x v="2"/>
    <x v="323"/>
    <s v="6390 2250 5061 6309 1973 "/>
    <n v="208.1"/>
    <n v="50000"/>
    <n v="50000"/>
  </r>
  <r>
    <s v="FBAKJS8Q0EJ3"/>
    <s v="Robert Robinson"/>
    <s v="Flats"/>
    <x v="0"/>
    <x v="30"/>
    <x v="2"/>
    <x v="202"/>
    <s v="4558 7140 7310 5871 8380 "/>
    <n v="208.2"/>
    <n v="50000"/>
    <n v="50000"/>
  </r>
  <r>
    <s v="FBBBR1EVU26S"/>
    <s v="Robert Walker"/>
    <s v="Flats"/>
    <x v="2"/>
    <x v="39"/>
    <x v="2"/>
    <x v="202"/>
    <s v="5647 0118 4787 9676 1595 "/>
    <n v="541.20000000000005"/>
    <n v="130000"/>
    <n v="130000"/>
  </r>
  <r>
    <s v="FBZNJ14NMARI"/>
    <s v="Jennifer Lewis"/>
    <s v="Terrace"/>
    <x v="7"/>
    <x v="17"/>
    <x v="2"/>
    <x v="202"/>
    <s v="2722 6510 3490 3726 8562 "/>
    <n v="166.5"/>
    <n v="40000"/>
    <n v="40000"/>
  </r>
  <r>
    <s v="FB4JURDFTIZN"/>
    <s v="Michelle Wilson"/>
    <s v="Flats"/>
    <x v="2"/>
    <x v="18"/>
    <x v="2"/>
    <x v="203"/>
    <s v="5634 6083 5589 2838 6479 "/>
    <n v="416.3"/>
    <n v="100000"/>
    <n v="100000"/>
  </r>
  <r>
    <s v="FBLKT0OWOA4E"/>
    <s v="Andrew Allen"/>
    <s v="Flats"/>
    <x v="2"/>
    <x v="4"/>
    <x v="2"/>
    <x v="203"/>
    <s v="3515 6255 2201 8514 8963 "/>
    <n v="104"/>
    <n v="25000"/>
    <n v="25000"/>
  </r>
  <r>
    <s v="FBG1QTPQVN12"/>
    <s v="Nancy Sanchez"/>
    <s v="Pent House"/>
    <x v="4"/>
    <x v="31"/>
    <x v="2"/>
    <x v="203"/>
    <s v="2119 6615 5391 1674 1784 "/>
    <n v="291.39999999999998"/>
    <n v="70000"/>
    <n v="70000"/>
  </r>
  <r>
    <s v="FBE3BN93U62B"/>
    <s v="Emily Thomas"/>
    <s v="Flats"/>
    <x v="0"/>
    <x v="23"/>
    <x v="2"/>
    <x v="204"/>
    <s v="5835 9208 3268 8401 4446 "/>
    <n v="208.1"/>
    <n v="50000"/>
    <n v="50000"/>
  </r>
  <r>
    <s v="FB2BDP53714I"/>
    <s v="Block D Common Area"/>
    <s v="Office"/>
    <x v="3"/>
    <x v="1"/>
    <x v="2"/>
    <x v="204"/>
    <s v="7364 1633 1622 3897 2247 "/>
    <n v="208.2"/>
    <n v="50000"/>
    <n v="50000"/>
  </r>
  <r>
    <s v="FB17DW2JFGUB"/>
    <s v="Joshua Harris"/>
    <s v="Terrace"/>
    <x v="7"/>
    <x v="12"/>
    <x v="2"/>
    <x v="204"/>
    <s v="2889 8083 0080 6221 3971 "/>
    <n v="104"/>
    <n v="25000"/>
    <n v="25000"/>
  </r>
  <r>
    <s v="FB9MONSCCDXV"/>
    <s v="Anthony Robinson"/>
    <s v="Flats"/>
    <x v="3"/>
    <x v="7"/>
    <x v="2"/>
    <x v="205"/>
    <s v="2832 8935 4877 6840 6725 "/>
    <n v="104.1"/>
    <n v="25000"/>
    <n v="25000"/>
  </r>
  <r>
    <s v="FBDTAEU4E8S5"/>
    <s v="Security Utilities Common Area"/>
    <s v="Office"/>
    <x v="6"/>
    <x v="1"/>
    <x v="2"/>
    <x v="205"/>
    <s v="6527 8519 5077 8864 9842 "/>
    <n v="416.3"/>
    <n v="100000"/>
    <n v="100000"/>
  </r>
  <r>
    <s v="FB5Z55E2RZK2"/>
    <s v="MANAGMENT Office"/>
    <s v="Office"/>
    <x v="5"/>
    <x v="5"/>
    <x v="2"/>
    <x v="205"/>
    <s v="1515 6599 0542 0325 3985 "/>
    <n v="208.1"/>
    <n v="50000"/>
    <n v="50000"/>
  </r>
  <r>
    <s v="FBQLVKE3FT02"/>
    <s v="Power House Common Area Area"/>
    <s v="Office"/>
    <x v="1"/>
    <x v="1"/>
    <x v="2"/>
    <x v="205"/>
    <s v="5688 5272 0492 5678 7614 "/>
    <n v="832.6"/>
    <n v="200000"/>
    <n v="200000"/>
  </r>
  <r>
    <s v="FB3BUSP4ZE98"/>
    <s v="Dorothy Thomas"/>
    <s v="Flats"/>
    <x v="0"/>
    <x v="37"/>
    <x v="2"/>
    <x v="205"/>
    <s v="6065 0186 9638 7812 7990 "/>
    <n v="124.9"/>
    <n v="30000"/>
    <n v="30000"/>
  </r>
  <r>
    <s v="FBSZ3LMRIS4Y"/>
    <s v="Joshua Harris"/>
    <s v="Terrace"/>
    <x v="7"/>
    <x v="12"/>
    <x v="2"/>
    <x v="206"/>
    <s v="2065 0782 3527 2609 0156 "/>
    <n v="208.2"/>
    <n v="50000"/>
    <n v="50000"/>
  </r>
  <r>
    <s v="FBCA3OTZ6QD7"/>
    <s v="Paul Garcia"/>
    <s v="Flats"/>
    <x v="3"/>
    <x v="11"/>
    <x v="2"/>
    <x v="206"/>
    <s v="3304 6333 6103 7364 3730 "/>
    <n v="416.3"/>
    <n v="100000"/>
    <n v="100000"/>
  </r>
  <r>
    <s v="FB8892Q5LKJL"/>
    <s v="Michelle Wilson"/>
    <s v="Flats"/>
    <x v="2"/>
    <x v="18"/>
    <x v="2"/>
    <x v="206"/>
    <s v="3839 2233 4093 4171 8438 "/>
    <n v="41.6"/>
    <n v="10000"/>
    <n v="10000"/>
  </r>
  <r>
    <s v="FBJ4X083SZX6"/>
    <s v="Karen Allen"/>
    <s v="Pent House"/>
    <x v="3"/>
    <x v="28"/>
    <x v="2"/>
    <x v="207"/>
    <s v="2117 4330 3889 5934 5317 "/>
    <n v="124.9"/>
    <n v="30000"/>
    <n v="30000"/>
  </r>
  <r>
    <s v="FBEW0UZRT5BT"/>
    <s v="Richard Allen"/>
    <s v="Flats"/>
    <x v="2"/>
    <x v="6"/>
    <x v="2"/>
    <x v="207"/>
    <s v="0960 8293 7652 3017 7977 "/>
    <n v="287.3"/>
    <n v="69000"/>
    <n v="69000"/>
  </r>
  <r>
    <s v="FB3OYS5XYBD8"/>
    <s v="Block D Common Area"/>
    <s v="Office"/>
    <x v="3"/>
    <x v="1"/>
    <x v="2"/>
    <x v="207"/>
    <s v="3683 1761 8524 6616 5337 "/>
    <n v="416.3"/>
    <n v="100000"/>
    <n v="100000"/>
  </r>
  <r>
    <s v="FBX1TLPNMJD2"/>
    <s v="Donna Torres"/>
    <s v="Flats"/>
    <x v="3"/>
    <x v="8"/>
    <x v="2"/>
    <x v="208"/>
    <s v="3199 7291 2708 3853 2103 "/>
    <n v="254"/>
    <n v="61000"/>
    <n v="61000"/>
  </r>
  <r>
    <s v="FB2RNOU1X4T4"/>
    <s v="Block A Common Area"/>
    <s v="Office"/>
    <x v="4"/>
    <x v="1"/>
    <x v="2"/>
    <x v="208"/>
    <s v="6784 6535 8059 5361 3574 "/>
    <n v="208.2"/>
    <n v="50000"/>
    <n v="50000"/>
  </r>
  <r>
    <s v="FBSXDA42QDJU"/>
    <s v="Block B Common Area"/>
    <s v="Office"/>
    <x v="2"/>
    <x v="1"/>
    <x v="2"/>
    <x v="208"/>
    <s v="0753 5782 9696 8567 1296 "/>
    <n v="208.2"/>
    <n v="50000"/>
    <n v="50000"/>
  </r>
  <r>
    <s v="FB48Z79XI7HT"/>
    <s v="Block C Common Area"/>
    <s v="Office"/>
    <x v="0"/>
    <x v="1"/>
    <x v="2"/>
    <x v="208"/>
    <s v="4256 0114 3255 6922 4689 "/>
    <n v="208.2"/>
    <n v="50000"/>
    <n v="50000"/>
  </r>
  <r>
    <s v="FBX4M41927KJ"/>
    <s v="Thomas Sanchez"/>
    <s v="Flats"/>
    <x v="0"/>
    <x v="26"/>
    <x v="2"/>
    <x v="209"/>
    <s v="0129 9754 0519 7771 7564 "/>
    <n v="104.1"/>
    <n v="25000"/>
    <n v="25000"/>
  </r>
  <r>
    <s v="FB0ADMGCJCTX"/>
    <s v="Andrew Allen"/>
    <s v="Flats"/>
    <x v="2"/>
    <x v="4"/>
    <x v="2"/>
    <x v="209"/>
    <s v="3131 8526 2196 2032 5599 "/>
    <n v="208.2"/>
    <n v="50000"/>
    <n v="50000"/>
  </r>
  <r>
    <s v="FBDJVE95TEFZ"/>
    <s v="Anthony Lopez"/>
    <s v="Flats"/>
    <x v="2"/>
    <x v="25"/>
    <x v="2"/>
    <x v="210"/>
    <s v="0110 4587 8099 6471 1430 "/>
    <n v="208.1"/>
    <n v="50000"/>
    <n v="50000"/>
  </r>
  <r>
    <s v="FBZP0U7S8I0I"/>
    <s v="Anthony Robinson"/>
    <s v="Flats"/>
    <x v="3"/>
    <x v="7"/>
    <x v="2"/>
    <x v="211"/>
    <s v="6721 5472 8579 0426 5115 "/>
    <n v="208.2"/>
    <n v="50000"/>
    <n v="50000"/>
  </r>
  <r>
    <s v="FBQ2FNR5UU8X"/>
    <s v="Power House Common Area Area"/>
    <s v="Office"/>
    <x v="1"/>
    <x v="1"/>
    <x v="2"/>
    <x v="211"/>
    <s v="7184 3025 3789 8454 1989 "/>
    <n v="416.3"/>
    <n v="100000"/>
    <n v="100000"/>
  </r>
  <r>
    <s v="FBX7YW7YVRDS"/>
    <s v="Block D Common Area"/>
    <s v="Office"/>
    <x v="3"/>
    <x v="1"/>
    <x v="2"/>
    <x v="211"/>
    <s v="0088 9603 3282 6739 3544 "/>
    <n v="416.3"/>
    <n v="100000"/>
    <n v="100000"/>
  </r>
  <r>
    <s v="FBIF6LLXOJAK"/>
    <s v="Barbara Ramirez"/>
    <s v="Flats"/>
    <x v="4"/>
    <x v="21"/>
    <x v="2"/>
    <x v="211"/>
    <s v="0540 2401 1676 6632 1876 "/>
    <n v="166.5"/>
    <n v="40000"/>
    <n v="40000"/>
  </r>
  <r>
    <s v="FBHV4N1TZNMK"/>
    <s v="Robert Walker"/>
    <s v="Flats"/>
    <x v="2"/>
    <x v="39"/>
    <x v="2"/>
    <x v="324"/>
    <s v="4026 6476 9444 1673 1823 "/>
    <n v="624.5"/>
    <n v="150000"/>
    <n v="150000"/>
  </r>
  <r>
    <s v="FBBGJVDFTL1R"/>
    <s v="Joshua Harris"/>
    <s v="Terrace"/>
    <x v="7"/>
    <x v="12"/>
    <x v="2"/>
    <x v="324"/>
    <s v="1630 0939 1910 9938 5080 "/>
    <n v="208.1"/>
    <n v="50000"/>
    <n v="50000"/>
  </r>
  <r>
    <s v="FBONIN07XEEV"/>
    <s v="Nancy Sanchez"/>
    <s v="Pent House"/>
    <x v="4"/>
    <x v="31"/>
    <x v="2"/>
    <x v="324"/>
    <s v="6047 7235 5033 5212 0813 "/>
    <n v="416.3"/>
    <n v="100000"/>
    <n v="100000"/>
  </r>
  <r>
    <s v="FBI8L6QBDFOT"/>
    <s v="Karen Rodriguez"/>
    <s v="Terrace"/>
    <x v="7"/>
    <x v="13"/>
    <x v="2"/>
    <x v="325"/>
    <s v="2009 6062 7237 3462 4279 "/>
    <n v="624.5"/>
    <n v="150000"/>
    <n v="150000"/>
  </r>
  <r>
    <s v="FBN695Z2YDYS"/>
    <s v="Jennifer Lewis"/>
    <s v="Terrace"/>
    <x v="7"/>
    <x v="17"/>
    <x v="2"/>
    <x v="325"/>
    <s v="1244 8315 9804 1874 9084 "/>
    <n v="333.1"/>
    <n v="80000"/>
    <n v="80000"/>
  </r>
  <r>
    <s v="FBQ9IPH60D5B"/>
    <s v="Thomas Sanchez"/>
    <s v="Flats"/>
    <x v="0"/>
    <x v="26"/>
    <x v="2"/>
    <x v="326"/>
    <s v="2390 0646 2752 2564 3804 "/>
    <n v="83.2"/>
    <n v="20000"/>
    <n v="20000"/>
  </r>
  <r>
    <s v="FB11IIYYEY72"/>
    <s v="Sarah Wilson"/>
    <s v="Flats"/>
    <x v="3"/>
    <x v="34"/>
    <x v="2"/>
    <x v="326"/>
    <s v="4214 4279 9480 1790 6225 "/>
    <n v="83.3"/>
    <n v="20000"/>
    <n v="20000"/>
  </r>
  <r>
    <s v="FBR8YGR8YFBX"/>
    <s v="Power House Common Area Area"/>
    <s v="Office"/>
    <x v="1"/>
    <x v="1"/>
    <x v="2"/>
    <x v="326"/>
    <s v="6028 5879 1613 4841 4076 "/>
    <n v="416.3"/>
    <n v="100000"/>
    <n v="100000"/>
  </r>
  <r>
    <s v="FBQBOKLQDBEY"/>
    <s v="Block D Common Area"/>
    <s v="Office"/>
    <x v="3"/>
    <x v="1"/>
    <x v="2"/>
    <x v="326"/>
    <s v="4806 4076 0496 4108 6811 "/>
    <n v="416.3"/>
    <n v="100000"/>
    <n v="100000"/>
  </r>
  <r>
    <s v="FB8V5IJSTA6G"/>
    <s v="Paul Torres"/>
    <s v="Flats"/>
    <x v="2"/>
    <x v="15"/>
    <x v="2"/>
    <x v="212"/>
    <s v="3819 6161 0602 7967 3110 "/>
    <n v="416.3"/>
    <n v="100000"/>
    <n v="100000"/>
  </r>
  <r>
    <s v="FBXDT10E6C1I"/>
    <s v="Emily Thomas"/>
    <s v="Flats"/>
    <x v="0"/>
    <x v="23"/>
    <x v="2"/>
    <x v="327"/>
    <s v="2415 1517 6429 7221 0303 "/>
    <n v="83.3"/>
    <n v="20000"/>
    <n v="20000"/>
  </r>
  <r>
    <s v="FB0T0DNHR0OJ"/>
    <s v="Paul Perez"/>
    <s v="Flats"/>
    <x v="3"/>
    <x v="16"/>
    <x v="2"/>
    <x v="213"/>
    <s v="0453 7805 9646 5211 9984 "/>
    <n v="83.3"/>
    <n v="20000"/>
    <n v="20000"/>
  </r>
  <r>
    <s v="FBWHQXGBQI72"/>
    <s v="Mark Rodriguez"/>
    <s v="Flats"/>
    <x v="2"/>
    <x v="22"/>
    <x v="2"/>
    <x v="213"/>
    <s v="4472 5476 7026 2880 7073 "/>
    <n v="166.5"/>
    <n v="40000"/>
    <n v="40000"/>
  </r>
  <r>
    <s v="FBSNNP3CK66L"/>
    <s v="Andrew Allen"/>
    <s v="Flats"/>
    <x v="2"/>
    <x v="4"/>
    <x v="2"/>
    <x v="214"/>
    <s v="2559 4187 8283 8780 6531 "/>
    <n v="104.1"/>
    <n v="25000"/>
    <n v="25000"/>
  </r>
  <r>
    <s v="FBX6VAS66FOY"/>
    <s v="Sarah Wilson"/>
    <s v="Flats"/>
    <x v="3"/>
    <x v="34"/>
    <x v="2"/>
    <x v="214"/>
    <s v="4075 8635 3259 6924 6959 "/>
    <n v="41.6"/>
    <n v="10000"/>
    <n v="10000"/>
  </r>
  <r>
    <s v="FBREFC2NR0EB"/>
    <s v="Joshua Harris"/>
    <s v="Terrace"/>
    <x v="7"/>
    <x v="12"/>
    <x v="2"/>
    <x v="214"/>
    <s v="6768 1180 5110 7651 3815 "/>
    <n v="208.2"/>
    <n v="50000"/>
    <n v="50000"/>
  </r>
  <r>
    <s v="FBMVYXX2BUGS"/>
    <s v="Daniel Ramirez"/>
    <s v="Flats"/>
    <x v="0"/>
    <x v="19"/>
    <x v="2"/>
    <x v="328"/>
    <s v="7215 5904 9530 6284 8983 "/>
    <n v="416.3"/>
    <n v="100000"/>
    <n v="100000"/>
  </r>
  <r>
    <s v="FBSLC0PJ7FG9"/>
    <s v="Robert Robinson"/>
    <s v="Flats"/>
    <x v="0"/>
    <x v="30"/>
    <x v="2"/>
    <x v="328"/>
    <s v="0156 5509 4285 4608 3085 "/>
    <n v="208.1"/>
    <n v="50000"/>
    <n v="50000"/>
  </r>
  <r>
    <s v="FBF6Q74XA7IJ"/>
    <s v="Power House Common Area Area"/>
    <s v="Office"/>
    <x v="1"/>
    <x v="1"/>
    <x v="2"/>
    <x v="328"/>
    <s v="3577 2122 4713 8782 7702 "/>
    <n v="416.3"/>
    <n v="100000"/>
    <n v="100000"/>
  </r>
  <r>
    <s v="FB5LYCTF6VXF"/>
    <s v="Richard Allen"/>
    <s v="Flats"/>
    <x v="2"/>
    <x v="6"/>
    <x v="2"/>
    <x v="328"/>
    <s v="1473 6135 1041 3742 9456 "/>
    <n v="416.3"/>
    <n v="100000"/>
    <n v="100000"/>
  </r>
  <r>
    <s v="FB9JDVZ6GE8O"/>
    <s v="Sarah Wilson"/>
    <s v="Flats"/>
    <x v="3"/>
    <x v="34"/>
    <x v="2"/>
    <x v="329"/>
    <s v="0003 3994 7897 1065 6091 "/>
    <n v="83.2"/>
    <n v="20000"/>
    <n v="20000"/>
  </r>
  <r>
    <s v="FB0Y2QN5PGNO"/>
    <s v="Emily Thomas"/>
    <s v="Flats"/>
    <x v="0"/>
    <x v="23"/>
    <x v="2"/>
    <x v="329"/>
    <s v="5510 0936 8448 0221 7895 "/>
    <n v="416.3"/>
    <n v="100000"/>
    <n v="100000"/>
  </r>
  <r>
    <s v="FB098YT12ZS5"/>
    <s v="Elizabeth Martin"/>
    <s v="Flats"/>
    <x v="4"/>
    <x v="29"/>
    <x v="2"/>
    <x v="215"/>
    <s v="2944 6274 0843 1442 3872 "/>
    <n v="1040.8"/>
    <n v="250000"/>
    <n v="250000"/>
  </r>
  <r>
    <s v="FB5Q14S2YD8L"/>
    <s v="Susan Nguyen"/>
    <s v="Flats"/>
    <x v="3"/>
    <x v="14"/>
    <x v="2"/>
    <x v="215"/>
    <s v="7321 3143 7904 3368 6108 "/>
    <n v="832.6"/>
    <n v="200000"/>
    <n v="200000"/>
  </r>
  <r>
    <s v="FBYSYJFKEWFC"/>
    <s v="Donald Jones"/>
    <s v="Flats"/>
    <x v="0"/>
    <x v="10"/>
    <x v="2"/>
    <x v="216"/>
    <s v="2115 6540 8395 0246 2739 "/>
    <n v="412.1"/>
    <n v="99000"/>
    <n v="99000"/>
  </r>
  <r>
    <s v="FB8NAV4RR0IW"/>
    <s v="Donald Jones"/>
    <s v="Flats"/>
    <x v="0"/>
    <x v="10"/>
    <x v="2"/>
    <x v="216"/>
    <s v="2208 1498 1813 3276 0915 "/>
    <n v="416.3"/>
    <n v="100000"/>
    <n v="100000"/>
  </r>
  <r>
    <s v="FB1V9VU65RE1"/>
    <s v="Lisa Clark"/>
    <s v="Flats"/>
    <x v="3"/>
    <x v="14"/>
    <x v="2"/>
    <x v="216"/>
    <s v="6945 2436 7669 3614 7074 "/>
    <n v="208.1"/>
    <n v="50000"/>
    <n v="50000"/>
  </r>
  <r>
    <s v="FBY416KA0250"/>
    <s v="Block A Common Area"/>
    <s v="Office"/>
    <x v="4"/>
    <x v="1"/>
    <x v="2"/>
    <x v="216"/>
    <s v="4683 1063 9990 3208 2067 "/>
    <n v="208.1"/>
    <n v="50000"/>
    <n v="50000"/>
  </r>
  <r>
    <s v="FBHVE979N7BO"/>
    <s v="Block C Common Area"/>
    <s v="Office"/>
    <x v="0"/>
    <x v="1"/>
    <x v="2"/>
    <x v="216"/>
    <s v="2842 8849 8906 8327 4153 "/>
    <n v="208.1"/>
    <n v="50000"/>
    <n v="50000"/>
  </r>
  <r>
    <s v="FBM6MKEBVQJS"/>
    <s v="Block D Common Area"/>
    <s v="Office"/>
    <x v="3"/>
    <x v="1"/>
    <x v="2"/>
    <x v="216"/>
    <s v="3900 6240 3132 4292 9200 "/>
    <n v="416.3"/>
    <n v="100000"/>
    <n v="100000"/>
  </r>
  <r>
    <s v="FBINFB7GA9HU"/>
    <s v="Power House Common Area Area"/>
    <s v="Office"/>
    <x v="1"/>
    <x v="1"/>
    <x v="2"/>
    <x v="216"/>
    <s v="1610 3167 6385 2836 1517 "/>
    <n v="416.3"/>
    <n v="100000"/>
    <n v="100000"/>
  </r>
  <r>
    <s v="FBJTM0QCUT7K"/>
    <s v="Anthony Robinson"/>
    <s v="Flats"/>
    <x v="3"/>
    <x v="7"/>
    <x v="2"/>
    <x v="216"/>
    <s v="0792 3510 5829 1115 8802 "/>
    <n v="432.9"/>
    <n v="104000"/>
    <n v="104000"/>
  </r>
  <r>
    <s v="FBFURVJJXTAR"/>
    <s v="Sarah Wilson"/>
    <s v="Flats"/>
    <x v="3"/>
    <x v="34"/>
    <x v="2"/>
    <x v="217"/>
    <s v="2932 6915 9956 0715 3583 "/>
    <n v="62.4"/>
    <n v="15000"/>
    <n v="15000"/>
  </r>
  <r>
    <s v="FBFURVJJXTAR"/>
    <s v="Sarah Wilson"/>
    <s v="Flats"/>
    <x v="3"/>
    <x v="34"/>
    <x v="2"/>
    <x v="217"/>
    <s v="5168 8363 3019 9775 8720 "/>
    <n v="62.5"/>
    <n v="15000"/>
    <n v="15000"/>
  </r>
  <r>
    <s v="FBSUKP7E2LAE"/>
    <s v="Joshua Harris"/>
    <s v="Terrace"/>
    <x v="7"/>
    <x v="12"/>
    <x v="2"/>
    <x v="217"/>
    <s v="0248 4215 8765 8176 2834 "/>
    <n v="104.1"/>
    <n v="25000"/>
    <n v="25000"/>
  </r>
  <r>
    <s v="FBXHB59VDNBE"/>
    <s v="Mary Hernandez"/>
    <s v="Flats"/>
    <x v="0"/>
    <x v="32"/>
    <x v="2"/>
    <x v="217"/>
    <s v="2715 8673 2234 0140 3183 "/>
    <n v="1040.7"/>
    <n v="250000"/>
    <n v="250000"/>
  </r>
  <r>
    <s v="FBXHB59VDNBE"/>
    <s v="Mary Hernandez"/>
    <s v="Flats"/>
    <x v="0"/>
    <x v="32"/>
    <x v="2"/>
    <x v="217"/>
    <s v="3134 9250 4658 2904 7033 "/>
    <n v="1040.8"/>
    <n v="250000"/>
    <n v="250000"/>
  </r>
  <r>
    <s v="FBDL8AI9IFET"/>
    <s v="Mary Hernandez"/>
    <s v="Flats"/>
    <x v="0"/>
    <x v="32"/>
    <x v="2"/>
    <x v="217"/>
    <s v="3816 2174 6823 4174 2210 "/>
    <n v="1040.8"/>
    <n v="250000"/>
    <n v="250000"/>
  </r>
  <r>
    <s v="FBORMSRVLTJJ"/>
    <s v="MANAGMENT Office"/>
    <s v="Office"/>
    <x v="5"/>
    <x v="5"/>
    <x v="2"/>
    <x v="217"/>
    <s v="0527 9015 8604 7420 6342 "/>
    <n v="208.2"/>
    <n v="50000"/>
    <n v="50000"/>
  </r>
  <r>
    <s v="FB2VD5Z6U0QB"/>
    <s v="Dorothy Thomas"/>
    <s v="Flats"/>
    <x v="0"/>
    <x v="37"/>
    <x v="2"/>
    <x v="217"/>
    <s v="5119 3210 5840 9061 9063 "/>
    <n v="83.3"/>
    <n v="20000"/>
    <n v="20000"/>
  </r>
  <r>
    <s v="FB9CTZ721F0E"/>
    <s v="Donna Torres"/>
    <s v="Flats"/>
    <x v="3"/>
    <x v="8"/>
    <x v="2"/>
    <x v="217"/>
    <s v="2485 2685 1087 7214 2973 "/>
    <n v="212.3"/>
    <n v="51000"/>
    <n v="51000"/>
  </r>
  <r>
    <s v="FBMBIJIVUOK3"/>
    <s v="Block B Common Area"/>
    <s v="Office"/>
    <x v="2"/>
    <x v="1"/>
    <x v="2"/>
    <x v="330"/>
    <s v="1684 4609 3250 9847 9524 "/>
    <n v="166.5"/>
    <n v="40000"/>
    <n v="40000"/>
  </r>
  <r>
    <s v="FBUKF8O33E4V"/>
    <s v="Block D Common Area"/>
    <s v="Office"/>
    <x v="3"/>
    <x v="1"/>
    <x v="2"/>
    <x v="330"/>
    <s v="5549 2395 1053 5739 2257 "/>
    <n v="166.5"/>
    <n v="40000"/>
    <n v="40000"/>
  </r>
  <r>
    <s v="FBIG9CDOLJH6"/>
    <s v="Power House Common Area Area"/>
    <s v="Office"/>
    <x v="1"/>
    <x v="1"/>
    <x v="2"/>
    <x v="330"/>
    <s v="0193 1370 6642 4062 9617 "/>
    <n v="249.8"/>
    <n v="60000"/>
    <n v="60000"/>
  </r>
  <r>
    <s v="FBLDVA89MYJR"/>
    <s v="Paul Garcia"/>
    <s v="Flats"/>
    <x v="3"/>
    <x v="11"/>
    <x v="2"/>
    <x v="330"/>
    <s v="3886 2709 4800 6283 9631 "/>
    <n v="416.3"/>
    <n v="100000"/>
    <n v="100000"/>
  </r>
  <r>
    <s v="FBXUN9AJ611M"/>
    <s v="Betty Lopez"/>
    <s v="Flats"/>
    <x v="4"/>
    <x v="27"/>
    <x v="2"/>
    <x v="331"/>
    <s v="7265 4952 6226 5590 3679 "/>
    <n v="374.6"/>
    <n v="90000"/>
    <n v="90000"/>
  </r>
  <r>
    <s v="FB0OY9A3D0FX"/>
    <s v="Betty Lopez"/>
    <s v="Flats"/>
    <x v="4"/>
    <x v="27"/>
    <x v="2"/>
    <x v="331"/>
    <s v="2799 6995 3834 4103 2188 "/>
    <n v="41.7"/>
    <n v="10000"/>
    <n v="10000"/>
  </r>
  <r>
    <s v="FBKBST5NIV0D"/>
    <s v="Andrew Allen"/>
    <s v="Flats"/>
    <x v="2"/>
    <x v="4"/>
    <x v="2"/>
    <x v="331"/>
    <s v="4335 1901 9790 1221 0377 "/>
    <n v="208.1"/>
    <n v="50000"/>
    <n v="50000"/>
  </r>
  <r>
    <s v="FBI7LTGI2JZ1"/>
    <s v="Karen Allen"/>
    <s v="Pent House"/>
    <x v="3"/>
    <x v="28"/>
    <x v="2"/>
    <x v="331"/>
    <s v="6572 5228 5753 7024 2254 "/>
    <n v="416.3"/>
    <n v="100000"/>
    <n v="100000"/>
  </r>
  <r>
    <s v="FBD0OG1Y2CQO"/>
    <s v="Daniel Torres"/>
    <s v="Flats"/>
    <x v="4"/>
    <x v="24"/>
    <x v="2"/>
    <x v="218"/>
    <s v="2091 1719 8668 8009 1952 "/>
    <n v="166.5"/>
    <n v="40000"/>
    <n v="40000"/>
  </r>
  <r>
    <s v="FBK5ZFVAKTIJ"/>
    <s v="Joshua Harris"/>
    <s v="Terrace"/>
    <x v="7"/>
    <x v="12"/>
    <x v="2"/>
    <x v="218"/>
    <s v="5441 7503 8428 3188 2582 "/>
    <n v="104.1"/>
    <n v="25000"/>
    <n v="25000"/>
  </r>
  <r>
    <s v="FBBLLMCOMHN4"/>
    <s v="Jennifer Robinson"/>
    <s v="Terrace"/>
    <x v="7"/>
    <x v="35"/>
    <x v="2"/>
    <x v="332"/>
    <s v="6552 2649 4270 6597 7464 "/>
    <n v="416.3"/>
    <n v="100000"/>
    <n v="100000"/>
  </r>
  <r>
    <s v="FBFPAUMHBSAO"/>
    <s v="Karen Rodriguez"/>
    <s v="Terrace"/>
    <x v="7"/>
    <x v="13"/>
    <x v="2"/>
    <x v="332"/>
    <s v="0982 7304 1387 3656 7889 "/>
    <n v="416.3"/>
    <n v="100000"/>
    <n v="100000"/>
  </r>
  <r>
    <s v="FBC4QB2F5T4Y"/>
    <s v="Power House Common Area Area"/>
    <s v="Office"/>
    <x v="1"/>
    <x v="1"/>
    <x v="2"/>
    <x v="332"/>
    <s v="5257 5609 8146 8617 3571 "/>
    <n v="416.3"/>
    <n v="100000"/>
    <n v="100000"/>
  </r>
  <r>
    <s v="FBW082HUZXJX"/>
    <s v="Richard Garcia"/>
    <s v="Flats"/>
    <x v="3"/>
    <x v="36"/>
    <x v="2"/>
    <x v="333"/>
    <s v="7126 6865 5100 2681 4247 "/>
    <n v="208.1"/>
    <n v="50000"/>
    <n v="50000"/>
  </r>
  <r>
    <s v="FBV2BR4R1O5I"/>
    <s v="Block D Common Area"/>
    <s v="Office"/>
    <x v="3"/>
    <x v="1"/>
    <x v="2"/>
    <x v="333"/>
    <s v="0410 7476 2072 6864 2048 "/>
    <n v="416.3"/>
    <n v="100000"/>
    <n v="100000"/>
  </r>
  <r>
    <s v="FBL8BXPZMMPJ"/>
    <s v="Sarah Wilson"/>
    <s v="Flats"/>
    <x v="3"/>
    <x v="34"/>
    <x v="2"/>
    <x v="334"/>
    <s v="3717 5062 0823 9380 2164 "/>
    <n v="41.6"/>
    <n v="10000"/>
    <n v="10000"/>
  </r>
  <r>
    <s v="FBL8BXPZMMPJ"/>
    <s v="Sarah Wilson"/>
    <s v="Flats"/>
    <x v="3"/>
    <x v="34"/>
    <x v="2"/>
    <x v="334"/>
    <s v="5570 2439 6971 3920 3843 "/>
    <n v="41.7"/>
    <n v="10000"/>
    <n v="10000"/>
  </r>
  <r>
    <s v="FB569FFHPX82"/>
    <s v="Donald Jones"/>
    <s v="Flats"/>
    <x v="0"/>
    <x v="10"/>
    <x v="2"/>
    <x v="334"/>
    <s v="0571 6397 0768 0275 6482 "/>
    <n v="208.2"/>
    <n v="50000"/>
    <n v="50000"/>
  </r>
  <r>
    <s v="FBVUJ52E4INN"/>
    <s v="Joshua Harris"/>
    <s v="Terrace"/>
    <x v="7"/>
    <x v="12"/>
    <x v="2"/>
    <x v="334"/>
    <s v="2786 5429 8547 1622 5993 "/>
    <n v="104"/>
    <n v="25000"/>
    <n v="25000"/>
  </r>
  <r>
    <s v="FBQX92XVLIW0"/>
    <s v="Joshua Harris"/>
    <s v="Terrace"/>
    <x v="7"/>
    <x v="12"/>
    <x v="2"/>
    <x v="335"/>
    <s v="5483 2822 2524 4884 1146 "/>
    <n v="104.1"/>
    <n v="25000"/>
    <n v="25000"/>
  </r>
  <r>
    <s v="FBIFZ4DPLBRR"/>
    <s v="Nancy Sanchez"/>
    <s v="Pent House"/>
    <x v="4"/>
    <x v="31"/>
    <x v="2"/>
    <x v="335"/>
    <s v="2818 7960 9268 9725 4511 "/>
    <n v="416.3"/>
    <n v="100000"/>
    <n v="100000"/>
  </r>
  <r>
    <s v="FBSF9UTEA3LR"/>
    <s v="Michelle Wilson"/>
    <s v="Flats"/>
    <x v="2"/>
    <x v="18"/>
    <x v="2"/>
    <x v="336"/>
    <s v="3049 5603 0086 9421 7338 "/>
    <n v="416.3"/>
    <n v="100000"/>
    <n v="100000"/>
  </r>
  <r>
    <s v="FB24OGNT72J6"/>
    <s v="Thomas Sanchez"/>
    <s v="Flats"/>
    <x v="0"/>
    <x v="26"/>
    <x v="2"/>
    <x v="336"/>
    <s v="3888 9067 7169 3220 7967 "/>
    <n v="83.3"/>
    <n v="20000"/>
    <n v="20000"/>
  </r>
  <r>
    <s v="FB4313RNBWHM"/>
    <s v="Karen Allen"/>
    <s v="Pent House"/>
    <x v="3"/>
    <x v="28"/>
    <x v="2"/>
    <x v="336"/>
    <s v="2806 6451 5899 8465 8068 "/>
    <n v="416.3"/>
    <n v="100000"/>
    <n v="100000"/>
  </r>
  <r>
    <s v="FB6MUTTGHA2R"/>
    <s v="Sarah Wilson"/>
    <s v="Flats"/>
    <x v="3"/>
    <x v="34"/>
    <x v="2"/>
    <x v="336"/>
    <s v="4136 0845 2081 3035 1207 "/>
    <n v="145.69999999999999"/>
    <n v="35000"/>
    <n v="35000"/>
  </r>
  <r>
    <s v="FBIQSHQ4B0MB"/>
    <s v="Security Utilities Common Area"/>
    <s v="Office"/>
    <x v="6"/>
    <x v="1"/>
    <x v="2"/>
    <x v="336"/>
    <s v="0826 5029 9460 2280 0234 "/>
    <n v="145.69999999999999"/>
    <n v="35000"/>
    <n v="35000"/>
  </r>
  <r>
    <s v="FBCK129LOTBT"/>
    <s v="Power House Common Area Area"/>
    <s v="Office"/>
    <x v="1"/>
    <x v="1"/>
    <x v="2"/>
    <x v="336"/>
    <s v="2777 7618 0543 4178 2904 "/>
    <n v="416.3"/>
    <n v="100000"/>
    <n v="100000"/>
  </r>
  <r>
    <s v="FB5JR2VYHA6N"/>
    <s v="Michelle Wilson"/>
    <s v="Flats"/>
    <x v="2"/>
    <x v="18"/>
    <x v="3"/>
    <x v="150"/>
    <n v="0"/>
    <n v="0"/>
    <n v="64912.4"/>
    <n v="64912.4"/>
  </r>
  <r>
    <s v="FB92B0LCJS9J"/>
    <s v="Sarah Wilson"/>
    <s v="Flats"/>
    <x v="3"/>
    <x v="34"/>
    <x v="3"/>
    <x v="150"/>
    <n v="0"/>
    <n v="0"/>
    <n v="64912.4"/>
    <n v="64912.4"/>
  </r>
  <r>
    <s v="FBRF9NK4VW4M"/>
    <s v="Jennifer Robinson"/>
    <s v="Terrace"/>
    <x v="7"/>
    <x v="35"/>
    <x v="3"/>
    <x v="150"/>
    <n v="0"/>
    <n v="0"/>
    <n v="64912.4"/>
    <n v="64912.4"/>
  </r>
  <r>
    <s v="FBM74DJ58RQ0"/>
    <s v="Paul Garcia"/>
    <s v="Flats"/>
    <x v="3"/>
    <x v="11"/>
    <x v="3"/>
    <x v="150"/>
    <n v="0"/>
    <n v="0"/>
    <n v="64912.4"/>
    <n v="64912.4"/>
  </r>
  <r>
    <s v="FBQBLP6P4KWQ"/>
    <s v="Robert Walker"/>
    <s v="Flats"/>
    <x v="2"/>
    <x v="39"/>
    <x v="3"/>
    <x v="150"/>
    <n v="0"/>
    <n v="0"/>
    <n v="64912.4"/>
    <n v="64912.4"/>
  </r>
  <r>
    <s v="FB3YP4RDCLAG"/>
    <s v="Anthony Robinson"/>
    <s v="Flats"/>
    <x v="3"/>
    <x v="7"/>
    <x v="3"/>
    <x v="150"/>
    <n v="0"/>
    <n v="0"/>
    <n v="64912.4"/>
    <n v="64912.4"/>
  </r>
  <r>
    <s v="FBX0FJEV2WBN"/>
    <s v="Betty Lopez"/>
    <s v="Flats"/>
    <x v="4"/>
    <x v="27"/>
    <x v="3"/>
    <x v="150"/>
    <n v="0"/>
    <n v="0"/>
    <n v="64912.4"/>
    <n v="64912.4"/>
  </r>
  <r>
    <s v="FBZ5LJJJ976E"/>
    <s v="Jennifer Lewis"/>
    <s v="Terrace"/>
    <x v="7"/>
    <x v="17"/>
    <x v="3"/>
    <x v="150"/>
    <n v="0"/>
    <n v="0"/>
    <n v="64912.4"/>
    <n v="64912.4"/>
  </r>
  <r>
    <s v="FBOAUMMVPG9F"/>
    <s v="Emily Thomas"/>
    <s v="Flats"/>
    <x v="0"/>
    <x v="23"/>
    <x v="3"/>
    <x v="150"/>
    <n v="0"/>
    <n v="0"/>
    <n v="64912.4"/>
    <n v="64912.4"/>
  </r>
  <r>
    <s v="FBD5IJ2J6RMT"/>
    <s v="Donald Jones"/>
    <s v="Flats"/>
    <x v="0"/>
    <x v="10"/>
    <x v="3"/>
    <x v="150"/>
    <n v="0"/>
    <n v="0"/>
    <n v="64912.4"/>
    <n v="64912.4"/>
  </r>
  <r>
    <s v="FBL9E72EZJIZ"/>
    <s v="Donna Torres"/>
    <s v="Flats"/>
    <x v="3"/>
    <x v="8"/>
    <x v="3"/>
    <x v="150"/>
    <n v="0"/>
    <n v="0"/>
    <n v="64912.4"/>
    <n v="64912.4"/>
  </r>
  <r>
    <s v="FB8XK6WH3S9B"/>
    <s v="Karen Rodriguez"/>
    <s v="Terrace"/>
    <x v="7"/>
    <x v="13"/>
    <x v="3"/>
    <x v="150"/>
    <n v="0"/>
    <n v="0"/>
    <n v="64912.4"/>
    <n v="64912.4"/>
  </r>
  <r>
    <s v="FB9NP11TE4ZB"/>
    <s v="Andrew Allen"/>
    <s v="Flats"/>
    <x v="2"/>
    <x v="4"/>
    <x v="3"/>
    <x v="151"/>
    <n v="0"/>
    <n v="0"/>
    <n v="64912.4"/>
    <n v="64912.4"/>
  </r>
  <r>
    <s v="FBRDJPHOYW7Q"/>
    <s v="Elizabeth Martin"/>
    <s v="Flats"/>
    <x v="4"/>
    <x v="29"/>
    <x v="3"/>
    <x v="151"/>
    <n v="0"/>
    <n v="0"/>
    <n v="64912.4"/>
    <n v="64912.4"/>
  </r>
  <r>
    <s v="FB2PNCP30RIG"/>
    <s v="Michael Wright"/>
    <s v="Flats"/>
    <x v="3"/>
    <x v="9"/>
    <x v="3"/>
    <x v="151"/>
    <n v="0"/>
    <n v="0"/>
    <n v="64912.4"/>
    <n v="64912.4"/>
  </r>
  <r>
    <s v="FBWDJZ9QHZVU"/>
    <s v="James Clark"/>
    <s v="Flats"/>
    <x v="4"/>
    <x v="33"/>
    <x v="3"/>
    <x v="151"/>
    <n v="0"/>
    <n v="0"/>
    <n v="64912.4"/>
    <n v="64912.4"/>
  </r>
  <r>
    <s v="FBGBA5PUWT49"/>
    <s v="Karen Allen"/>
    <s v="Pent House"/>
    <x v="3"/>
    <x v="28"/>
    <x v="3"/>
    <x v="152"/>
    <n v="0"/>
    <n v="0"/>
    <n v="64912.4"/>
    <n v="64912.4"/>
  </r>
  <r>
    <s v="FB32YD6M5MHR"/>
    <s v="Thomas Sanchez"/>
    <s v="Flats"/>
    <x v="0"/>
    <x v="26"/>
    <x v="3"/>
    <x v="152"/>
    <n v="0"/>
    <n v="0"/>
    <n v="64912.4"/>
    <n v="64912.4"/>
  </r>
  <r>
    <s v="FBXACMSVUI69"/>
    <s v="Mark Rodriguez"/>
    <s v="Flats"/>
    <x v="2"/>
    <x v="22"/>
    <x v="3"/>
    <x v="153"/>
    <n v="0"/>
    <n v="0"/>
    <n v="64912.4"/>
    <n v="64912.4"/>
  </r>
  <r>
    <s v="FB2EPYZ6EA0X"/>
    <s v="Daniel Ramirez"/>
    <s v="Flats"/>
    <x v="0"/>
    <x v="19"/>
    <x v="3"/>
    <x v="153"/>
    <n v="0"/>
    <n v="0"/>
    <n v="64912.4"/>
    <n v="64912.4"/>
  </r>
  <r>
    <s v="FB4GH610RI3H"/>
    <s v="Robert Robinson"/>
    <s v="Flats"/>
    <x v="0"/>
    <x v="30"/>
    <x v="3"/>
    <x v="154"/>
    <n v="0"/>
    <n v="0"/>
    <n v="64912.4"/>
    <n v="64912.4"/>
  </r>
  <r>
    <s v="FBINXSMS6VP9"/>
    <s v="Joshua Harris"/>
    <s v="Terrace"/>
    <x v="7"/>
    <x v="12"/>
    <x v="3"/>
    <x v="155"/>
    <n v="0"/>
    <n v="0"/>
    <n v="64912.4"/>
    <n v="64912.4"/>
  </r>
  <r>
    <s v="FB2Q5V9CRMSZ"/>
    <s v="Patricia Williams"/>
    <s v="Flats"/>
    <x v="2"/>
    <x v="2"/>
    <x v="3"/>
    <x v="156"/>
    <n v="0"/>
    <n v="0"/>
    <n v="64912.4"/>
    <n v="64912.4"/>
  </r>
  <r>
    <s v="FBQJ2XZ3R9OS"/>
    <s v="Anthony Lopez"/>
    <s v="Flats"/>
    <x v="2"/>
    <x v="25"/>
    <x v="3"/>
    <x v="296"/>
    <n v="0"/>
    <n v="0"/>
    <n v="64912.4"/>
    <n v="64912.4"/>
  </r>
  <r>
    <s v="FBNK30TN3AR0"/>
    <s v="Lisa Clark"/>
    <s v="Flats"/>
    <x v="3"/>
    <x v="14"/>
    <x v="3"/>
    <x v="297"/>
    <n v="0"/>
    <n v="0"/>
    <n v="64912.4"/>
    <n v="64912.4"/>
  </r>
  <r>
    <s v="FB491MT30QHI"/>
    <s v="Paul Torres"/>
    <s v="Flats"/>
    <x v="2"/>
    <x v="15"/>
    <x v="3"/>
    <x v="299"/>
    <n v="0"/>
    <n v="0"/>
    <n v="64912.4"/>
    <n v="64912.4"/>
  </r>
  <r>
    <s v="FBW9780LSIHT"/>
    <s v="Barbara Ramirez"/>
    <s v="Flats"/>
    <x v="4"/>
    <x v="21"/>
    <x v="3"/>
    <x v="157"/>
    <n v="0"/>
    <n v="0"/>
    <n v="64912.4"/>
    <n v="64912.4"/>
  </r>
  <r>
    <s v="FBAMM839LE3A"/>
    <s v="Daniel Torres"/>
    <s v="Flats"/>
    <x v="4"/>
    <x v="24"/>
    <x v="3"/>
    <x v="301"/>
    <n v="0"/>
    <n v="0"/>
    <n v="64912.4"/>
    <n v="64912.4"/>
  </r>
  <r>
    <s v="FBM0EY7KXVRF"/>
    <s v="Thomas &amp; Jane Jackson"/>
    <s v="Flats"/>
    <x v="4"/>
    <x v="38"/>
    <x v="3"/>
    <x v="159"/>
    <n v="0"/>
    <n v="0"/>
    <n v="64912.4"/>
    <n v="64912.4"/>
  </r>
  <r>
    <s v="FBJ1WKO8W30H"/>
    <s v="Richard Allen"/>
    <s v="Flats"/>
    <x v="2"/>
    <x v="6"/>
    <x v="3"/>
    <x v="160"/>
    <n v="0"/>
    <n v="0"/>
    <n v="64912.4"/>
    <n v="64912.4"/>
  </r>
  <r>
    <s v="FBM2FRRD65EY"/>
    <s v="Joshua Harris"/>
    <s v="Terrace"/>
    <x v="7"/>
    <x v="12"/>
    <x v="3"/>
    <x v="161"/>
    <n v="0"/>
    <n v="0"/>
    <n v="92732"/>
    <n v="92732"/>
  </r>
  <r>
    <s v="FBAGUE8H5O8X"/>
    <s v="Richard Garcia"/>
    <s v="Flats"/>
    <x v="3"/>
    <x v="36"/>
    <x v="3"/>
    <x v="162"/>
    <n v="0"/>
    <n v="0"/>
    <n v="64912.4"/>
    <n v="64912.4"/>
  </r>
  <r>
    <s v="FB8AFSDENK3V"/>
    <s v="Anthony Robinson"/>
    <s v="Flats"/>
    <x v="3"/>
    <x v="7"/>
    <x v="3"/>
    <x v="162"/>
    <n v="0"/>
    <n v="0"/>
    <n v="92732"/>
    <n v="92732"/>
  </r>
  <r>
    <s v="FB6IAXV23ET7"/>
    <s v="Betty Lopez"/>
    <s v="Flats"/>
    <x v="4"/>
    <x v="27"/>
    <x v="3"/>
    <x v="162"/>
    <n v="0"/>
    <n v="0"/>
    <n v="92732"/>
    <n v="92732"/>
  </r>
  <r>
    <s v="FBAGUE8H5O8X"/>
    <s v="Richard Garcia"/>
    <s v="Flats"/>
    <x v="3"/>
    <x v="36"/>
    <x v="3"/>
    <x v="162"/>
    <n v="0"/>
    <n v="0"/>
    <n v="92732"/>
    <n v="92732"/>
  </r>
  <r>
    <s v="FB16F9FTBEAR"/>
    <s v="James Clark"/>
    <s v="Flats"/>
    <x v="4"/>
    <x v="33"/>
    <x v="3"/>
    <x v="162"/>
    <n v="0"/>
    <n v="0"/>
    <n v="92732"/>
    <n v="92732"/>
  </r>
  <r>
    <s v="FBN5SA1TUTQR"/>
    <s v="Donald Jones"/>
    <s v="Flats"/>
    <x v="0"/>
    <x v="10"/>
    <x v="3"/>
    <x v="162"/>
    <n v="0"/>
    <n v="0"/>
    <n v="92732"/>
    <n v="92732"/>
  </r>
  <r>
    <s v="FB16KASUTQH6"/>
    <s v="Jennifer Lewis"/>
    <s v="Terrace"/>
    <x v="7"/>
    <x v="17"/>
    <x v="3"/>
    <x v="162"/>
    <n v="0"/>
    <n v="0"/>
    <n v="92732"/>
    <n v="92732"/>
  </r>
  <r>
    <s v="FBC9HBV61OEQ"/>
    <s v="Andrew Allen"/>
    <s v="Flats"/>
    <x v="2"/>
    <x v="4"/>
    <x v="3"/>
    <x v="162"/>
    <n v="0"/>
    <n v="0"/>
    <n v="92732"/>
    <n v="92732"/>
  </r>
  <r>
    <s v="FB4SK5XRXMCD"/>
    <s v="Williams Jef"/>
    <s v="Flats"/>
    <x v="4"/>
    <x v="3"/>
    <x v="3"/>
    <x v="163"/>
    <n v="0"/>
    <n v="0"/>
    <n v="64912.4"/>
    <n v="64912.4"/>
  </r>
  <r>
    <s v="FB0176BZ8PK8"/>
    <s v="Jennifer Robinson"/>
    <s v="Terrace"/>
    <x v="7"/>
    <x v="35"/>
    <x v="3"/>
    <x v="163"/>
    <n v="0"/>
    <n v="0"/>
    <n v="92732"/>
    <n v="92732"/>
  </r>
  <r>
    <s v="FBQEVIYDE18O"/>
    <s v="Dorothy Thomas"/>
    <s v="Flats"/>
    <x v="0"/>
    <x v="37"/>
    <x v="3"/>
    <x v="337"/>
    <n v="0"/>
    <n v="0"/>
    <n v="64912.4"/>
    <n v="64912.4"/>
  </r>
  <r>
    <s v="FBSFCFHMC0A4"/>
    <s v="Sarah Wilson"/>
    <s v="Flats"/>
    <x v="3"/>
    <x v="34"/>
    <x v="3"/>
    <x v="337"/>
    <n v="0"/>
    <n v="0"/>
    <n v="92732"/>
    <n v="92732"/>
  </r>
  <r>
    <s v="FBOWG1VS24Q0"/>
    <s v="Jennifer Lewis"/>
    <s v="Terrace"/>
    <x v="7"/>
    <x v="17"/>
    <x v="3"/>
    <x v="164"/>
    <n v="0"/>
    <n v="0"/>
    <n v="92732"/>
    <n v="92732"/>
  </r>
  <r>
    <s v="FB8ZVACGNZTQ"/>
    <s v="Paul Garcia"/>
    <s v="Flats"/>
    <x v="3"/>
    <x v="11"/>
    <x v="3"/>
    <x v="164"/>
    <n v="0"/>
    <n v="0"/>
    <n v="92732"/>
    <n v="92732"/>
  </r>
  <r>
    <s v="FB54ORQD946V"/>
    <s v="Paul Perez"/>
    <s v="Flats"/>
    <x v="3"/>
    <x v="16"/>
    <x v="3"/>
    <x v="165"/>
    <n v="0"/>
    <n v="0"/>
    <n v="64912.4"/>
    <n v="64912.4"/>
  </r>
  <r>
    <s v="FB2HZG6041BG"/>
    <s v="Mark Rodriguez"/>
    <s v="Flats"/>
    <x v="2"/>
    <x v="22"/>
    <x v="3"/>
    <x v="165"/>
    <n v="0"/>
    <n v="0"/>
    <n v="92732"/>
    <n v="92732"/>
  </r>
  <r>
    <s v="FBNXG8SHR0V6"/>
    <s v="Betty Lopez"/>
    <s v="Flats"/>
    <x v="4"/>
    <x v="27"/>
    <x v="3"/>
    <x v="166"/>
    <n v="0"/>
    <n v="0"/>
    <n v="92732"/>
    <n v="92732"/>
  </r>
  <r>
    <s v="FBLE4BHIUT6U"/>
    <s v="Patricia Williams"/>
    <s v="Flats"/>
    <x v="2"/>
    <x v="2"/>
    <x v="3"/>
    <x v="167"/>
    <n v="0"/>
    <n v="0"/>
    <n v="92732"/>
    <n v="92732"/>
  </r>
  <r>
    <s v="FB08KPOO05AK"/>
    <s v="Dorothy Thomas"/>
    <s v="Flats"/>
    <x v="0"/>
    <x v="37"/>
    <x v="3"/>
    <x v="167"/>
    <n v="0"/>
    <n v="0"/>
    <n v="92732"/>
    <n v="92732"/>
  </r>
  <r>
    <s v="FBLE4BHIUT6U"/>
    <s v="Patricia Williams"/>
    <s v="Flats"/>
    <x v="2"/>
    <x v="2"/>
    <x v="3"/>
    <x v="167"/>
    <n v="0"/>
    <n v="0"/>
    <n v="92732"/>
    <n v="92732"/>
  </r>
  <r>
    <s v="FB41Z04HC3QH"/>
    <s v="Thomas Sanchez"/>
    <s v="Flats"/>
    <x v="0"/>
    <x v="26"/>
    <x v="3"/>
    <x v="168"/>
    <n v="0"/>
    <n v="0"/>
    <n v="92732"/>
    <n v="92732"/>
  </r>
  <r>
    <s v="FB1V764ZTR4T"/>
    <s v="Joshua Harris"/>
    <s v="Terrace"/>
    <x v="7"/>
    <x v="12"/>
    <x v="3"/>
    <x v="171"/>
    <n v="0"/>
    <n v="0"/>
    <n v="92732"/>
    <n v="92732"/>
  </r>
  <r>
    <s v="FBF74ZT0G7CB"/>
    <s v="Karen Allen"/>
    <s v="Pent House"/>
    <x v="3"/>
    <x v="28"/>
    <x v="3"/>
    <x v="338"/>
    <n v="0"/>
    <n v="0"/>
    <n v="92732"/>
    <n v="92732"/>
  </r>
  <r>
    <s v="FB2SBN6Q0ZXD"/>
    <s v="Daniel Ramirez"/>
    <s v="Flats"/>
    <x v="0"/>
    <x v="19"/>
    <x v="3"/>
    <x v="173"/>
    <n v="0"/>
    <n v="0"/>
    <n v="92732"/>
    <n v="92732"/>
  </r>
  <r>
    <s v="FBTRB1FO3RI8"/>
    <s v="Anthony Lopez"/>
    <s v="Flats"/>
    <x v="2"/>
    <x v="25"/>
    <x v="3"/>
    <x v="173"/>
    <n v="0"/>
    <n v="0"/>
    <n v="92732"/>
    <n v="92732"/>
  </r>
  <r>
    <s v="FBPXLQ99LYYH"/>
    <s v="Michelle Wilson"/>
    <s v="Flats"/>
    <x v="2"/>
    <x v="18"/>
    <x v="3"/>
    <x v="173"/>
    <n v="0"/>
    <n v="0"/>
    <n v="92732"/>
    <n v="92732"/>
  </r>
  <r>
    <s v="FBHHNJFYHJAN"/>
    <s v="Robert Walker"/>
    <s v="Flats"/>
    <x v="2"/>
    <x v="39"/>
    <x v="3"/>
    <x v="174"/>
    <n v="0"/>
    <n v="0"/>
    <n v="92732"/>
    <n v="92732"/>
  </r>
  <r>
    <s v="FBEE9NGRPSJU"/>
    <s v="Robert Robinson"/>
    <s v="Flats"/>
    <x v="0"/>
    <x v="30"/>
    <x v="3"/>
    <x v="174"/>
    <n v="0"/>
    <n v="0"/>
    <n v="92732"/>
    <n v="92732"/>
  </r>
  <r>
    <s v="FBEE9NGRPSJU"/>
    <s v="Robert Robinson"/>
    <s v="Flats"/>
    <x v="0"/>
    <x v="30"/>
    <x v="3"/>
    <x v="174"/>
    <n v="0"/>
    <n v="0"/>
    <n v="92732"/>
    <n v="92732"/>
  </r>
  <r>
    <s v="FBOEYIU1C9Q8"/>
    <s v="Thomas Sanchez"/>
    <s v="Flats"/>
    <x v="0"/>
    <x v="26"/>
    <x v="3"/>
    <x v="304"/>
    <n v="0"/>
    <n v="0"/>
    <n v="92732"/>
    <n v="92732"/>
  </r>
  <r>
    <s v="FBQSVM5KAVG8"/>
    <s v="Karen Allen"/>
    <s v="Pent House"/>
    <x v="3"/>
    <x v="28"/>
    <x v="3"/>
    <x v="176"/>
    <n v="0"/>
    <n v="0"/>
    <n v="92732"/>
    <n v="92732"/>
  </r>
  <r>
    <s v="FBO6JC5RMEVM"/>
    <s v="Karen Rodriguez"/>
    <s v="Terrace"/>
    <x v="7"/>
    <x v="13"/>
    <x v="3"/>
    <x v="176"/>
    <n v="0"/>
    <n v="0"/>
    <n v="92732"/>
    <n v="92732"/>
  </r>
  <r>
    <s v="FB6YA8NMIC91"/>
    <s v="Susan Nguyen"/>
    <s v="Flats"/>
    <x v="3"/>
    <x v="14"/>
    <x v="3"/>
    <x v="177"/>
    <n v="0"/>
    <n v="0"/>
    <n v="64912.4"/>
    <n v="64912.4"/>
  </r>
  <r>
    <s v="FBXITR4F3IHF"/>
    <s v="Lisa Clark"/>
    <s v="Flats"/>
    <x v="3"/>
    <x v="14"/>
    <x v="3"/>
    <x v="177"/>
    <n v="0"/>
    <n v="0"/>
    <n v="92732"/>
    <n v="92732"/>
  </r>
  <r>
    <s v="FB6YA8NMIC91"/>
    <s v="Susan Nguyen"/>
    <s v="Flats"/>
    <x v="3"/>
    <x v="14"/>
    <x v="3"/>
    <x v="177"/>
    <n v="0"/>
    <n v="0"/>
    <n v="92732"/>
    <n v="92732"/>
  </r>
  <r>
    <s v="FBXITR4F3IHF"/>
    <s v="Lisa Clark"/>
    <s v="Flats"/>
    <x v="3"/>
    <x v="14"/>
    <x v="3"/>
    <x v="177"/>
    <n v="0"/>
    <n v="0"/>
    <n v="92732"/>
    <n v="92732"/>
  </r>
  <r>
    <s v="FB6YA8NMIC91"/>
    <s v="Susan Nguyen"/>
    <s v="Flats"/>
    <x v="3"/>
    <x v="14"/>
    <x v="3"/>
    <x v="177"/>
    <n v="0"/>
    <n v="0"/>
    <n v="92732"/>
    <n v="92732"/>
  </r>
  <r>
    <s v="FBL5EY1YBZHS"/>
    <s v="Paul Perez"/>
    <s v="Flats"/>
    <x v="3"/>
    <x v="16"/>
    <x v="3"/>
    <x v="307"/>
    <n v="0"/>
    <n v="0"/>
    <n v="92732"/>
    <n v="92732"/>
  </r>
  <r>
    <s v="FBQOPS68ZFQH"/>
    <s v="Barbara Martinez"/>
    <s v="Flats"/>
    <x v="0"/>
    <x v="0"/>
    <x v="3"/>
    <x v="178"/>
    <n v="0"/>
    <n v="0"/>
    <n v="64912.4"/>
    <n v="64912.4"/>
  </r>
  <r>
    <s v="FBQOPS68ZFQH"/>
    <s v="Barbara Martinez"/>
    <s v="Flats"/>
    <x v="0"/>
    <x v="0"/>
    <x v="3"/>
    <x v="178"/>
    <n v="0"/>
    <n v="0"/>
    <n v="92732"/>
    <n v="92732"/>
  </r>
  <r>
    <s v="FBQOPS68ZFQH"/>
    <s v="Barbara Martinez"/>
    <s v="Flats"/>
    <x v="0"/>
    <x v="0"/>
    <x v="3"/>
    <x v="178"/>
    <n v="0"/>
    <n v="0"/>
    <n v="92732"/>
    <n v="92732"/>
  </r>
  <r>
    <s v="FBJZNXJ44SC0"/>
    <s v="Richard Garcia"/>
    <s v="Flats"/>
    <x v="3"/>
    <x v="36"/>
    <x v="3"/>
    <x v="179"/>
    <n v="0"/>
    <n v="0"/>
    <n v="92732"/>
    <n v="92732"/>
  </r>
  <r>
    <s v="FBKBCU0QCUVF"/>
    <s v="Barbara Ramirez"/>
    <s v="Flats"/>
    <x v="4"/>
    <x v="21"/>
    <x v="3"/>
    <x v="179"/>
    <n v="0"/>
    <n v="0"/>
    <n v="92732"/>
    <n v="92732"/>
  </r>
  <r>
    <s v="FBHGMA37JNOK"/>
    <s v="Richard Allen"/>
    <s v="Flats"/>
    <x v="2"/>
    <x v="6"/>
    <x v="3"/>
    <x v="179"/>
    <n v="0"/>
    <n v="0"/>
    <n v="92732"/>
    <n v="92732"/>
  </r>
  <r>
    <s v="FBNU6V6KUPRR"/>
    <s v="Daniel Torres"/>
    <s v="Flats"/>
    <x v="4"/>
    <x v="24"/>
    <x v="3"/>
    <x v="179"/>
    <n v="0"/>
    <n v="0"/>
    <n v="92732"/>
    <n v="92732"/>
  </r>
  <r>
    <s v="FBKBCU0QCUVF"/>
    <s v="Barbara Ramirez"/>
    <s v="Flats"/>
    <x v="4"/>
    <x v="21"/>
    <x v="3"/>
    <x v="179"/>
    <n v="0"/>
    <n v="0"/>
    <n v="92732"/>
    <n v="92732"/>
  </r>
  <r>
    <s v="FBK6NGWHZB13"/>
    <s v="Sarah Wilson"/>
    <s v="Flats"/>
    <x v="3"/>
    <x v="34"/>
    <x v="3"/>
    <x v="181"/>
    <n v="0"/>
    <n v="0"/>
    <n v="92732"/>
    <n v="92732"/>
  </r>
  <r>
    <s v="FBB04K3HEMDJ"/>
    <s v="Jennifer Robinson"/>
    <s v="Terrace"/>
    <x v="7"/>
    <x v="35"/>
    <x v="3"/>
    <x v="181"/>
    <n v="0"/>
    <n v="0"/>
    <n v="92732"/>
    <n v="92732"/>
  </r>
  <r>
    <s v="FBBSQFMEXTTF"/>
    <s v="Donald Jones"/>
    <s v="Flats"/>
    <x v="0"/>
    <x v="10"/>
    <x v="3"/>
    <x v="181"/>
    <n v="0"/>
    <n v="0"/>
    <n v="92732"/>
    <n v="92732"/>
  </r>
  <r>
    <s v="FBKCMMX3W310"/>
    <s v="James Clark"/>
    <s v="Flats"/>
    <x v="4"/>
    <x v="33"/>
    <x v="3"/>
    <x v="182"/>
    <n v="0"/>
    <n v="0"/>
    <n v="92732"/>
    <n v="92732"/>
  </r>
  <r>
    <s v="FB0RSMB4Y91R"/>
    <s v="Richard Allen"/>
    <s v="Flats"/>
    <x v="2"/>
    <x v="6"/>
    <x v="3"/>
    <x v="183"/>
    <n v="0"/>
    <n v="0"/>
    <n v="92732"/>
    <n v="185464"/>
  </r>
  <r>
    <s v="FBV9CM97U4X2"/>
    <s v="Mark Rodriguez"/>
    <s v="Flats"/>
    <x v="2"/>
    <x v="22"/>
    <x v="3"/>
    <x v="183"/>
    <n v="0"/>
    <n v="0"/>
    <n v="92732"/>
    <n v="92732"/>
  </r>
  <r>
    <s v="FB6PKG8X95P8"/>
    <s v="Michael Wright"/>
    <s v="Flats"/>
    <x v="3"/>
    <x v="9"/>
    <x v="3"/>
    <x v="310"/>
    <n v="0"/>
    <n v="0"/>
    <n v="92732"/>
    <n v="92732"/>
  </r>
  <r>
    <s v="FB7RMAN6GYPJ"/>
    <s v="Elizabeth Martin"/>
    <s v="Flats"/>
    <x v="4"/>
    <x v="29"/>
    <x v="3"/>
    <x v="310"/>
    <n v="0"/>
    <n v="0"/>
    <n v="92732"/>
    <n v="92732"/>
  </r>
  <r>
    <s v="FBTS7CVMJ829"/>
    <s v="Paul Torres"/>
    <s v="Flats"/>
    <x v="2"/>
    <x v="15"/>
    <x v="3"/>
    <x v="310"/>
    <n v="0"/>
    <n v="0"/>
    <n v="92732"/>
    <n v="92732"/>
  </r>
  <r>
    <s v="FB0JS1XZF0Y6"/>
    <s v="Emily Thomas"/>
    <s v="Flats"/>
    <x v="0"/>
    <x v="23"/>
    <x v="3"/>
    <x v="185"/>
    <n v="0"/>
    <n v="0"/>
    <n v="92732"/>
    <n v="92732"/>
  </r>
  <r>
    <s v="FBQLCJJUEYSE"/>
    <s v="Donna Torres"/>
    <s v="Flats"/>
    <x v="3"/>
    <x v="8"/>
    <x v="3"/>
    <x v="185"/>
    <n v="0"/>
    <n v="0"/>
    <n v="92732"/>
    <n v="92732"/>
  </r>
  <r>
    <s v="FBLF8X4T6P3P"/>
    <s v="Michael Wright"/>
    <s v="Flats"/>
    <x v="3"/>
    <x v="9"/>
    <x v="3"/>
    <x v="190"/>
    <n v="0"/>
    <n v="0"/>
    <n v="90661"/>
    <n v="90661"/>
  </r>
  <r>
    <s v="FBKM4Y2348FQ"/>
    <s v="Dorothy Thomas"/>
    <s v="Flats"/>
    <x v="0"/>
    <x v="37"/>
    <x v="3"/>
    <x v="190"/>
    <n v="0"/>
    <n v="0"/>
    <n v="90661"/>
    <n v="90661"/>
  </r>
  <r>
    <s v="FBNURYN8SVTO"/>
    <s v="Donna Torres"/>
    <s v="Flats"/>
    <x v="3"/>
    <x v="8"/>
    <x v="3"/>
    <x v="190"/>
    <n v="0"/>
    <n v="0"/>
    <n v="90661"/>
    <n v="90661"/>
  </r>
  <r>
    <s v="FBE9GC58D42W"/>
    <s v="Daniel Ramirez"/>
    <s v="Flats"/>
    <x v="0"/>
    <x v="19"/>
    <x v="3"/>
    <x v="190"/>
    <n v="0"/>
    <n v="0"/>
    <n v="90661"/>
    <n v="90661"/>
  </r>
  <r>
    <s v="FBHYX1RRTIGX"/>
    <s v="Anthony Robinson"/>
    <s v="Flats"/>
    <x v="3"/>
    <x v="7"/>
    <x v="3"/>
    <x v="190"/>
    <n v="0"/>
    <n v="0"/>
    <n v="90661"/>
    <n v="90661"/>
  </r>
  <r>
    <s v="FBHBVO5JKD7D"/>
    <s v="Paul Perez"/>
    <s v="Flats"/>
    <x v="3"/>
    <x v="16"/>
    <x v="3"/>
    <x v="190"/>
    <n v="0"/>
    <n v="0"/>
    <n v="90661"/>
    <n v="90661"/>
  </r>
  <r>
    <s v="FBUW9BLQL1B8"/>
    <s v="Paul Garcia"/>
    <s v="Flats"/>
    <x v="3"/>
    <x v="11"/>
    <x v="3"/>
    <x v="190"/>
    <n v="0"/>
    <n v="0"/>
    <n v="90661"/>
    <n v="90661"/>
  </r>
  <r>
    <s v="FB8A1AHJT161"/>
    <s v="Karen Rodriguez"/>
    <s v="Terrace"/>
    <x v="7"/>
    <x v="13"/>
    <x v="3"/>
    <x v="190"/>
    <n v="0"/>
    <n v="0"/>
    <n v="90661"/>
    <n v="90661"/>
  </r>
  <r>
    <s v="FB5D0SVLY8V0"/>
    <s v="Emily Thomas"/>
    <s v="Flats"/>
    <x v="0"/>
    <x v="23"/>
    <x v="3"/>
    <x v="191"/>
    <n v="0"/>
    <n v="0"/>
    <n v="90661"/>
    <n v="90661"/>
  </r>
  <r>
    <s v="FB1CS16WALLD"/>
    <s v="Andrew Allen"/>
    <s v="Flats"/>
    <x v="2"/>
    <x v="4"/>
    <x v="3"/>
    <x v="191"/>
    <n v="0"/>
    <n v="0"/>
    <n v="90661"/>
    <n v="90661"/>
  </r>
  <r>
    <s v="FB4IGH0NT8I6"/>
    <s v="Elizabeth Martin"/>
    <s v="Flats"/>
    <x v="4"/>
    <x v="29"/>
    <x v="3"/>
    <x v="192"/>
    <n v="0"/>
    <n v="0"/>
    <n v="90661"/>
    <n v="90661"/>
  </r>
  <r>
    <s v="FB28GUFV31WC"/>
    <s v="Paul Torres"/>
    <s v="Flats"/>
    <x v="2"/>
    <x v="15"/>
    <x v="3"/>
    <x v="193"/>
    <n v="0"/>
    <n v="0"/>
    <n v="90661"/>
    <n v="90661"/>
  </r>
  <r>
    <s v="FBD6IQW6KM2P"/>
    <s v="Robert Walker"/>
    <s v="Flats"/>
    <x v="2"/>
    <x v="39"/>
    <x v="3"/>
    <x v="194"/>
    <n v="0"/>
    <n v="0"/>
    <n v="90661"/>
    <n v="90661"/>
  </r>
  <r>
    <s v="FBI93EV19T4K"/>
    <s v="Anthony Lopez"/>
    <s v="Flats"/>
    <x v="2"/>
    <x v="25"/>
    <x v="3"/>
    <x v="194"/>
    <n v="0"/>
    <n v="0"/>
    <n v="90661"/>
    <n v="90661"/>
  </r>
  <r>
    <s v="FBGTRFRU54M7"/>
    <s v="Michelle Wilson"/>
    <s v="Flats"/>
    <x v="2"/>
    <x v="18"/>
    <x v="3"/>
    <x v="312"/>
    <n v="0"/>
    <n v="0"/>
    <n v="90661"/>
    <n v="90661"/>
  </r>
  <r>
    <s v="FB7TNFEZZXSU"/>
    <s v="Daniel Torres"/>
    <s v="Flats"/>
    <x v="4"/>
    <x v="24"/>
    <x v="3"/>
    <x v="313"/>
    <n v="0"/>
    <n v="0"/>
    <n v="90661"/>
    <n v="90661"/>
  </r>
  <r>
    <s v="FBFB18SUYK22"/>
    <s v="Jennifer Lewis"/>
    <s v="Terrace"/>
    <x v="7"/>
    <x v="17"/>
    <x v="3"/>
    <x v="206"/>
    <n v="0"/>
    <n v="0"/>
    <n v="125954.01"/>
    <n v="125954.01"/>
  </r>
  <r>
    <s v="FB3HFON7EBGU"/>
    <s v="Daniel Ramirez"/>
    <s v="Flats"/>
    <x v="0"/>
    <x v="19"/>
    <x v="3"/>
    <x v="206"/>
    <n v="0"/>
    <n v="0"/>
    <n v="128025.01"/>
    <n v="128025.01"/>
  </r>
  <r>
    <s v="FBUM56G975S9"/>
    <s v="Sarah Wilson"/>
    <s v="Flats"/>
    <x v="3"/>
    <x v="34"/>
    <x v="3"/>
    <x v="206"/>
    <n v="0"/>
    <n v="0"/>
    <n v="125954.01"/>
    <n v="125954.01"/>
  </r>
  <r>
    <s v="FBSZ3LMRIS4Y"/>
    <s v="Joshua Harris"/>
    <s v="Terrace"/>
    <x v="7"/>
    <x v="12"/>
    <x v="3"/>
    <x v="206"/>
    <n v="0"/>
    <n v="0"/>
    <n v="125954.01"/>
    <n v="125954.01"/>
  </r>
  <r>
    <s v="FBCA3OTZ6QD7"/>
    <s v="Paul Garcia"/>
    <s v="Flats"/>
    <x v="3"/>
    <x v="11"/>
    <x v="3"/>
    <x v="206"/>
    <n v="0"/>
    <n v="0"/>
    <n v="128025.01"/>
    <n v="128025.01"/>
  </r>
  <r>
    <s v="FBO9SGYAGDGE"/>
    <s v="Robert Walker"/>
    <s v="Flats"/>
    <x v="2"/>
    <x v="39"/>
    <x v="3"/>
    <x v="206"/>
    <n v="0"/>
    <n v="0"/>
    <n v="128025.01"/>
    <n v="128025.01"/>
  </r>
  <r>
    <s v="FBOTP1N0F20D"/>
    <s v="Dorothy Thomas"/>
    <s v="Flats"/>
    <x v="0"/>
    <x v="37"/>
    <x v="3"/>
    <x v="206"/>
    <n v="0"/>
    <n v="0"/>
    <n v="128025.01"/>
    <n v="128025.01"/>
  </r>
  <r>
    <s v="FBMJLKJSBPCO"/>
    <s v="Betty Lopez"/>
    <s v="Flats"/>
    <x v="4"/>
    <x v="27"/>
    <x v="3"/>
    <x v="206"/>
    <n v="0"/>
    <n v="0"/>
    <n v="125954.01"/>
    <n v="125954.01"/>
  </r>
  <r>
    <s v="FBSTRVVF6HS8"/>
    <s v="Donald Jones"/>
    <s v="Flats"/>
    <x v="0"/>
    <x v="10"/>
    <x v="3"/>
    <x v="206"/>
    <n v="0"/>
    <n v="0"/>
    <n v="125954.01"/>
    <n v="125954.01"/>
  </r>
  <r>
    <s v="FBE8JXMDQ806"/>
    <s v="Anthony Robinson"/>
    <s v="Flats"/>
    <x v="3"/>
    <x v="7"/>
    <x v="3"/>
    <x v="206"/>
    <n v="0"/>
    <n v="0"/>
    <n v="128025.01"/>
    <n v="128025.01"/>
  </r>
  <r>
    <s v="FBZ98HFOZSHG"/>
    <s v="Donna Torres"/>
    <s v="Flats"/>
    <x v="3"/>
    <x v="8"/>
    <x v="3"/>
    <x v="206"/>
    <n v="0"/>
    <n v="0"/>
    <n v="128025.01"/>
    <n v="128025.01"/>
  </r>
  <r>
    <s v="FB8892Q5LKJL"/>
    <s v="Michelle Wilson"/>
    <s v="Flats"/>
    <x v="2"/>
    <x v="18"/>
    <x v="3"/>
    <x v="206"/>
    <n v="0"/>
    <n v="0"/>
    <n v="128025.01"/>
    <n v="128025.01"/>
  </r>
  <r>
    <s v="FB24WBRYDMTO"/>
    <s v="Elizabeth Martin"/>
    <s v="Flats"/>
    <x v="4"/>
    <x v="29"/>
    <x v="3"/>
    <x v="206"/>
    <n v="0"/>
    <n v="0"/>
    <n v="128025.01"/>
    <n v="128025.01"/>
  </r>
  <r>
    <s v="FBGPMLUV9P7Y"/>
    <s v="Michael Wright"/>
    <s v="Flats"/>
    <x v="3"/>
    <x v="9"/>
    <x v="3"/>
    <x v="206"/>
    <n v="0"/>
    <n v="0"/>
    <n v="128025.01"/>
    <n v="128025.01"/>
  </r>
  <r>
    <s v="FBEW0UZRT5BT"/>
    <s v="Richard Allen"/>
    <s v="Flats"/>
    <x v="2"/>
    <x v="6"/>
    <x v="3"/>
    <x v="207"/>
    <n v="0"/>
    <n v="0"/>
    <n v="33222.01"/>
    <n v="33222.01"/>
  </r>
  <r>
    <s v="FBJ4X083SZX6"/>
    <s v="Karen Allen"/>
    <s v="Pent House"/>
    <x v="3"/>
    <x v="28"/>
    <x v="3"/>
    <x v="207"/>
    <n v="0"/>
    <n v="0"/>
    <n v="125954.01"/>
    <n v="125954.01"/>
  </r>
  <r>
    <s v="FB851MDBZ7V2"/>
    <s v="Mark Rodriguez"/>
    <s v="Flats"/>
    <x v="2"/>
    <x v="22"/>
    <x v="3"/>
    <x v="207"/>
    <n v="0"/>
    <n v="0"/>
    <n v="125954.01"/>
    <n v="125954.01"/>
  </r>
  <r>
    <s v="FB50R72FP76P"/>
    <s v="Emily Thomas"/>
    <s v="Flats"/>
    <x v="0"/>
    <x v="23"/>
    <x v="3"/>
    <x v="207"/>
    <n v="0"/>
    <n v="0"/>
    <n v="128025.01"/>
    <n v="128025.01"/>
  </r>
  <r>
    <s v="FBEEC7158N7Y"/>
    <s v="Jennifer Robinson"/>
    <s v="Terrace"/>
    <x v="7"/>
    <x v="35"/>
    <x v="3"/>
    <x v="207"/>
    <n v="0"/>
    <n v="0"/>
    <n v="125954.01"/>
    <n v="125954.01"/>
  </r>
  <r>
    <s v="FBGO11FYO8ZF"/>
    <s v="Karen Rodriguez"/>
    <s v="Terrace"/>
    <x v="7"/>
    <x v="13"/>
    <x v="3"/>
    <x v="207"/>
    <n v="0"/>
    <n v="0"/>
    <n v="128025.01"/>
    <n v="128025.01"/>
  </r>
  <r>
    <s v="FBYACAL4D12D"/>
    <s v="Andrew Allen"/>
    <s v="Flats"/>
    <x v="2"/>
    <x v="4"/>
    <x v="3"/>
    <x v="209"/>
    <n v="0"/>
    <n v="0"/>
    <n v="128025.01"/>
    <n v="128025.01"/>
  </r>
  <r>
    <s v="FBDJVE95TEFZ"/>
    <s v="Anthony Lopez"/>
    <s v="Flats"/>
    <x v="2"/>
    <x v="25"/>
    <x v="3"/>
    <x v="210"/>
    <n v="0"/>
    <n v="0"/>
    <n v="128025.01"/>
    <n v="128025.01"/>
  </r>
  <r>
    <s v="FBSBQQCKR1WP"/>
    <s v="Paul Torres"/>
    <s v="Flats"/>
    <x v="2"/>
    <x v="15"/>
    <x v="3"/>
    <x v="211"/>
    <n v="0"/>
    <n v="0"/>
    <n v="128025.01"/>
    <n v="128025.01"/>
  </r>
  <r>
    <s v="FBMCISZVP9TS"/>
    <s v="Daniel Torres"/>
    <s v="Flats"/>
    <x v="4"/>
    <x v="24"/>
    <x v="3"/>
    <x v="211"/>
    <n v="0"/>
    <n v="0"/>
    <n v="128025.01"/>
    <n v="128025.01"/>
  </r>
  <r>
    <s v="FBIF6LLXOJAK"/>
    <s v="Barbara Ramirez"/>
    <s v="Flats"/>
    <x v="4"/>
    <x v="21"/>
    <x v="3"/>
    <x v="211"/>
    <n v="0"/>
    <n v="0"/>
    <n v="125954.01"/>
    <n v="125954.01"/>
  </r>
  <r>
    <s v="FBIYK9UL950G"/>
    <s v="Richard Garcia"/>
    <s v="Flats"/>
    <x v="3"/>
    <x v="36"/>
    <x v="3"/>
    <x v="211"/>
    <n v="0"/>
    <n v="0"/>
    <n v="125954.01"/>
    <n v="125954.01"/>
  </r>
  <r>
    <s v="FBDW5BKUSJKY"/>
    <s v="Patricia Williams"/>
    <s v="Flats"/>
    <x v="2"/>
    <x v="2"/>
    <x v="3"/>
    <x v="212"/>
    <n v="0"/>
    <n v="0"/>
    <n v="125954.01"/>
    <n v="125954.01"/>
  </r>
  <r>
    <s v="FB0T0DNHR0OJ"/>
    <s v="Paul Perez"/>
    <s v="Flats"/>
    <x v="3"/>
    <x v="16"/>
    <x v="3"/>
    <x v="213"/>
    <n v="0"/>
    <n v="0"/>
    <n v="128025.01"/>
    <n v="128025.01"/>
  </r>
  <r>
    <s v="FBZBKFXI7VBJ"/>
    <s v="Lisa Clark"/>
    <s v="Flats"/>
    <x v="3"/>
    <x v="14"/>
    <x v="3"/>
    <x v="214"/>
    <n v="0"/>
    <n v="0"/>
    <n v="125954.01"/>
    <n v="125954.01"/>
  </r>
  <r>
    <s v="FBSLC0PJ7FG9"/>
    <s v="Robert Robinson"/>
    <s v="Flats"/>
    <x v="0"/>
    <x v="30"/>
    <x v="3"/>
    <x v="328"/>
    <n v="0"/>
    <n v="0"/>
    <n v="125954.01"/>
    <n v="125954.01"/>
  </r>
  <r>
    <s v="FB5Q14S2YD8L"/>
    <s v="Susan Nguyen"/>
    <s v="Flats"/>
    <x v="3"/>
    <x v="14"/>
    <x v="3"/>
    <x v="215"/>
    <n v="0"/>
    <n v="0"/>
    <n v="125954.01"/>
    <n v="125954.01"/>
  </r>
  <r>
    <s v="FB3W1UHYLE38"/>
    <s v="Mary Hernandez"/>
    <s v="Flats"/>
    <x v="0"/>
    <x v="32"/>
    <x v="3"/>
    <x v="217"/>
    <n v="0"/>
    <n v="0"/>
    <n v="64912.4"/>
    <n v="64912.4"/>
  </r>
  <r>
    <s v="FB3W1UHYLE38"/>
    <s v="Mary Hernandez"/>
    <s v="Flats"/>
    <x v="0"/>
    <x v="32"/>
    <x v="3"/>
    <x v="217"/>
    <n v="0"/>
    <n v="0"/>
    <n v="125954.01"/>
    <n v="125954.01"/>
  </r>
  <r>
    <s v="FB3W1UHYLE38"/>
    <s v="Mary Hernandez"/>
    <s v="Flats"/>
    <x v="0"/>
    <x v="32"/>
    <x v="3"/>
    <x v="217"/>
    <n v="0"/>
    <n v="0"/>
    <n v="92732"/>
    <n v="92732"/>
  </r>
  <r>
    <s v="FB3W1UHYLE38"/>
    <s v="Mary Hernandez"/>
    <s v="Flats"/>
    <x v="0"/>
    <x v="32"/>
    <x v="3"/>
    <x v="217"/>
    <n v="0"/>
    <n v="0"/>
    <n v="92732"/>
    <n v="92732"/>
  </r>
  <r>
    <s v="FBPTGG042M4H"/>
    <s v="Thomas Sanchez"/>
    <s v="Flats"/>
    <x v="0"/>
    <x v="26"/>
    <x v="3"/>
    <x v="335"/>
    <n v="0"/>
    <n v="0"/>
    <n v="125954.01"/>
    <n v="125954.01"/>
  </r>
  <r>
    <s v="FBM7AEDLM7HK"/>
    <s v="Barbara Martinez"/>
    <s v="Flats"/>
    <x v="0"/>
    <x v="0"/>
    <x v="4"/>
    <x v="15"/>
    <n v="0"/>
    <n v="0"/>
    <n v="91511.23"/>
    <n v="91511.23"/>
  </r>
  <r>
    <s v="FB88RN9HWJXQ"/>
    <s v="Thomas &amp; Jane Jackson"/>
    <s v="Flats"/>
    <x v="4"/>
    <x v="38"/>
    <x v="4"/>
    <x v="133"/>
    <n v="0"/>
    <n v="0"/>
    <n v="91511.23"/>
    <n v="91511.23"/>
  </r>
  <r>
    <s v="FB4AQWLOXNE5"/>
    <s v="Barbara Martinez"/>
    <s v="Flats"/>
    <x v="0"/>
    <x v="0"/>
    <x v="4"/>
    <x v="135"/>
    <n v="0"/>
    <n v="0"/>
    <n v="91511.23"/>
    <n v="91511.23"/>
  </r>
  <r>
    <s v="FBBYL4D3MVKL"/>
    <s v="Jennifer Lewis"/>
    <s v="Terrace"/>
    <x v="7"/>
    <x v="17"/>
    <x v="4"/>
    <x v="185"/>
    <n v="0"/>
    <n v="0"/>
    <n v="175193.75"/>
    <n v="175193.75"/>
  </r>
  <r>
    <s v="FBFZAVV55YZN"/>
    <s v="Susan Nguyen"/>
    <s v="Flats"/>
    <x v="3"/>
    <x v="14"/>
    <x v="4"/>
    <x v="190"/>
    <n v="0"/>
    <n v="0"/>
    <n v="82173.58"/>
    <n v="82173.58"/>
  </r>
  <r>
    <s v="FB94MJH9AQ8C"/>
    <s v="Mary Hernandez"/>
    <s v="Flats"/>
    <x v="0"/>
    <x v="32"/>
    <x v="4"/>
    <x v="217"/>
    <n v="0"/>
    <n v="0"/>
    <n v="91511.23"/>
    <n v="91511.23"/>
  </r>
  <r>
    <s v="FBI2JJ0HCI3O"/>
    <s v="Donna Torres"/>
    <s v="Flats"/>
    <x v="3"/>
    <x v="8"/>
    <x v="5"/>
    <x v="6"/>
    <n v="0"/>
    <n v="0"/>
    <n v="2662.52"/>
    <n v="2662.52"/>
  </r>
  <r>
    <s v="FBDU9VGX241K"/>
    <s v="Anthony Lopez"/>
    <s v="Flats"/>
    <x v="2"/>
    <x v="25"/>
    <x v="5"/>
    <x v="10"/>
    <n v="0"/>
    <n v="0"/>
    <n v="7013.73"/>
    <n v="7013.73"/>
  </r>
  <r>
    <s v="FBM7AEDLM7HK"/>
    <s v="Barbara Martinez"/>
    <s v="Flats"/>
    <x v="0"/>
    <x v="0"/>
    <x v="5"/>
    <x v="15"/>
    <n v="0"/>
    <n v="0"/>
    <n v="9151.1200000000008"/>
    <n v="9151.1200000000008"/>
  </r>
  <r>
    <s v="FB88RN9HWJXQ"/>
    <s v="Thomas &amp; Jane Jackson"/>
    <s v="Flats"/>
    <x v="4"/>
    <x v="38"/>
    <x v="5"/>
    <x v="133"/>
    <n v="0"/>
    <n v="0"/>
    <n v="9151.1200000000008"/>
    <n v="9151.1200000000008"/>
  </r>
  <r>
    <s v="FB4AQWLOXNE5"/>
    <s v="Barbara Martinez"/>
    <s v="Flats"/>
    <x v="0"/>
    <x v="0"/>
    <x v="5"/>
    <x v="135"/>
    <n v="0"/>
    <n v="0"/>
    <n v="9151.1200000000008"/>
    <n v="9151.1200000000008"/>
  </r>
  <r>
    <s v="FB00V38PWFCY"/>
    <s v="Richard Garcia"/>
    <s v="Flats"/>
    <x v="3"/>
    <x v="36"/>
    <x v="5"/>
    <x v="283"/>
    <n v="0"/>
    <n v="0"/>
    <n v="9151.1200000000008"/>
    <n v="9151.1200000000008"/>
  </r>
  <r>
    <s v="FBBYL4D3MVKL"/>
    <s v="Jennifer Lewis"/>
    <s v="Terrace"/>
    <x v="7"/>
    <x v="17"/>
    <x v="5"/>
    <x v="185"/>
    <n v="0"/>
    <n v="0"/>
    <n v="17519.38"/>
    <n v="17519.38"/>
  </r>
  <r>
    <s v="FBFZAVV55YZN"/>
    <s v="Susan Nguyen"/>
    <s v="Flats"/>
    <x v="3"/>
    <x v="14"/>
    <x v="5"/>
    <x v="190"/>
    <n v="0"/>
    <n v="0"/>
    <n v="8217.36"/>
    <n v="8217.36"/>
  </r>
  <r>
    <s v="FB94MJH9AQ8C"/>
    <s v="Mary Hernandez"/>
    <s v="Flats"/>
    <x v="0"/>
    <x v="32"/>
    <x v="5"/>
    <x v="217"/>
    <n v="0"/>
    <n v="0"/>
    <n v="9151.1200000000008"/>
    <n v="9151.1200000000008"/>
  </r>
  <r>
    <s v="FB0O735G4PKO"/>
    <s v="Donna Torres"/>
    <s v="Flats"/>
    <x v="3"/>
    <x v="8"/>
    <x v="6"/>
    <x v="100"/>
    <n v="0"/>
    <n v="0"/>
    <n v="250000"/>
    <n v="250000"/>
  </r>
  <r>
    <s v="FB9CEQ2CL52M"/>
    <s v="Donna Torres"/>
    <s v="Flats"/>
    <x v="3"/>
    <x v="8"/>
    <x v="7"/>
    <x v="3"/>
    <n v="0"/>
    <n v="0"/>
    <n v="150000"/>
    <n v="150000"/>
  </r>
  <r>
    <s v="FBR4W8SWMWIS"/>
    <s v="Thomas &amp; Jane Jackson"/>
    <s v="Flats"/>
    <x v="4"/>
    <x v="38"/>
    <x v="7"/>
    <x v="110"/>
    <n v="0"/>
    <n v="0"/>
    <n v="5000"/>
    <n v="5000"/>
  </r>
  <r>
    <s v="FB2TWP1SRAT2"/>
    <s v="Daniel Ramirez"/>
    <s v="Flats"/>
    <x v="0"/>
    <x v="19"/>
    <x v="7"/>
    <x v="111"/>
    <n v="0"/>
    <n v="0"/>
    <n v="5000"/>
    <n v="5000"/>
  </r>
  <r>
    <s v="FBDXDDBTRGVY"/>
    <s v="Andrew Allen"/>
    <s v="Flats"/>
    <x v="2"/>
    <x v="4"/>
    <x v="7"/>
    <x v="111"/>
    <n v="0"/>
    <n v="0"/>
    <n v="5000"/>
    <n v="5000"/>
  </r>
  <r>
    <s v="FBS4UW4CAF8D"/>
    <s v="Paul Torres"/>
    <s v="Flats"/>
    <x v="2"/>
    <x v="15"/>
    <x v="7"/>
    <x v="112"/>
    <n v="0"/>
    <n v="0"/>
    <n v="5000"/>
    <n v="5000"/>
  </r>
  <r>
    <s v="FBI2Y7I5O5J7"/>
    <s v="Michelle Wilson"/>
    <s v="Flats"/>
    <x v="2"/>
    <x v="18"/>
    <x v="7"/>
    <x v="173"/>
    <n v="0"/>
    <n v="0"/>
    <n v="5000"/>
    <n v="5000"/>
  </r>
  <r>
    <s v="FBJZNXJ44SC0"/>
    <s v="Richard Garcia"/>
    <s v="Flats"/>
    <x v="3"/>
    <x v="36"/>
    <x v="7"/>
    <x v="179"/>
    <n v="0"/>
    <n v="0"/>
    <n v="5000"/>
    <n v="5000"/>
  </r>
  <r>
    <s v="FB4C7HC7XC56"/>
    <s v="Elizabeth Martin"/>
    <s v="Flats"/>
    <x v="4"/>
    <x v="29"/>
    <x v="8"/>
    <x v="339"/>
    <n v="0"/>
    <n v="0"/>
    <n v="111308.86"/>
    <n v="111308.86"/>
  </r>
  <r>
    <s v="FBFCDK7M98DQ"/>
    <s v="Barbara Martinez"/>
    <s v="Flats"/>
    <x v="0"/>
    <x v="0"/>
    <x v="8"/>
    <x v="0"/>
    <n v="0"/>
    <n v="0"/>
    <n v="145500"/>
    <n v="145500"/>
  </r>
  <r>
    <s v="FBJP8CYMRKX3"/>
    <s v="Andrew Allen"/>
    <s v="Flats"/>
    <x v="2"/>
    <x v="4"/>
    <x v="8"/>
    <x v="1"/>
    <n v="0"/>
    <n v="0"/>
    <n v="145500"/>
    <n v="145500"/>
  </r>
  <r>
    <s v="FBZWBY2OZT9F"/>
    <s v="Richard Allen"/>
    <s v="Flats"/>
    <x v="2"/>
    <x v="6"/>
    <x v="8"/>
    <x v="2"/>
    <n v="0"/>
    <n v="0"/>
    <n v="145500"/>
    <n v="145500"/>
  </r>
  <r>
    <s v="FBHT20EHB4H6"/>
    <s v="Paul Perez"/>
    <s v="Flats"/>
    <x v="3"/>
    <x v="16"/>
    <x v="8"/>
    <x v="3"/>
    <n v="0"/>
    <n v="0"/>
    <n v="145500"/>
    <n v="145500"/>
  </r>
  <r>
    <s v="FBE6JP8GIPM3"/>
    <s v="Susan Nguyen"/>
    <s v="Flats"/>
    <x v="3"/>
    <x v="14"/>
    <x v="8"/>
    <x v="4"/>
    <n v="0"/>
    <n v="0"/>
    <n v="145500"/>
    <n v="145500"/>
  </r>
  <r>
    <s v="FBNER5BBI78Q"/>
    <s v="Jennifer Lewis"/>
    <s v="Terrace"/>
    <x v="7"/>
    <x v="17"/>
    <x v="8"/>
    <x v="6"/>
    <n v="0"/>
    <n v="0"/>
    <n v="145500"/>
    <n v="145500"/>
  </r>
  <r>
    <s v="FB9VLFFLSFRY"/>
    <s v="Mark Rodriguez"/>
    <s v="Flats"/>
    <x v="2"/>
    <x v="22"/>
    <x v="8"/>
    <x v="7"/>
    <n v="0"/>
    <n v="0"/>
    <n v="145500"/>
    <n v="145500"/>
  </r>
  <r>
    <s v="FBG4MWEXADFN"/>
    <s v="Daniel Torres"/>
    <s v="Flats"/>
    <x v="4"/>
    <x v="24"/>
    <x v="8"/>
    <x v="9"/>
    <n v="0"/>
    <n v="0"/>
    <n v="145500"/>
    <n v="145500"/>
  </r>
  <r>
    <s v="FBDU9VGX241K"/>
    <s v="Anthony Lopez"/>
    <s v="Flats"/>
    <x v="2"/>
    <x v="25"/>
    <x v="8"/>
    <x v="10"/>
    <n v="0"/>
    <n v="0"/>
    <n v="145500"/>
    <n v="145500"/>
  </r>
  <r>
    <s v="FB6ETSFWP2AU"/>
    <s v="Thomas Sanchez"/>
    <s v="Flats"/>
    <x v="0"/>
    <x v="26"/>
    <x v="8"/>
    <x v="11"/>
    <n v="0"/>
    <n v="0"/>
    <n v="145500"/>
    <n v="145500"/>
  </r>
  <r>
    <s v="FBEPQXHWWHRV"/>
    <s v="Karen Allen"/>
    <s v="Pent House"/>
    <x v="3"/>
    <x v="28"/>
    <x v="8"/>
    <x v="13"/>
    <n v="0"/>
    <n v="0"/>
    <n v="145500"/>
    <n v="145500"/>
  </r>
  <r>
    <s v="FBS762YJHB92"/>
    <s v="Karen Rodriguez"/>
    <s v="Terrace"/>
    <x v="7"/>
    <x v="13"/>
    <x v="8"/>
    <x v="15"/>
    <n v="0"/>
    <n v="0"/>
    <n v="145500"/>
    <n v="145500"/>
  </r>
  <r>
    <s v="FBCQW66XXOCX"/>
    <s v="Thomas Sanchez"/>
    <s v="Flats"/>
    <x v="0"/>
    <x v="26"/>
    <x v="8"/>
    <x v="17"/>
    <n v="0"/>
    <n v="0"/>
    <n v="145500"/>
    <n v="145500"/>
  </r>
  <r>
    <s v="FBW8PGI9UEMB"/>
    <s v="Richard Allen"/>
    <s v="Flats"/>
    <x v="2"/>
    <x v="6"/>
    <x v="8"/>
    <x v="20"/>
    <n v="0"/>
    <n v="0"/>
    <n v="145500"/>
    <n v="145500"/>
  </r>
  <r>
    <s v="FBCCV4YZO149"/>
    <s v="Karen Allen"/>
    <s v="Pent House"/>
    <x v="3"/>
    <x v="28"/>
    <x v="8"/>
    <x v="23"/>
    <n v="0"/>
    <n v="0"/>
    <n v="145500"/>
    <n v="145500"/>
  </r>
  <r>
    <s v="FBZ8NIYZPIUS"/>
    <s v="Jennifer Lewis"/>
    <s v="Terrace"/>
    <x v="7"/>
    <x v="17"/>
    <x v="8"/>
    <x v="26"/>
    <n v="0"/>
    <n v="0"/>
    <n v="145500"/>
    <n v="145500"/>
  </r>
  <r>
    <s v="FB5M9LBRQNC0"/>
    <s v="Richard Allen"/>
    <s v="Flats"/>
    <x v="2"/>
    <x v="6"/>
    <x v="8"/>
    <x v="26"/>
    <n v="0"/>
    <n v="0"/>
    <n v="628345.46"/>
    <n v="628345.46"/>
  </r>
  <r>
    <s v="FBVN57QSKOBT"/>
    <s v="Andrew Allen"/>
    <s v="Flats"/>
    <x v="2"/>
    <x v="4"/>
    <x v="8"/>
    <x v="27"/>
    <n v="0"/>
    <n v="0"/>
    <n v="145500"/>
    <n v="291000"/>
  </r>
  <r>
    <s v="FB6OHVKA8QTH"/>
    <s v="Daniel Torres"/>
    <s v="Flats"/>
    <x v="4"/>
    <x v="24"/>
    <x v="8"/>
    <x v="30"/>
    <n v="0"/>
    <n v="0"/>
    <n v="145500"/>
    <n v="145500"/>
  </r>
  <r>
    <s v="FBLI0G6D6XDQ"/>
    <s v="Donald Jones"/>
    <s v="Flats"/>
    <x v="0"/>
    <x v="10"/>
    <x v="8"/>
    <x v="31"/>
    <n v="0"/>
    <n v="0"/>
    <n v="42343.199999999997"/>
    <n v="42343.199999999997"/>
  </r>
  <r>
    <s v="FBQQBVER79L9"/>
    <s v="Daniel Torres"/>
    <s v="Flats"/>
    <x v="4"/>
    <x v="24"/>
    <x v="8"/>
    <x v="31"/>
    <n v="0"/>
    <n v="0"/>
    <n v="103974.87"/>
    <n v="103974.87"/>
  </r>
  <r>
    <s v="FBWTD3HVSL9N"/>
    <s v="Daniel Ramirez"/>
    <s v="Flats"/>
    <x v="0"/>
    <x v="19"/>
    <x v="8"/>
    <x v="32"/>
    <n v="0"/>
    <n v="0"/>
    <n v="792308.86"/>
    <n v="792308.86"/>
  </r>
  <r>
    <s v="FB1VRZXBXW8I"/>
    <s v="Barbara Martinez"/>
    <s v="Flats"/>
    <x v="0"/>
    <x v="0"/>
    <x v="8"/>
    <x v="32"/>
    <n v="0"/>
    <n v="0"/>
    <n v="145500"/>
    <n v="145500"/>
  </r>
  <r>
    <s v="FB1VRZXBXW8I"/>
    <s v="Barbara Martinez"/>
    <s v="Flats"/>
    <x v="0"/>
    <x v="0"/>
    <x v="8"/>
    <x v="32"/>
    <n v="0"/>
    <n v="0"/>
    <n v="300345.46000000002"/>
    <n v="300345.46000000002"/>
  </r>
  <r>
    <s v="FB1VRZXBXW8I"/>
    <s v="Barbara Martinez"/>
    <s v="Flats"/>
    <x v="0"/>
    <x v="0"/>
    <x v="8"/>
    <x v="32"/>
    <n v="0"/>
    <n v="0"/>
    <n v="30034.55"/>
    <n v="30034.55"/>
  </r>
  <r>
    <s v="FBK0ETWML4DP"/>
    <s v="Sarah Wilson"/>
    <s v="Flats"/>
    <x v="3"/>
    <x v="34"/>
    <x v="8"/>
    <x v="33"/>
    <n v="0"/>
    <n v="0"/>
    <n v="145500"/>
    <n v="145500"/>
  </r>
  <r>
    <s v="FB69I764WUD5"/>
    <s v="Karen Rodriguez"/>
    <s v="Terrace"/>
    <x v="7"/>
    <x v="13"/>
    <x v="8"/>
    <x v="33"/>
    <n v="0"/>
    <n v="0"/>
    <n v="145500"/>
    <n v="145500"/>
  </r>
  <r>
    <s v="FBGTR5598A2K"/>
    <s v="Susan Nguyen"/>
    <s v="Flats"/>
    <x v="3"/>
    <x v="14"/>
    <x v="8"/>
    <x v="33"/>
    <n v="0"/>
    <n v="0"/>
    <n v="145500"/>
    <n v="145500"/>
  </r>
  <r>
    <s v="FB9F5YAKQO8Z"/>
    <s v="Emily Thomas"/>
    <s v="Flats"/>
    <x v="0"/>
    <x v="23"/>
    <x v="8"/>
    <x v="33"/>
    <n v="0"/>
    <n v="0"/>
    <n v="145500"/>
    <n v="145500"/>
  </r>
  <r>
    <s v="FBS93HSO2MMO"/>
    <s v="Thomas Sanchez"/>
    <s v="Flats"/>
    <x v="0"/>
    <x v="26"/>
    <x v="8"/>
    <x v="33"/>
    <n v="0"/>
    <n v="0"/>
    <n v="338808.86"/>
    <n v="338808.86"/>
  </r>
  <r>
    <s v="FBS93HSO2MMO"/>
    <s v="Thomas Sanchez"/>
    <s v="Flats"/>
    <x v="0"/>
    <x v="26"/>
    <x v="8"/>
    <x v="33"/>
    <n v="0"/>
    <n v="0"/>
    <n v="33880.89"/>
    <n v="33880.89"/>
  </r>
  <r>
    <s v="FBTYSUFE03PW"/>
    <s v="Paul Perez"/>
    <s v="Flats"/>
    <x v="3"/>
    <x v="16"/>
    <x v="8"/>
    <x v="34"/>
    <n v="0"/>
    <n v="0"/>
    <n v="145500"/>
    <n v="145500"/>
  </r>
  <r>
    <s v="FBFEC5XR9R71"/>
    <s v="Joshua Harris"/>
    <s v="Terrace"/>
    <x v="7"/>
    <x v="12"/>
    <x v="8"/>
    <x v="34"/>
    <n v="0"/>
    <n v="0"/>
    <n v="145500"/>
    <n v="145500"/>
  </r>
  <r>
    <s v="FBB0YJUDT87M"/>
    <s v="Patricia Williams"/>
    <s v="Flats"/>
    <x v="2"/>
    <x v="2"/>
    <x v="8"/>
    <x v="340"/>
    <n v="0"/>
    <n v="0"/>
    <n v="145500"/>
    <n v="145500"/>
  </r>
  <r>
    <s v="FB9ZKAUEIM8R"/>
    <s v="Jennifer Robinson"/>
    <s v="Terrace"/>
    <x v="7"/>
    <x v="35"/>
    <x v="8"/>
    <x v="35"/>
    <n v="0"/>
    <n v="0"/>
    <n v="145500"/>
    <n v="145500"/>
  </r>
  <r>
    <s v="FB2STRMV9F97"/>
    <s v="Mark Rodriguez"/>
    <s v="Flats"/>
    <x v="2"/>
    <x v="22"/>
    <x v="8"/>
    <x v="35"/>
    <n v="0"/>
    <n v="0"/>
    <n v="145500"/>
    <n v="145500"/>
  </r>
  <r>
    <s v="FBS26O2JLBAW"/>
    <s v="Richard Garcia"/>
    <s v="Flats"/>
    <x v="3"/>
    <x v="36"/>
    <x v="8"/>
    <x v="35"/>
    <n v="0"/>
    <n v="0"/>
    <n v="145500"/>
    <n v="145500"/>
  </r>
  <r>
    <s v="FBYGU5395MYM"/>
    <s v="Anthony Lopez"/>
    <s v="Flats"/>
    <x v="2"/>
    <x v="25"/>
    <x v="8"/>
    <x v="36"/>
    <n v="0"/>
    <n v="0"/>
    <n v="145500"/>
    <n v="145500"/>
  </r>
  <r>
    <s v="FBXFFP4R1NSL"/>
    <s v="Anthony Robinson"/>
    <s v="Flats"/>
    <x v="3"/>
    <x v="7"/>
    <x v="8"/>
    <x v="36"/>
    <n v="0"/>
    <n v="0"/>
    <n v="436155.43"/>
    <n v="436155.43"/>
  </r>
  <r>
    <s v="FB8E22UVU6QO"/>
    <s v="Dorothy Thomas"/>
    <s v="Flats"/>
    <x v="0"/>
    <x v="37"/>
    <x v="8"/>
    <x v="37"/>
    <n v="0"/>
    <n v="0"/>
    <n v="145500"/>
    <n v="145500"/>
  </r>
  <r>
    <s v="FB8AD92XALC8"/>
    <s v="Dorothy Thomas"/>
    <s v="Flats"/>
    <x v="0"/>
    <x v="37"/>
    <x v="8"/>
    <x v="37"/>
    <n v="0"/>
    <n v="0"/>
    <n v="107688.62"/>
    <n v="107688.62"/>
  </r>
  <r>
    <s v="FBLDGRUEE497"/>
    <s v="Michael Wright"/>
    <s v="Flats"/>
    <x v="3"/>
    <x v="9"/>
    <x v="8"/>
    <x v="226"/>
    <n v="0"/>
    <n v="0"/>
    <n v="145500"/>
    <n v="145500"/>
  </r>
  <r>
    <s v="FB61Q3Z0HQLC"/>
    <s v="Karen Allen"/>
    <s v="Pent House"/>
    <x v="3"/>
    <x v="28"/>
    <x v="8"/>
    <x v="41"/>
    <n v="0"/>
    <n v="0"/>
    <n v="145500"/>
    <n v="145500"/>
  </r>
  <r>
    <s v="FBTP0LZQBOGS"/>
    <s v="Joshua Harris"/>
    <s v="Terrace"/>
    <x v="7"/>
    <x v="12"/>
    <x v="8"/>
    <x v="41"/>
    <n v="0"/>
    <n v="0"/>
    <n v="145500"/>
    <n v="145500"/>
  </r>
  <r>
    <s v="FBNTHGETH16W"/>
    <s v="Sarah Wilson"/>
    <s v="Flats"/>
    <x v="3"/>
    <x v="34"/>
    <x v="8"/>
    <x v="41"/>
    <n v="0"/>
    <n v="0"/>
    <n v="145500"/>
    <n v="145500"/>
  </r>
  <r>
    <s v="FBR5A4NH5XWT"/>
    <s v="Donald Jones"/>
    <s v="Flats"/>
    <x v="0"/>
    <x v="10"/>
    <x v="8"/>
    <x v="44"/>
    <n v="0"/>
    <n v="0"/>
    <n v="145500"/>
    <n v="145500"/>
  </r>
  <r>
    <s v="FBRQQJHWLRPP"/>
    <s v="Karen Rodriguez"/>
    <s v="Terrace"/>
    <x v="7"/>
    <x v="13"/>
    <x v="8"/>
    <x v="45"/>
    <n v="0"/>
    <n v="0"/>
    <n v="145500"/>
    <n v="145500"/>
  </r>
  <r>
    <s v="FB43R58R4KUO"/>
    <s v="Thomas &amp; Jane Jackson"/>
    <s v="Flats"/>
    <x v="4"/>
    <x v="38"/>
    <x v="8"/>
    <x v="45"/>
    <n v="0"/>
    <n v="0"/>
    <n v="145500"/>
    <n v="145500"/>
  </r>
  <r>
    <s v="FBCEEZOC249Y"/>
    <s v="Daniel Torres"/>
    <s v="Flats"/>
    <x v="4"/>
    <x v="24"/>
    <x v="8"/>
    <x v="46"/>
    <n v="0"/>
    <n v="0"/>
    <n v="145500"/>
    <n v="145500"/>
  </r>
  <r>
    <s v="FBGRYICBQ0GD"/>
    <s v="Nancy Sanchez"/>
    <s v="Pent House"/>
    <x v="4"/>
    <x v="31"/>
    <x v="8"/>
    <x v="51"/>
    <n v="0"/>
    <n v="0"/>
    <n v="145500"/>
    <n v="145500"/>
  </r>
  <r>
    <s v="FB1M0OAV6ZAM"/>
    <s v="Paul Perez"/>
    <s v="Flats"/>
    <x v="3"/>
    <x v="16"/>
    <x v="8"/>
    <x v="51"/>
    <n v="0"/>
    <n v="0"/>
    <n v="145500"/>
    <n v="145500"/>
  </r>
  <r>
    <s v="FB2MW45PDQ7W"/>
    <s v="Mark Rodriguez"/>
    <s v="Flats"/>
    <x v="2"/>
    <x v="22"/>
    <x v="8"/>
    <x v="53"/>
    <n v="0"/>
    <n v="0"/>
    <n v="145500"/>
    <n v="145500"/>
  </r>
  <r>
    <s v="FBVQB59SG4XE"/>
    <s v="Jennifer Lewis"/>
    <s v="Terrace"/>
    <x v="7"/>
    <x v="17"/>
    <x v="8"/>
    <x v="56"/>
    <n v="0"/>
    <n v="0"/>
    <n v="145500"/>
    <n v="145500"/>
  </r>
  <r>
    <s v="FBX1KHA11ZQ5"/>
    <s v="Richard Garcia"/>
    <s v="Flats"/>
    <x v="3"/>
    <x v="36"/>
    <x v="8"/>
    <x v="56"/>
    <n v="0"/>
    <n v="0"/>
    <n v="145500"/>
    <n v="145500"/>
  </r>
  <r>
    <s v="FBS3R128KPRY"/>
    <s v="Dorothy Thomas"/>
    <s v="Flats"/>
    <x v="0"/>
    <x v="37"/>
    <x v="8"/>
    <x v="57"/>
    <n v="0"/>
    <n v="0"/>
    <n v="145500"/>
    <n v="145500"/>
  </r>
  <r>
    <s v="FBS3R128KPRY"/>
    <s v="Dorothy Thomas"/>
    <s v="Flats"/>
    <x v="0"/>
    <x v="37"/>
    <x v="8"/>
    <x v="57"/>
    <n v="0"/>
    <n v="0"/>
    <n v="107688.62"/>
    <n v="107688.62"/>
  </r>
  <r>
    <s v="FB5TDXG3UFYZ"/>
    <s v="Susan Nguyen"/>
    <s v="Flats"/>
    <x v="3"/>
    <x v="14"/>
    <x v="8"/>
    <x v="59"/>
    <n v="0"/>
    <n v="0"/>
    <n v="145500"/>
    <n v="145500"/>
  </r>
  <r>
    <s v="FBSKKIV0O2FG"/>
    <s v="Donald Jones"/>
    <s v="Flats"/>
    <x v="0"/>
    <x v="10"/>
    <x v="8"/>
    <x v="61"/>
    <n v="0"/>
    <n v="0"/>
    <n v="145500"/>
    <n v="145500"/>
  </r>
  <r>
    <s v="FBFZWABHXKDH"/>
    <s v="Joshua Harris"/>
    <s v="Terrace"/>
    <x v="7"/>
    <x v="12"/>
    <x v="8"/>
    <x v="62"/>
    <n v="0"/>
    <n v="0"/>
    <n v="145500"/>
    <n v="145500"/>
  </r>
  <r>
    <s v="FBCF8ENFBP1T"/>
    <s v="Thomas &amp; Jane Jackson"/>
    <s v="Flats"/>
    <x v="4"/>
    <x v="38"/>
    <x v="8"/>
    <x v="64"/>
    <n v="0"/>
    <n v="0"/>
    <n v="145500"/>
    <n v="145500"/>
  </r>
  <r>
    <s v="FBYC11FMXO58"/>
    <s v="Sarah Wilson"/>
    <s v="Flats"/>
    <x v="3"/>
    <x v="34"/>
    <x v="8"/>
    <x v="65"/>
    <n v="0"/>
    <n v="0"/>
    <n v="145500"/>
    <n v="145500"/>
  </r>
  <r>
    <s v="FBF1HH7XRIIX"/>
    <s v="Karen Allen"/>
    <s v="Pent House"/>
    <x v="3"/>
    <x v="28"/>
    <x v="8"/>
    <x v="66"/>
    <n v="0"/>
    <n v="0"/>
    <n v="145500"/>
    <n v="145500"/>
  </r>
  <r>
    <s v="FBOHWW9TJ9P1"/>
    <s v="Paul Perez"/>
    <s v="Flats"/>
    <x v="3"/>
    <x v="16"/>
    <x v="8"/>
    <x v="67"/>
    <n v="0"/>
    <n v="0"/>
    <n v="145500"/>
    <n v="145500"/>
  </r>
  <r>
    <s v="FBRT47B8FWWV"/>
    <s v="Patricia Williams"/>
    <s v="Flats"/>
    <x v="2"/>
    <x v="2"/>
    <x v="8"/>
    <x v="68"/>
    <n v="0"/>
    <n v="0"/>
    <n v="145500"/>
    <n v="145500"/>
  </r>
  <r>
    <s v="FB7SASX5VYK1"/>
    <s v="Emily Thomas"/>
    <s v="Flats"/>
    <x v="0"/>
    <x v="23"/>
    <x v="8"/>
    <x v="341"/>
    <n v="0"/>
    <n v="0"/>
    <n v="145500"/>
    <n v="145500"/>
  </r>
  <r>
    <s v="FBUUXZ2BAOAS"/>
    <s v="Karen Rodriguez"/>
    <s v="Terrace"/>
    <x v="7"/>
    <x v="13"/>
    <x v="8"/>
    <x v="70"/>
    <n v="0"/>
    <n v="0"/>
    <n v="145500"/>
    <n v="145500"/>
  </r>
  <r>
    <s v="FBWW3M22FADM"/>
    <s v="Mark Rodriguez"/>
    <s v="Flats"/>
    <x v="2"/>
    <x v="22"/>
    <x v="8"/>
    <x v="71"/>
    <n v="0"/>
    <n v="0"/>
    <n v="145500"/>
    <n v="145500"/>
  </r>
  <r>
    <s v="FBMZEK9WBJ1E"/>
    <s v="Barbara Martinez"/>
    <s v="Flats"/>
    <x v="0"/>
    <x v="0"/>
    <x v="8"/>
    <x v="71"/>
    <n v="0"/>
    <n v="0"/>
    <n v="145500"/>
    <n v="145500"/>
  </r>
  <r>
    <s v="FBZX9W0L362O"/>
    <s v="Jennifer Robinson"/>
    <s v="Terrace"/>
    <x v="7"/>
    <x v="35"/>
    <x v="8"/>
    <x v="71"/>
    <n v="0"/>
    <n v="0"/>
    <n v="145500"/>
    <n v="145500"/>
  </r>
  <r>
    <s v="FBC7A913PVZ3"/>
    <s v="Susan Nguyen"/>
    <s v="Flats"/>
    <x v="3"/>
    <x v="14"/>
    <x v="8"/>
    <x v="71"/>
    <n v="0"/>
    <n v="0"/>
    <n v="145500"/>
    <n v="145500"/>
  </r>
  <r>
    <s v="FBIDXAVAAWNS"/>
    <s v="Michael Wright"/>
    <s v="Flats"/>
    <x v="3"/>
    <x v="9"/>
    <x v="8"/>
    <x v="74"/>
    <n v="0"/>
    <n v="0"/>
    <n v="145500"/>
    <n v="145500"/>
  </r>
  <r>
    <s v="FBSCVLC512E2"/>
    <s v="Daniel Torres"/>
    <s v="Flats"/>
    <x v="4"/>
    <x v="24"/>
    <x v="8"/>
    <x v="239"/>
    <n v="0"/>
    <n v="0"/>
    <n v="145500"/>
    <n v="145500"/>
  </r>
  <r>
    <s v="FBYOF98XNH24"/>
    <s v="Richard Garcia"/>
    <s v="Flats"/>
    <x v="3"/>
    <x v="36"/>
    <x v="8"/>
    <x v="75"/>
    <n v="0"/>
    <n v="0"/>
    <n v="145500"/>
    <n v="145500"/>
  </r>
  <r>
    <s v="FBT3JUSOH6IQ"/>
    <s v="Dorothy Thomas"/>
    <s v="Flats"/>
    <x v="0"/>
    <x v="37"/>
    <x v="8"/>
    <x v="76"/>
    <n v="0"/>
    <n v="0"/>
    <n v="145500"/>
    <n v="145500"/>
  </r>
  <r>
    <s v="FBT3JUSOH6IQ"/>
    <s v="Dorothy Thomas"/>
    <s v="Flats"/>
    <x v="0"/>
    <x v="37"/>
    <x v="8"/>
    <x v="76"/>
    <n v="0"/>
    <n v="0"/>
    <n v="107688.62"/>
    <n v="107688.62"/>
  </r>
  <r>
    <s v="FBXLO33GRQ3P"/>
    <s v="Jennifer Lewis"/>
    <s v="Terrace"/>
    <x v="7"/>
    <x v="17"/>
    <x v="8"/>
    <x v="77"/>
    <n v="0"/>
    <n v="0"/>
    <n v="145500"/>
    <n v="145500"/>
  </r>
  <r>
    <s v="FB8383VTMZNQ"/>
    <s v="Joshua Harris"/>
    <s v="Terrace"/>
    <x v="7"/>
    <x v="12"/>
    <x v="8"/>
    <x v="78"/>
    <n v="0"/>
    <n v="0"/>
    <n v="145500"/>
    <n v="145500"/>
  </r>
  <r>
    <s v="FB14G2TYIJZ3"/>
    <s v="Anthony Lopez"/>
    <s v="Flats"/>
    <x v="2"/>
    <x v="25"/>
    <x v="8"/>
    <x v="78"/>
    <n v="0"/>
    <n v="0"/>
    <n v="145500"/>
    <n v="145500"/>
  </r>
  <r>
    <s v="FBFDCWSU4QWT"/>
    <s v="Donald Jones"/>
    <s v="Flats"/>
    <x v="0"/>
    <x v="10"/>
    <x v="8"/>
    <x v="78"/>
    <n v="0"/>
    <n v="0"/>
    <n v="145500"/>
    <n v="145500"/>
  </r>
  <r>
    <s v="FB14G2TYIJZ3"/>
    <s v="Anthony Lopez"/>
    <s v="Flats"/>
    <x v="2"/>
    <x v="25"/>
    <x v="8"/>
    <x v="78"/>
    <n v="0"/>
    <n v="0"/>
    <n v="145500"/>
    <n v="145500"/>
  </r>
  <r>
    <s v="FB6GFV70HEE7"/>
    <s v="James Clark"/>
    <s v="Flats"/>
    <x v="4"/>
    <x v="33"/>
    <x v="8"/>
    <x v="79"/>
    <n v="0"/>
    <n v="0"/>
    <n v="145500"/>
    <n v="145500"/>
  </r>
  <r>
    <s v="FB6GFV70HEE7"/>
    <s v="James Clark"/>
    <s v="Flats"/>
    <x v="4"/>
    <x v="33"/>
    <x v="8"/>
    <x v="79"/>
    <n v="0"/>
    <n v="0"/>
    <n v="145500"/>
    <n v="145500"/>
  </r>
  <r>
    <s v="FB6GFV70HEE7"/>
    <s v="James Clark"/>
    <s v="Flats"/>
    <x v="4"/>
    <x v="33"/>
    <x v="8"/>
    <x v="79"/>
    <n v="0"/>
    <n v="0"/>
    <n v="145500"/>
    <n v="145500"/>
  </r>
  <r>
    <s v="FB6GFV70HEE7"/>
    <s v="James Clark"/>
    <s v="Flats"/>
    <x v="4"/>
    <x v="33"/>
    <x v="8"/>
    <x v="79"/>
    <n v="0"/>
    <n v="0"/>
    <n v="145500"/>
    <n v="145500"/>
  </r>
  <r>
    <s v="FBG917RYUQKN"/>
    <s v="Thomas &amp; Jane Jackson"/>
    <s v="Flats"/>
    <x v="4"/>
    <x v="38"/>
    <x v="8"/>
    <x v="80"/>
    <n v="0"/>
    <n v="0"/>
    <n v="145500"/>
    <n v="145500"/>
  </r>
  <r>
    <s v="FB9AQOKZVXGT"/>
    <s v="Emily Thomas"/>
    <s v="Flats"/>
    <x v="0"/>
    <x v="23"/>
    <x v="8"/>
    <x v="82"/>
    <n v="0"/>
    <n v="0"/>
    <n v="145500"/>
    <n v="145500"/>
  </r>
  <r>
    <s v="FBI9Y93MIN33"/>
    <s v="Karen Rodriguez"/>
    <s v="Terrace"/>
    <x v="7"/>
    <x v="13"/>
    <x v="8"/>
    <x v="82"/>
    <n v="0"/>
    <n v="0"/>
    <n v="145500"/>
    <n v="145500"/>
  </r>
  <r>
    <s v="FB7UI6JR2R10"/>
    <s v="Nancy Sanchez"/>
    <s v="Pent House"/>
    <x v="4"/>
    <x v="31"/>
    <x v="8"/>
    <x v="82"/>
    <n v="0"/>
    <n v="0"/>
    <n v="145500"/>
    <n v="145500"/>
  </r>
  <r>
    <s v="FBT60NH4SIQB"/>
    <s v="Karen Allen"/>
    <s v="Pent House"/>
    <x v="3"/>
    <x v="28"/>
    <x v="8"/>
    <x v="83"/>
    <n v="0"/>
    <n v="0"/>
    <n v="145500"/>
    <n v="145500"/>
  </r>
  <r>
    <s v="FBOMDY3LZ45K"/>
    <s v="Donna Torres"/>
    <s v="Flats"/>
    <x v="3"/>
    <x v="8"/>
    <x v="8"/>
    <x v="83"/>
    <n v="0"/>
    <n v="0"/>
    <n v="145500"/>
    <n v="145500"/>
  </r>
  <r>
    <s v="FBOMDY3LZ45K"/>
    <s v="Donna Torres"/>
    <s v="Flats"/>
    <x v="3"/>
    <x v="8"/>
    <x v="8"/>
    <x v="83"/>
    <n v="0"/>
    <n v="0"/>
    <n v="209983.86"/>
    <n v="209983.86"/>
  </r>
  <r>
    <s v="FBTVV1SV0YX7"/>
    <s v="Sarah Wilson"/>
    <s v="Flats"/>
    <x v="3"/>
    <x v="34"/>
    <x v="8"/>
    <x v="84"/>
    <n v="0"/>
    <n v="0"/>
    <n v="145500"/>
    <n v="145500"/>
  </r>
  <r>
    <s v="FB3INBJVKQ50"/>
    <s v="Patricia Williams"/>
    <s v="Flats"/>
    <x v="2"/>
    <x v="2"/>
    <x v="8"/>
    <x v="84"/>
    <n v="0"/>
    <n v="0"/>
    <n v="145500"/>
    <n v="145500"/>
  </r>
  <r>
    <s v="FBYXT26OWJ7U"/>
    <s v="Lisa Clark"/>
    <s v="Flats"/>
    <x v="3"/>
    <x v="14"/>
    <x v="8"/>
    <x v="87"/>
    <n v="0"/>
    <n v="0"/>
    <n v="145500"/>
    <n v="145500"/>
  </r>
  <r>
    <s v="FBBA2R6TG4TS"/>
    <s v="Michael Wright"/>
    <s v="Flats"/>
    <x v="3"/>
    <x v="9"/>
    <x v="8"/>
    <x v="90"/>
    <n v="0"/>
    <n v="0"/>
    <n v="145500"/>
    <n v="145500"/>
  </r>
  <r>
    <s v="FBO21HH9RYTU"/>
    <s v="Mark Rodriguez"/>
    <s v="Flats"/>
    <x v="2"/>
    <x v="22"/>
    <x v="8"/>
    <x v="90"/>
    <n v="0"/>
    <n v="0"/>
    <n v="145500"/>
    <n v="145500"/>
  </r>
  <r>
    <s v="FB2X9SLAKEUD"/>
    <s v="Paul Perez"/>
    <s v="Flats"/>
    <x v="3"/>
    <x v="16"/>
    <x v="8"/>
    <x v="90"/>
    <n v="0"/>
    <n v="0"/>
    <n v="145500"/>
    <n v="145500"/>
  </r>
  <r>
    <s v="FBAERX46TQSD"/>
    <s v="Nancy Sanchez"/>
    <s v="Pent House"/>
    <x v="4"/>
    <x v="31"/>
    <x v="8"/>
    <x v="91"/>
    <n v="0"/>
    <n v="0"/>
    <n v="145500"/>
    <n v="145500"/>
  </r>
  <r>
    <s v="FBN9K222C8MQ"/>
    <s v="Thomas Sanchez"/>
    <s v="Flats"/>
    <x v="0"/>
    <x v="26"/>
    <x v="8"/>
    <x v="91"/>
    <n v="0"/>
    <n v="0"/>
    <n v="145500"/>
    <n v="145500"/>
  </r>
  <r>
    <s v="FBNSQN85G3WT"/>
    <s v="Daniel Torres"/>
    <s v="Flats"/>
    <x v="4"/>
    <x v="24"/>
    <x v="8"/>
    <x v="92"/>
    <n v="0"/>
    <n v="0"/>
    <n v="145500"/>
    <n v="145500"/>
  </r>
  <r>
    <s v="FBAEJJI26T4D"/>
    <s v="Lisa Clark"/>
    <s v="Flats"/>
    <x v="3"/>
    <x v="14"/>
    <x v="8"/>
    <x v="92"/>
    <n v="0"/>
    <n v="0"/>
    <n v="110346.45"/>
    <n v="110346.45"/>
  </r>
  <r>
    <s v="FB8POUN43WT9"/>
    <s v="Richard Garcia"/>
    <s v="Flats"/>
    <x v="3"/>
    <x v="36"/>
    <x v="8"/>
    <x v="93"/>
    <n v="0"/>
    <n v="0"/>
    <n v="145500"/>
    <n v="145500"/>
  </r>
  <r>
    <s v="FB8PZ452GZWX"/>
    <s v="Jennifer Lewis"/>
    <s v="Terrace"/>
    <x v="7"/>
    <x v="17"/>
    <x v="8"/>
    <x v="93"/>
    <n v="0"/>
    <n v="0"/>
    <n v="145500"/>
    <n v="145500"/>
  </r>
  <r>
    <s v="FBVBA7RT83Q3"/>
    <s v="Dorothy Thomas"/>
    <s v="Flats"/>
    <x v="0"/>
    <x v="37"/>
    <x v="8"/>
    <x v="253"/>
    <n v="0"/>
    <n v="0"/>
    <n v="145500"/>
    <n v="145500"/>
  </r>
  <r>
    <s v="FBVBA7RT83Q3"/>
    <s v="Dorothy Thomas"/>
    <s v="Flats"/>
    <x v="0"/>
    <x v="37"/>
    <x v="8"/>
    <x v="253"/>
    <n v="0"/>
    <n v="0"/>
    <n v="107688.62"/>
    <n v="107688.62"/>
  </r>
  <r>
    <s v="FB68PZ75KVSL"/>
    <s v="Barbara Martinez"/>
    <s v="Flats"/>
    <x v="0"/>
    <x v="0"/>
    <x v="8"/>
    <x v="94"/>
    <n v="0"/>
    <n v="0"/>
    <n v="145500"/>
    <n v="145500"/>
  </r>
  <r>
    <s v="FBZSWAKLV81G"/>
    <s v="Jennifer Robinson"/>
    <s v="Terrace"/>
    <x v="7"/>
    <x v="35"/>
    <x v="8"/>
    <x v="95"/>
    <n v="0"/>
    <n v="0"/>
    <n v="64845.42"/>
    <n v="64845.42"/>
  </r>
  <r>
    <s v="FBYK06ZBS9C8"/>
    <s v="Andrew Allen"/>
    <s v="Flats"/>
    <x v="2"/>
    <x v="4"/>
    <x v="8"/>
    <x v="95"/>
    <n v="0"/>
    <n v="0"/>
    <n v="145500"/>
    <n v="582000"/>
  </r>
  <r>
    <s v="FBZYWBKH3WE5"/>
    <s v="Anthony Robinson"/>
    <s v="Flats"/>
    <x v="3"/>
    <x v="7"/>
    <x v="8"/>
    <x v="95"/>
    <n v="0"/>
    <n v="0"/>
    <n v="145500"/>
    <n v="145500"/>
  </r>
  <r>
    <s v="FBZYWBKH3WE5"/>
    <s v="Anthony Robinson"/>
    <s v="Flats"/>
    <x v="3"/>
    <x v="7"/>
    <x v="8"/>
    <x v="95"/>
    <n v="0"/>
    <n v="0"/>
    <n v="290655.46000000002"/>
    <n v="290655.46000000002"/>
  </r>
  <r>
    <s v="FBZO8QV19DAB"/>
    <s v="Sarah Wilson"/>
    <s v="Flats"/>
    <x v="3"/>
    <x v="34"/>
    <x v="8"/>
    <x v="96"/>
    <n v="0"/>
    <n v="0"/>
    <n v="30608.86"/>
    <n v="30608.86"/>
  </r>
  <r>
    <s v="FB27DJ683MWW"/>
    <s v="Donald Jones"/>
    <s v="Flats"/>
    <x v="0"/>
    <x v="10"/>
    <x v="8"/>
    <x v="96"/>
    <n v="0"/>
    <n v="0"/>
    <n v="145500"/>
    <n v="145500"/>
  </r>
  <r>
    <s v="FBUHZBOPKUWM"/>
    <s v="Michelle Wilson"/>
    <s v="Flats"/>
    <x v="2"/>
    <x v="18"/>
    <x v="8"/>
    <x v="96"/>
    <n v="0"/>
    <n v="0"/>
    <n v="145500"/>
    <n v="145500"/>
  </r>
  <r>
    <s v="FB13TB1ESG3K"/>
    <s v="Paul Perez"/>
    <s v="Flats"/>
    <x v="3"/>
    <x v="16"/>
    <x v="8"/>
    <x v="96"/>
    <n v="0"/>
    <n v="0"/>
    <n v="145500"/>
    <n v="145500"/>
  </r>
  <r>
    <s v="FBUHZBOPKUWM"/>
    <s v="Michelle Wilson"/>
    <s v="Flats"/>
    <x v="2"/>
    <x v="18"/>
    <x v="8"/>
    <x v="96"/>
    <n v="0"/>
    <n v="0"/>
    <n v="9500"/>
    <n v="9500"/>
  </r>
  <r>
    <s v="FBAMY6YWE02N"/>
    <s v="Sarah Wilson"/>
    <s v="Flats"/>
    <x v="3"/>
    <x v="34"/>
    <x v="8"/>
    <x v="97"/>
    <n v="0"/>
    <n v="0"/>
    <n v="145500"/>
    <n v="145500"/>
  </r>
  <r>
    <s v="FB5QQPBM8RBJ"/>
    <s v="Patricia Williams"/>
    <s v="Flats"/>
    <x v="2"/>
    <x v="2"/>
    <x v="8"/>
    <x v="98"/>
    <n v="0"/>
    <n v="0"/>
    <n v="145500"/>
    <n v="145500"/>
  </r>
  <r>
    <s v="FBX1GYNEDU3C"/>
    <s v="Thomas Sanchez"/>
    <s v="Flats"/>
    <x v="0"/>
    <x v="26"/>
    <x v="8"/>
    <x v="98"/>
    <n v="0"/>
    <n v="0"/>
    <n v="145500"/>
    <n v="145500"/>
  </r>
  <r>
    <s v="FBX1GYNEDU3C"/>
    <s v="Thomas Sanchez"/>
    <s v="Flats"/>
    <x v="0"/>
    <x v="26"/>
    <x v="8"/>
    <x v="98"/>
    <n v="0"/>
    <n v="0"/>
    <n v="145500"/>
    <n v="145500"/>
  </r>
  <r>
    <s v="FB5QQPBM8RBJ"/>
    <s v="Patricia Williams"/>
    <s v="Flats"/>
    <x v="2"/>
    <x v="2"/>
    <x v="8"/>
    <x v="98"/>
    <n v="0"/>
    <n v="0"/>
    <n v="150000"/>
    <n v="150000"/>
  </r>
  <r>
    <s v="FBLVFAYK3SUB"/>
    <s v="Donna Torres"/>
    <s v="Flats"/>
    <x v="3"/>
    <x v="8"/>
    <x v="8"/>
    <x v="100"/>
    <n v="0"/>
    <n v="0"/>
    <n v="145500"/>
    <n v="145500"/>
  </r>
  <r>
    <s v="FB15W1PEZWXS"/>
    <s v="Barbara Martinez"/>
    <s v="Flats"/>
    <x v="0"/>
    <x v="0"/>
    <x v="8"/>
    <x v="100"/>
    <n v="0"/>
    <n v="0"/>
    <n v="145500"/>
    <n v="145500"/>
  </r>
  <r>
    <s v="FBXWRYRQ1Z3O"/>
    <s v="Barbara Ramirez"/>
    <s v="Flats"/>
    <x v="4"/>
    <x v="21"/>
    <x v="8"/>
    <x v="100"/>
    <n v="0"/>
    <n v="0"/>
    <n v="145500"/>
    <n v="145500"/>
  </r>
  <r>
    <s v="FB63EJD14RG1"/>
    <s v="Thomas &amp; Jane Jackson"/>
    <s v="Flats"/>
    <x v="4"/>
    <x v="38"/>
    <x v="8"/>
    <x v="100"/>
    <n v="0"/>
    <n v="0"/>
    <n v="145500"/>
    <n v="145500"/>
  </r>
  <r>
    <s v="FBHURJOZBF5U"/>
    <s v="Emily Thomas"/>
    <s v="Flats"/>
    <x v="0"/>
    <x v="23"/>
    <x v="8"/>
    <x v="100"/>
    <n v="0"/>
    <n v="0"/>
    <n v="145500"/>
    <n v="145500"/>
  </r>
  <r>
    <s v="FBCLQNTWGB7G"/>
    <s v="James Clark"/>
    <s v="Flats"/>
    <x v="4"/>
    <x v="33"/>
    <x v="8"/>
    <x v="100"/>
    <n v="0"/>
    <n v="0"/>
    <n v="145500"/>
    <n v="145500"/>
  </r>
  <r>
    <s v="FBCLQNTWGB7G"/>
    <s v="James Clark"/>
    <s v="Flats"/>
    <x v="4"/>
    <x v="33"/>
    <x v="8"/>
    <x v="100"/>
    <n v="0"/>
    <n v="0"/>
    <n v="145500"/>
    <n v="145500"/>
  </r>
  <r>
    <s v="FBJ613SNXKU1"/>
    <s v="Anthony Lopez"/>
    <s v="Flats"/>
    <x v="2"/>
    <x v="25"/>
    <x v="8"/>
    <x v="101"/>
    <n v="0"/>
    <n v="0"/>
    <n v="145500"/>
    <n v="145500"/>
  </r>
  <r>
    <s v="FBI15GVZ0MMV"/>
    <s v="Lisa Clark"/>
    <s v="Flats"/>
    <x v="3"/>
    <x v="14"/>
    <x v="8"/>
    <x v="102"/>
    <n v="0"/>
    <n v="0"/>
    <n v="145500"/>
    <n v="145500"/>
  </r>
  <r>
    <s v="FBDSUB96IF0X"/>
    <s v="Michael Wright"/>
    <s v="Flats"/>
    <x v="3"/>
    <x v="9"/>
    <x v="8"/>
    <x v="103"/>
    <n v="0"/>
    <n v="0"/>
    <n v="145500"/>
    <n v="145500"/>
  </r>
  <r>
    <s v="FBQKC6KNJE0M"/>
    <s v="Patricia Williams"/>
    <s v="Flats"/>
    <x v="2"/>
    <x v="2"/>
    <x v="8"/>
    <x v="258"/>
    <n v="0"/>
    <n v="0"/>
    <n v="150000"/>
    <n v="150000"/>
  </r>
  <r>
    <s v="FBRVUZ48LCPK"/>
    <s v="Richard Garcia"/>
    <s v="Flats"/>
    <x v="3"/>
    <x v="36"/>
    <x v="8"/>
    <x v="107"/>
    <n v="0"/>
    <n v="0"/>
    <n v="145500"/>
    <n v="145500"/>
  </r>
  <r>
    <s v="FBQC8JMYFM0M"/>
    <s v="Nancy Sanchez"/>
    <s v="Pent House"/>
    <x v="4"/>
    <x v="31"/>
    <x v="8"/>
    <x v="108"/>
    <n v="0"/>
    <n v="0"/>
    <n v="145500"/>
    <n v="145500"/>
  </r>
  <r>
    <s v="FBVWFMW91KF3"/>
    <s v="Daniel Torres"/>
    <s v="Flats"/>
    <x v="4"/>
    <x v="24"/>
    <x v="8"/>
    <x v="109"/>
    <n v="0"/>
    <n v="0"/>
    <n v="145500"/>
    <n v="145500"/>
  </r>
  <r>
    <s v="FB9HXBIZ29Z3"/>
    <s v="Mark Rodriguez"/>
    <s v="Flats"/>
    <x v="2"/>
    <x v="22"/>
    <x v="8"/>
    <x v="110"/>
    <n v="0"/>
    <n v="0"/>
    <n v="145500"/>
    <n v="145500"/>
  </r>
  <r>
    <s v="FBZ9CYMIJAV0"/>
    <s v="Patricia Williams"/>
    <s v="Flats"/>
    <x v="2"/>
    <x v="2"/>
    <x v="8"/>
    <x v="110"/>
    <n v="0"/>
    <n v="0"/>
    <n v="150000"/>
    <n v="150000"/>
  </r>
  <r>
    <s v="FB9DFJVAZV1A"/>
    <s v="Dorothy Thomas"/>
    <s v="Flats"/>
    <x v="0"/>
    <x v="37"/>
    <x v="8"/>
    <x v="110"/>
    <n v="0"/>
    <n v="0"/>
    <n v="107688.92"/>
    <n v="107688.92"/>
  </r>
  <r>
    <s v="FB35EGFLVD9M"/>
    <s v="Paul Perez"/>
    <s v="Flats"/>
    <x v="3"/>
    <x v="16"/>
    <x v="8"/>
    <x v="113"/>
    <n v="0"/>
    <n v="0"/>
    <n v="145500"/>
    <n v="145500"/>
  </r>
  <r>
    <s v="FBSG3OYRXEZ7"/>
    <s v="Michelle Wilson"/>
    <s v="Flats"/>
    <x v="2"/>
    <x v="18"/>
    <x v="8"/>
    <x v="113"/>
    <n v="0"/>
    <n v="0"/>
    <n v="145500"/>
    <n v="145500"/>
  </r>
  <r>
    <s v="FBV0AKI5C026"/>
    <s v="Donna Torres"/>
    <s v="Flats"/>
    <x v="3"/>
    <x v="8"/>
    <x v="8"/>
    <x v="113"/>
    <n v="0"/>
    <n v="0"/>
    <n v="145500"/>
    <n v="145500"/>
  </r>
  <r>
    <s v="FBRG1JRRZIC9"/>
    <s v="Donald Jones"/>
    <s v="Flats"/>
    <x v="0"/>
    <x v="10"/>
    <x v="8"/>
    <x v="113"/>
    <n v="0"/>
    <n v="0"/>
    <n v="145500"/>
    <n v="145500"/>
  </r>
  <r>
    <s v="FB9848J31XYM"/>
    <s v="Anthony Lopez"/>
    <s v="Flats"/>
    <x v="2"/>
    <x v="25"/>
    <x v="8"/>
    <x v="113"/>
    <n v="0"/>
    <n v="0"/>
    <n v="145500"/>
    <n v="145500"/>
  </r>
  <r>
    <s v="FBCZP1SOPEFP"/>
    <s v="Barbara Ramirez"/>
    <s v="Flats"/>
    <x v="4"/>
    <x v="21"/>
    <x v="8"/>
    <x v="115"/>
    <n v="0"/>
    <n v="0"/>
    <n v="145500"/>
    <n v="145500"/>
  </r>
  <r>
    <s v="FBMKLE42WJV1"/>
    <s v="Sarah Wilson"/>
    <s v="Flats"/>
    <x v="3"/>
    <x v="34"/>
    <x v="8"/>
    <x v="116"/>
    <n v="0"/>
    <n v="0"/>
    <n v="145500"/>
    <n v="145500"/>
  </r>
  <r>
    <s v="FBIE0Z9KOV2H"/>
    <s v="Emily Thomas"/>
    <s v="Flats"/>
    <x v="0"/>
    <x v="23"/>
    <x v="8"/>
    <x v="116"/>
    <n v="0"/>
    <n v="0"/>
    <n v="145500"/>
    <n v="145500"/>
  </r>
  <r>
    <s v="FBUMM9NXCEAH"/>
    <s v="Barbara Martinez"/>
    <s v="Flats"/>
    <x v="0"/>
    <x v="0"/>
    <x v="8"/>
    <x v="116"/>
    <n v="0"/>
    <n v="0"/>
    <n v="145500"/>
    <n v="145500"/>
  </r>
  <r>
    <s v="FBFCSELA3V5G"/>
    <s v="Thomas &amp; Jane Jackson"/>
    <s v="Flats"/>
    <x v="4"/>
    <x v="38"/>
    <x v="8"/>
    <x v="117"/>
    <n v="0"/>
    <n v="0"/>
    <n v="145500"/>
    <n v="145500"/>
  </r>
  <r>
    <s v="FBRJNX22CWEW"/>
    <s v="Lisa Clark"/>
    <s v="Flats"/>
    <x v="3"/>
    <x v="14"/>
    <x v="8"/>
    <x v="117"/>
    <n v="0"/>
    <n v="0"/>
    <n v="145500"/>
    <n v="145500"/>
  </r>
  <r>
    <s v="FBJP75Z4RQEP"/>
    <s v="Nancy Sanchez"/>
    <s v="Pent House"/>
    <x v="4"/>
    <x v="31"/>
    <x v="8"/>
    <x v="119"/>
    <n v="0"/>
    <n v="0"/>
    <n v="145500"/>
    <n v="145500"/>
  </r>
  <r>
    <s v="FB0Z2Q0LANUA"/>
    <s v="Michael Wright"/>
    <s v="Flats"/>
    <x v="3"/>
    <x v="9"/>
    <x v="8"/>
    <x v="119"/>
    <n v="0"/>
    <n v="0"/>
    <n v="145500"/>
    <n v="145500"/>
  </r>
  <r>
    <s v="FB7VPMQ5CUGD"/>
    <s v="Thomas Sanchez"/>
    <s v="Flats"/>
    <x v="0"/>
    <x v="26"/>
    <x v="8"/>
    <x v="122"/>
    <n v="0"/>
    <n v="0"/>
    <n v="145500"/>
    <n v="145500"/>
  </r>
  <r>
    <s v="FBHD1OQ3HJW0"/>
    <s v="Patricia Williams"/>
    <s v="Flats"/>
    <x v="2"/>
    <x v="2"/>
    <x v="8"/>
    <x v="122"/>
    <n v="0"/>
    <n v="0"/>
    <n v="145500"/>
    <n v="145500"/>
  </r>
  <r>
    <s v="FBHD1OQ3HJW0"/>
    <s v="Patricia Williams"/>
    <s v="Flats"/>
    <x v="2"/>
    <x v="2"/>
    <x v="8"/>
    <x v="122"/>
    <n v="0"/>
    <n v="0"/>
    <n v="242421.53"/>
    <n v="242421.53"/>
  </r>
  <r>
    <s v="FB21BFIOP3RO"/>
    <s v="Daniel Torres"/>
    <s v="Flats"/>
    <x v="4"/>
    <x v="24"/>
    <x v="8"/>
    <x v="125"/>
    <n v="0"/>
    <n v="0"/>
    <n v="145500"/>
    <n v="145500"/>
  </r>
  <r>
    <s v="FBQ9X2KVGUL7"/>
    <s v="Richard Garcia"/>
    <s v="Flats"/>
    <x v="3"/>
    <x v="36"/>
    <x v="8"/>
    <x v="127"/>
    <n v="0"/>
    <n v="0"/>
    <n v="145500"/>
    <n v="145500"/>
  </r>
  <r>
    <s v="FB7FA0L8DR3X"/>
    <s v="Mark Rodriguez"/>
    <s v="Flats"/>
    <x v="2"/>
    <x v="22"/>
    <x v="8"/>
    <x v="128"/>
    <n v="0"/>
    <n v="0"/>
    <n v="145500"/>
    <n v="145500"/>
  </r>
  <r>
    <s v="FBHYE14W10A9"/>
    <s v="Dorothy Thomas"/>
    <s v="Flats"/>
    <x v="0"/>
    <x v="37"/>
    <x v="8"/>
    <x v="277"/>
    <n v="0"/>
    <n v="0"/>
    <n v="107688.92"/>
    <n v="107688.92"/>
  </r>
  <r>
    <s v="FBDPLAO5LYP6"/>
    <s v="Dorothy Thomas"/>
    <s v="Flats"/>
    <x v="0"/>
    <x v="37"/>
    <x v="8"/>
    <x v="278"/>
    <n v="0"/>
    <n v="0"/>
    <n v="145500"/>
    <n v="145500"/>
  </r>
  <r>
    <s v="FBDPLAO5LYP6"/>
    <s v="Dorothy Thomas"/>
    <s v="Flats"/>
    <x v="0"/>
    <x v="37"/>
    <x v="8"/>
    <x v="278"/>
    <n v="0"/>
    <n v="0"/>
    <n v="107688.92"/>
    <n v="107688.92"/>
  </r>
  <r>
    <s v="FBMLA7E0RG2X"/>
    <s v="Jennifer Robinson"/>
    <s v="Terrace"/>
    <x v="7"/>
    <x v="35"/>
    <x v="8"/>
    <x v="278"/>
    <n v="0"/>
    <n v="0"/>
    <n v="291000"/>
    <n v="291000"/>
  </r>
  <r>
    <s v="FBOMTBZMD904"/>
    <s v="Donald Jones"/>
    <s v="Flats"/>
    <x v="0"/>
    <x v="10"/>
    <x v="8"/>
    <x v="129"/>
    <n v="0"/>
    <n v="0"/>
    <n v="145500"/>
    <n v="145500"/>
  </r>
  <r>
    <s v="FBXUWLEL1LRY"/>
    <s v="Barbara Martinez"/>
    <s v="Flats"/>
    <x v="0"/>
    <x v="0"/>
    <x v="8"/>
    <x v="130"/>
    <n v="0"/>
    <n v="0"/>
    <n v="145500"/>
    <n v="145500"/>
  </r>
  <r>
    <s v="FB3T17T7LL2S"/>
    <s v="Paul Perez"/>
    <s v="Flats"/>
    <x v="3"/>
    <x v="16"/>
    <x v="8"/>
    <x v="130"/>
    <n v="0"/>
    <n v="0"/>
    <n v="145500"/>
    <n v="145500"/>
  </r>
  <r>
    <s v="FBH1OJ0HKL3L"/>
    <s v="Michelle Wilson"/>
    <s v="Flats"/>
    <x v="2"/>
    <x v="18"/>
    <x v="8"/>
    <x v="130"/>
    <n v="0"/>
    <n v="0"/>
    <n v="145500"/>
    <n v="145500"/>
  </r>
  <r>
    <s v="FBS0QT8TFWHK"/>
    <s v="Joshua Harris"/>
    <s v="Terrace"/>
    <x v="7"/>
    <x v="12"/>
    <x v="8"/>
    <x v="130"/>
    <n v="0"/>
    <n v="0"/>
    <n v="145860"/>
    <n v="145860"/>
  </r>
  <r>
    <s v="FBMS5UNM0PQM"/>
    <s v="Jennifer Lewis"/>
    <s v="Terrace"/>
    <x v="7"/>
    <x v="17"/>
    <x v="8"/>
    <x v="130"/>
    <n v="0"/>
    <n v="0"/>
    <n v="145500"/>
    <n v="145500"/>
  </r>
  <r>
    <s v="FB6EMAYELDX3"/>
    <s v="Anthony Lopez"/>
    <s v="Flats"/>
    <x v="2"/>
    <x v="25"/>
    <x v="8"/>
    <x v="131"/>
    <n v="0"/>
    <n v="0"/>
    <n v="145500"/>
    <n v="145500"/>
  </r>
  <r>
    <s v="FBWBBLBCQSZD"/>
    <s v="Barbara Ramirez"/>
    <s v="Flats"/>
    <x v="4"/>
    <x v="21"/>
    <x v="8"/>
    <x v="133"/>
    <n v="0"/>
    <n v="0"/>
    <n v="145500"/>
    <n v="145500"/>
  </r>
  <r>
    <s v="FBF2TND92RV8"/>
    <s v="Donna Torres"/>
    <s v="Flats"/>
    <x v="3"/>
    <x v="8"/>
    <x v="8"/>
    <x v="133"/>
    <n v="0"/>
    <n v="0"/>
    <n v="145500"/>
    <n v="145500"/>
  </r>
  <r>
    <s v="FBGMV82FHBXH"/>
    <s v="Michael Wright"/>
    <s v="Flats"/>
    <x v="3"/>
    <x v="9"/>
    <x v="8"/>
    <x v="135"/>
    <n v="0"/>
    <n v="0"/>
    <n v="145500"/>
    <n v="145500"/>
  </r>
  <r>
    <s v="FBXGBVFIJZY6"/>
    <s v="Sarah Wilson"/>
    <s v="Flats"/>
    <x v="3"/>
    <x v="34"/>
    <x v="8"/>
    <x v="282"/>
    <n v="0"/>
    <n v="0"/>
    <n v="145500"/>
    <n v="145500"/>
  </r>
  <r>
    <s v="FBN1MBXVGSUF"/>
    <s v="Emily Thomas"/>
    <s v="Flats"/>
    <x v="0"/>
    <x v="23"/>
    <x v="8"/>
    <x v="342"/>
    <n v="0"/>
    <n v="0"/>
    <n v="145500"/>
    <n v="145500"/>
  </r>
  <r>
    <s v="FBOFFNU9ABE5"/>
    <s v="Patricia Williams"/>
    <s v="Flats"/>
    <x v="2"/>
    <x v="2"/>
    <x v="8"/>
    <x v="138"/>
    <n v="0"/>
    <n v="0"/>
    <n v="145500"/>
    <n v="145500"/>
  </r>
  <r>
    <s v="FBCQ5V7C4QB6"/>
    <s v="Thomas Sanchez"/>
    <s v="Flats"/>
    <x v="0"/>
    <x v="26"/>
    <x v="8"/>
    <x v="139"/>
    <n v="0"/>
    <n v="0"/>
    <n v="145500"/>
    <n v="145500"/>
  </r>
  <r>
    <s v="FB70Z4YRTP9M"/>
    <s v="Daniel Torres"/>
    <s v="Flats"/>
    <x v="4"/>
    <x v="24"/>
    <x v="8"/>
    <x v="140"/>
    <n v="0"/>
    <n v="0"/>
    <n v="145500"/>
    <n v="145500"/>
  </r>
  <r>
    <s v="FBC2T89R7WSR"/>
    <s v="Lisa Clark"/>
    <s v="Flats"/>
    <x v="3"/>
    <x v="14"/>
    <x v="8"/>
    <x v="140"/>
    <n v="0"/>
    <n v="0"/>
    <n v="145500"/>
    <n v="145500"/>
  </r>
  <r>
    <s v="FB2ECMJXBITF"/>
    <s v="Richard Garcia"/>
    <s v="Flats"/>
    <x v="3"/>
    <x v="36"/>
    <x v="8"/>
    <x v="141"/>
    <n v="0"/>
    <n v="0"/>
    <n v="145500"/>
    <n v="145500"/>
  </r>
  <r>
    <s v="FBIV18BJL6ZL"/>
    <s v="Dorothy Thomas"/>
    <s v="Flats"/>
    <x v="0"/>
    <x v="37"/>
    <x v="8"/>
    <x v="142"/>
    <n v="0"/>
    <n v="0"/>
    <n v="145500"/>
    <n v="145500"/>
  </r>
  <r>
    <s v="FBHR0AC3DF8T"/>
    <s v="Thomas &amp; Jane Jackson"/>
    <s v="Flats"/>
    <x v="4"/>
    <x v="38"/>
    <x v="8"/>
    <x v="142"/>
    <n v="0"/>
    <n v="0"/>
    <n v="145500"/>
    <n v="145500"/>
  </r>
  <r>
    <s v="FBXBHQCOEE4G"/>
    <s v="Jennifer Robinson"/>
    <s v="Terrace"/>
    <x v="7"/>
    <x v="35"/>
    <x v="8"/>
    <x v="291"/>
    <n v="0"/>
    <n v="0"/>
    <n v="145500"/>
    <n v="145500"/>
  </r>
  <r>
    <s v="FBCIADAALSOC"/>
    <s v="Karen Rodriguez"/>
    <s v="Terrace"/>
    <x v="7"/>
    <x v="13"/>
    <x v="8"/>
    <x v="291"/>
    <n v="0"/>
    <n v="0"/>
    <n v="356332.21"/>
    <n v="356332.21"/>
  </r>
  <r>
    <s v="FBMAJ6P13BNL"/>
    <s v="Susan Nguyen"/>
    <s v="Flats"/>
    <x v="3"/>
    <x v="14"/>
    <x v="8"/>
    <x v="143"/>
    <n v="0"/>
    <n v="0"/>
    <n v="145500"/>
    <n v="145500"/>
  </r>
  <r>
    <s v="FBWS3BW4DBLI"/>
    <s v="Mark Rodriguez"/>
    <s v="Flats"/>
    <x v="2"/>
    <x v="22"/>
    <x v="8"/>
    <x v="143"/>
    <n v="0"/>
    <n v="0"/>
    <n v="145500"/>
    <n v="145500"/>
  </r>
  <r>
    <s v="FBPGCNIGY4QH"/>
    <s v="Susan Nguyen"/>
    <s v="Flats"/>
    <x v="3"/>
    <x v="14"/>
    <x v="8"/>
    <x v="143"/>
    <n v="0"/>
    <n v="0"/>
    <n v="145500"/>
    <n v="145500"/>
  </r>
  <r>
    <s v="FBPGCNIGY4QH"/>
    <s v="Susan Nguyen"/>
    <s v="Flats"/>
    <x v="3"/>
    <x v="14"/>
    <x v="8"/>
    <x v="143"/>
    <n v="0"/>
    <n v="0"/>
    <n v="145500"/>
    <n v="145500"/>
  </r>
  <r>
    <s v="FB91BOOGUWA8"/>
    <s v="Dorothy Thomas"/>
    <s v="Flats"/>
    <x v="0"/>
    <x v="37"/>
    <x v="8"/>
    <x v="293"/>
    <n v="0"/>
    <n v="0"/>
    <n v="64844.52"/>
    <n v="64844.52"/>
  </r>
  <r>
    <s v="FBXHN2MYZLET"/>
    <s v="Nancy Sanchez"/>
    <s v="Pent House"/>
    <x v="4"/>
    <x v="31"/>
    <x v="8"/>
    <x v="144"/>
    <n v="0"/>
    <n v="0"/>
    <n v="145500"/>
    <n v="145500"/>
  </r>
  <r>
    <s v="FBNPH01KGUGY"/>
    <s v="Anthony Lopez"/>
    <s v="Flats"/>
    <x v="2"/>
    <x v="25"/>
    <x v="8"/>
    <x v="145"/>
    <n v="0"/>
    <n v="0"/>
    <n v="145500"/>
    <n v="145500"/>
  </r>
  <r>
    <s v="FB7OKDWU3Z9W"/>
    <s v="Donna Torres"/>
    <s v="Flats"/>
    <x v="3"/>
    <x v="8"/>
    <x v="8"/>
    <x v="145"/>
    <n v="0"/>
    <n v="0"/>
    <n v="145500"/>
    <n v="145500"/>
  </r>
  <r>
    <s v="FBWXNR2NL519"/>
    <s v="Sarah Wilson"/>
    <s v="Flats"/>
    <x v="3"/>
    <x v="34"/>
    <x v="8"/>
    <x v="146"/>
    <n v="0"/>
    <n v="0"/>
    <n v="145500"/>
    <n v="145500"/>
  </r>
  <r>
    <s v="FBFT91HCSYGV"/>
    <s v="Paul Perez"/>
    <s v="Flats"/>
    <x v="3"/>
    <x v="16"/>
    <x v="8"/>
    <x v="146"/>
    <n v="0"/>
    <n v="0"/>
    <n v="145500"/>
    <n v="145500"/>
  </r>
  <r>
    <s v="FBH4RMEI5MKH"/>
    <s v="Michelle Wilson"/>
    <s v="Flats"/>
    <x v="2"/>
    <x v="18"/>
    <x v="8"/>
    <x v="147"/>
    <n v="0"/>
    <n v="0"/>
    <n v="145500"/>
    <n v="145500"/>
  </r>
  <r>
    <s v="FBVBPXBVNFMD"/>
    <s v="Emily Thomas"/>
    <s v="Flats"/>
    <x v="0"/>
    <x v="23"/>
    <x v="8"/>
    <x v="147"/>
    <n v="0"/>
    <n v="0"/>
    <n v="145500"/>
    <n v="145500"/>
  </r>
  <r>
    <s v="FBAM969HVFOC"/>
    <s v="Lisa Clark"/>
    <s v="Flats"/>
    <x v="3"/>
    <x v="14"/>
    <x v="8"/>
    <x v="149"/>
    <n v="0"/>
    <n v="0"/>
    <n v="145500"/>
    <n v="145500"/>
  </r>
  <r>
    <s v="FBW9780LSIHT"/>
    <s v="Barbara Ramirez"/>
    <s v="Flats"/>
    <x v="4"/>
    <x v="21"/>
    <x v="8"/>
    <x v="157"/>
    <n v="0"/>
    <n v="0"/>
    <n v="145500"/>
    <n v="145500"/>
  </r>
  <r>
    <s v="FBGRTT8F3F5U"/>
    <s v="Karen Rodriguez"/>
    <s v="Terrace"/>
    <x v="7"/>
    <x v="13"/>
    <x v="8"/>
    <x v="157"/>
    <n v="0"/>
    <n v="0"/>
    <n v="150650"/>
    <n v="150650"/>
  </r>
  <r>
    <s v="FB85IOJTN6IL"/>
    <s v="Emily Thomas"/>
    <s v="Flats"/>
    <x v="0"/>
    <x v="23"/>
    <x v="8"/>
    <x v="157"/>
    <n v="0"/>
    <n v="0"/>
    <n v="10140.25"/>
    <n v="10140.25"/>
  </r>
  <r>
    <s v="FBM2FRRD65EY"/>
    <s v="Joshua Harris"/>
    <s v="Terrace"/>
    <x v="7"/>
    <x v="12"/>
    <x v="8"/>
    <x v="161"/>
    <n v="0"/>
    <n v="0"/>
    <n v="150650"/>
    <n v="150650"/>
  </r>
  <r>
    <s v="FBOSXYS3I0G7"/>
    <s v="Mark Rodriguez"/>
    <s v="Flats"/>
    <x v="2"/>
    <x v="22"/>
    <x v="8"/>
    <x v="161"/>
    <n v="0"/>
    <n v="0"/>
    <n v="150650"/>
    <n v="150650"/>
  </r>
  <r>
    <s v="FB9A7AZ9SDC0"/>
    <s v="Donald Jones"/>
    <s v="Flats"/>
    <x v="0"/>
    <x v="10"/>
    <x v="8"/>
    <x v="161"/>
    <n v="0"/>
    <n v="0"/>
    <n v="150650"/>
    <n v="150650"/>
  </r>
  <r>
    <s v="FB8AFSDENK3V"/>
    <s v="Anthony Robinson"/>
    <s v="Flats"/>
    <x v="3"/>
    <x v="7"/>
    <x v="8"/>
    <x v="162"/>
    <n v="0"/>
    <n v="0"/>
    <n v="150650"/>
    <n v="150650"/>
  </r>
  <r>
    <s v="FBEQV6920W8Y"/>
    <s v="Betty Lopez"/>
    <s v="Flats"/>
    <x v="4"/>
    <x v="27"/>
    <x v="8"/>
    <x v="162"/>
    <n v="0"/>
    <n v="0"/>
    <n v="150650"/>
    <n v="150650"/>
  </r>
  <r>
    <s v="FBAGUE8H5O8X"/>
    <s v="Richard Garcia"/>
    <s v="Flats"/>
    <x v="3"/>
    <x v="36"/>
    <x v="8"/>
    <x v="162"/>
    <n v="0"/>
    <n v="0"/>
    <n v="150650"/>
    <n v="150650"/>
  </r>
  <r>
    <s v="FB16F9FTBEAR"/>
    <s v="James Clark"/>
    <s v="Flats"/>
    <x v="4"/>
    <x v="33"/>
    <x v="8"/>
    <x v="162"/>
    <n v="0"/>
    <n v="0"/>
    <n v="150650"/>
    <n v="150650"/>
  </r>
  <r>
    <s v="FBYK86P8WG9R"/>
    <s v="Daniel Ramirez"/>
    <s v="Flats"/>
    <x v="0"/>
    <x v="19"/>
    <x v="8"/>
    <x v="162"/>
    <n v="0"/>
    <n v="0"/>
    <n v="150650"/>
    <n v="150650"/>
  </r>
  <r>
    <s v="FB16KASUTQH6"/>
    <s v="Jennifer Lewis"/>
    <s v="Terrace"/>
    <x v="7"/>
    <x v="17"/>
    <x v="8"/>
    <x v="162"/>
    <n v="0"/>
    <n v="0"/>
    <n v="150650"/>
    <n v="150650"/>
  </r>
  <r>
    <s v="FBC9HBV61OEQ"/>
    <s v="Andrew Allen"/>
    <s v="Flats"/>
    <x v="2"/>
    <x v="4"/>
    <x v="8"/>
    <x v="162"/>
    <n v="0"/>
    <n v="0"/>
    <n v="150650"/>
    <n v="150650"/>
  </r>
  <r>
    <s v="FB0176BZ8PK8"/>
    <s v="Jennifer Robinson"/>
    <s v="Terrace"/>
    <x v="7"/>
    <x v="35"/>
    <x v="8"/>
    <x v="163"/>
    <n v="0"/>
    <n v="0"/>
    <n v="150650"/>
    <n v="150650"/>
  </r>
  <r>
    <s v="FBSIV9VDRK2Y"/>
    <s v="Daniel Ramirez"/>
    <s v="Flats"/>
    <x v="0"/>
    <x v="19"/>
    <x v="8"/>
    <x v="337"/>
    <n v="0"/>
    <n v="0"/>
    <n v="753238.39"/>
    <n v="753238.39"/>
  </r>
  <r>
    <s v="FBJ0E7AR34U6"/>
    <s v="Jennifer Lewis"/>
    <s v="Terrace"/>
    <x v="7"/>
    <x v="17"/>
    <x v="8"/>
    <x v="164"/>
    <n v="0"/>
    <n v="0"/>
    <n v="150650"/>
    <n v="150650"/>
  </r>
  <r>
    <s v="FB8ZVACGNZTQ"/>
    <s v="Paul Garcia"/>
    <s v="Flats"/>
    <x v="3"/>
    <x v="11"/>
    <x v="8"/>
    <x v="164"/>
    <n v="0"/>
    <n v="0"/>
    <n v="150650"/>
    <n v="150650"/>
  </r>
  <r>
    <s v="FBT93XXMZYW6"/>
    <s v="Elizabeth Martin"/>
    <s v="Flats"/>
    <x v="4"/>
    <x v="29"/>
    <x v="8"/>
    <x v="164"/>
    <n v="0"/>
    <n v="0"/>
    <n v="150650"/>
    <n v="150650"/>
  </r>
  <r>
    <s v="FBZ8EA4OUPKL"/>
    <s v="Donald Jones"/>
    <s v="Flats"/>
    <x v="0"/>
    <x v="10"/>
    <x v="8"/>
    <x v="165"/>
    <n v="0"/>
    <n v="0"/>
    <n v="150650"/>
    <n v="150650"/>
  </r>
  <r>
    <s v="FBVODZOIKRGW"/>
    <s v="Betty Lopez"/>
    <s v="Flats"/>
    <x v="4"/>
    <x v="27"/>
    <x v="8"/>
    <x v="166"/>
    <n v="0"/>
    <n v="0"/>
    <n v="150650"/>
    <n v="150650"/>
  </r>
  <r>
    <s v="FBLE4BHIUT6U"/>
    <s v="Patricia Williams"/>
    <s v="Flats"/>
    <x v="2"/>
    <x v="2"/>
    <x v="8"/>
    <x v="167"/>
    <n v="0"/>
    <n v="0"/>
    <n v="150650"/>
    <n v="150650"/>
  </r>
  <r>
    <s v="FB08KPOO05AK"/>
    <s v="Dorothy Thomas"/>
    <s v="Flats"/>
    <x v="0"/>
    <x v="37"/>
    <x v="8"/>
    <x v="167"/>
    <n v="0"/>
    <n v="0"/>
    <n v="150650"/>
    <n v="150650"/>
  </r>
  <r>
    <s v="FB8AYZQK1DXW"/>
    <s v="Anthony Robinson"/>
    <s v="Flats"/>
    <x v="3"/>
    <x v="7"/>
    <x v="8"/>
    <x v="167"/>
    <n v="0"/>
    <n v="0"/>
    <n v="150650"/>
    <n v="150650"/>
  </r>
  <r>
    <s v="FBLE4BHIUT6U"/>
    <s v="Patricia Williams"/>
    <s v="Flats"/>
    <x v="2"/>
    <x v="2"/>
    <x v="8"/>
    <x v="167"/>
    <n v="0"/>
    <n v="0"/>
    <n v="150650"/>
    <n v="150650"/>
  </r>
  <r>
    <s v="FBG37IGMGPS6"/>
    <s v="Thomas Sanchez"/>
    <s v="Flats"/>
    <x v="0"/>
    <x v="26"/>
    <x v="8"/>
    <x v="168"/>
    <n v="0"/>
    <n v="0"/>
    <n v="150650"/>
    <n v="150650"/>
  </r>
  <r>
    <s v="FB41Z04HC3QH"/>
    <s v="Thomas Sanchez"/>
    <s v="Flats"/>
    <x v="0"/>
    <x v="26"/>
    <x v="8"/>
    <x v="168"/>
    <n v="0"/>
    <n v="0"/>
    <n v="150650"/>
    <n v="150650"/>
  </r>
  <r>
    <s v="FB9Q92KNM5R5"/>
    <s v="Sarah Wilson"/>
    <s v="Flats"/>
    <x v="3"/>
    <x v="34"/>
    <x v="8"/>
    <x v="170"/>
    <n v="0"/>
    <n v="0"/>
    <n v="150650"/>
    <n v="150650"/>
  </r>
  <r>
    <s v="FBT98QETXJ1L"/>
    <s v="Joshua Harris"/>
    <s v="Terrace"/>
    <x v="7"/>
    <x v="12"/>
    <x v="8"/>
    <x v="171"/>
    <n v="0"/>
    <n v="0"/>
    <n v="150650"/>
    <n v="150650"/>
  </r>
  <r>
    <s v="FB8VL64ELWPH"/>
    <s v="Emily Thomas"/>
    <s v="Flats"/>
    <x v="0"/>
    <x v="23"/>
    <x v="8"/>
    <x v="171"/>
    <n v="0"/>
    <n v="0"/>
    <n v="150650"/>
    <n v="150650"/>
  </r>
  <r>
    <s v="FBF74ZT0G7CB"/>
    <s v="Karen Allen"/>
    <s v="Pent House"/>
    <x v="3"/>
    <x v="28"/>
    <x v="8"/>
    <x v="338"/>
    <n v="0"/>
    <n v="0"/>
    <n v="150650"/>
    <n v="150650"/>
  </r>
  <r>
    <s v="FBXCFTNW8XNZ"/>
    <s v="Andrew Allen"/>
    <s v="Flats"/>
    <x v="2"/>
    <x v="4"/>
    <x v="8"/>
    <x v="172"/>
    <n v="0"/>
    <n v="0"/>
    <n v="150650"/>
    <n v="150650"/>
  </r>
  <r>
    <s v="FBTRB1FO3RI8"/>
    <s v="Anthony Lopez"/>
    <s v="Flats"/>
    <x v="2"/>
    <x v="25"/>
    <x v="8"/>
    <x v="173"/>
    <n v="0"/>
    <n v="0"/>
    <n v="150650"/>
    <n v="150650"/>
  </r>
  <r>
    <s v="FBPXLQ99LYYH"/>
    <s v="Michelle Wilson"/>
    <s v="Flats"/>
    <x v="2"/>
    <x v="18"/>
    <x v="8"/>
    <x v="173"/>
    <n v="0"/>
    <n v="0"/>
    <n v="150650"/>
    <n v="150650"/>
  </r>
  <r>
    <s v="FBEE9NGRPSJU"/>
    <s v="Robert Robinson"/>
    <s v="Flats"/>
    <x v="0"/>
    <x v="30"/>
    <x v="8"/>
    <x v="174"/>
    <n v="0"/>
    <n v="0"/>
    <n v="150650"/>
    <n v="150650"/>
  </r>
  <r>
    <s v="FBRVSCQ2N46K"/>
    <s v="Michael Wright"/>
    <s v="Flats"/>
    <x v="3"/>
    <x v="9"/>
    <x v="8"/>
    <x v="174"/>
    <n v="0"/>
    <n v="0"/>
    <n v="150650"/>
    <n v="150650"/>
  </r>
  <r>
    <s v="FBEE9NGRPSJU"/>
    <s v="Robert Robinson"/>
    <s v="Flats"/>
    <x v="0"/>
    <x v="30"/>
    <x v="8"/>
    <x v="174"/>
    <n v="0"/>
    <n v="0"/>
    <n v="150650"/>
    <n v="150650"/>
  </r>
  <r>
    <s v="FBQSVM5KAVG8"/>
    <s v="Karen Allen"/>
    <s v="Pent House"/>
    <x v="3"/>
    <x v="28"/>
    <x v="8"/>
    <x v="176"/>
    <n v="0"/>
    <n v="0"/>
    <n v="150650"/>
    <n v="150650"/>
  </r>
  <r>
    <s v="FBO6JC5RMEVM"/>
    <s v="Karen Rodriguez"/>
    <s v="Terrace"/>
    <x v="7"/>
    <x v="13"/>
    <x v="8"/>
    <x v="176"/>
    <n v="0"/>
    <n v="0"/>
    <n v="150650"/>
    <n v="150650"/>
  </r>
  <r>
    <s v="FBXITR4F3IHF"/>
    <s v="Lisa Clark"/>
    <s v="Flats"/>
    <x v="3"/>
    <x v="14"/>
    <x v="8"/>
    <x v="177"/>
    <n v="0"/>
    <n v="0"/>
    <n v="150650"/>
    <n v="150650"/>
  </r>
  <r>
    <s v="FB6YA8NMIC91"/>
    <s v="Susan Nguyen"/>
    <s v="Flats"/>
    <x v="3"/>
    <x v="14"/>
    <x v="8"/>
    <x v="177"/>
    <n v="0"/>
    <n v="0"/>
    <n v="150650"/>
    <n v="150650"/>
  </r>
  <r>
    <s v="FB6YA8NMIC91"/>
    <s v="Susan Nguyen"/>
    <s v="Flats"/>
    <x v="3"/>
    <x v="14"/>
    <x v="8"/>
    <x v="177"/>
    <n v="0"/>
    <n v="0"/>
    <n v="150650"/>
    <n v="150650"/>
  </r>
  <r>
    <s v="FBL5EY1YBZHS"/>
    <s v="Paul Perez"/>
    <s v="Flats"/>
    <x v="3"/>
    <x v="16"/>
    <x v="8"/>
    <x v="307"/>
    <n v="0"/>
    <n v="0"/>
    <n v="150650"/>
    <n v="150650"/>
  </r>
  <r>
    <s v="FBQOPS68ZFQH"/>
    <s v="Barbara Martinez"/>
    <s v="Flats"/>
    <x v="0"/>
    <x v="0"/>
    <x v="8"/>
    <x v="178"/>
    <n v="0"/>
    <n v="0"/>
    <n v="150650"/>
    <n v="150650"/>
  </r>
  <r>
    <s v="FBPNFOL79JKI"/>
    <s v="Jennifer Robinson"/>
    <s v="Terrace"/>
    <x v="7"/>
    <x v="35"/>
    <x v="8"/>
    <x v="178"/>
    <n v="0"/>
    <n v="0"/>
    <n v="150650"/>
    <n v="150650"/>
  </r>
  <r>
    <s v="FBRHI9HDGJEP"/>
    <s v="Donna Torres"/>
    <s v="Flats"/>
    <x v="3"/>
    <x v="8"/>
    <x v="8"/>
    <x v="178"/>
    <n v="0"/>
    <n v="0"/>
    <n v="150650"/>
    <n v="150650"/>
  </r>
  <r>
    <s v="FBQOPS68ZFQH"/>
    <s v="Barbara Martinez"/>
    <s v="Flats"/>
    <x v="0"/>
    <x v="0"/>
    <x v="8"/>
    <x v="178"/>
    <n v="0"/>
    <n v="0"/>
    <n v="150650"/>
    <n v="150650"/>
  </r>
  <r>
    <s v="FBHGMA37JNOK"/>
    <s v="Richard Allen"/>
    <s v="Flats"/>
    <x v="2"/>
    <x v="6"/>
    <x v="8"/>
    <x v="179"/>
    <n v="0"/>
    <n v="0"/>
    <n v="602600"/>
    <n v="602600"/>
  </r>
  <r>
    <s v="FBKBCU0QCUVF"/>
    <s v="Barbara Ramirez"/>
    <s v="Flats"/>
    <x v="4"/>
    <x v="21"/>
    <x v="8"/>
    <x v="179"/>
    <n v="0"/>
    <n v="0"/>
    <n v="5150"/>
    <n v="5150"/>
  </r>
  <r>
    <s v="FBJZNXJ44SC0"/>
    <s v="Richard Garcia"/>
    <s v="Flats"/>
    <x v="3"/>
    <x v="36"/>
    <x v="8"/>
    <x v="179"/>
    <n v="0"/>
    <n v="0"/>
    <n v="150650"/>
    <n v="150650"/>
  </r>
  <r>
    <s v="FBKBCU0QCUVF"/>
    <s v="Barbara Ramirez"/>
    <s v="Flats"/>
    <x v="4"/>
    <x v="21"/>
    <x v="8"/>
    <x v="179"/>
    <n v="0"/>
    <n v="0"/>
    <n v="150650"/>
    <n v="150650"/>
  </r>
  <r>
    <s v="FBHGMA37JNOK"/>
    <s v="Richard Allen"/>
    <s v="Flats"/>
    <x v="2"/>
    <x v="6"/>
    <x v="8"/>
    <x v="179"/>
    <n v="0"/>
    <n v="0"/>
    <n v="150650"/>
    <n v="150650"/>
  </r>
  <r>
    <s v="FBNU6V6KUPRR"/>
    <s v="Daniel Torres"/>
    <s v="Flats"/>
    <x v="4"/>
    <x v="24"/>
    <x v="8"/>
    <x v="179"/>
    <n v="0"/>
    <n v="0"/>
    <n v="150650"/>
    <n v="150650"/>
  </r>
  <r>
    <s v="FBKCMMX3W310"/>
    <s v="James Clark"/>
    <s v="Flats"/>
    <x v="4"/>
    <x v="33"/>
    <x v="8"/>
    <x v="182"/>
    <n v="0"/>
    <n v="0"/>
    <n v="150650"/>
    <n v="150650"/>
  </r>
  <r>
    <s v="FB54WIKV5YU7"/>
    <s v="Nancy Sanchez"/>
    <s v="Pent House"/>
    <x v="4"/>
    <x v="31"/>
    <x v="8"/>
    <x v="182"/>
    <n v="0"/>
    <n v="0"/>
    <n v="150650"/>
    <n v="150650"/>
  </r>
  <r>
    <s v="FB0RSMB4Y91R"/>
    <s v="Richard Allen"/>
    <s v="Flats"/>
    <x v="2"/>
    <x v="6"/>
    <x v="8"/>
    <x v="183"/>
    <n v="0"/>
    <n v="0"/>
    <n v="150650"/>
    <n v="150650"/>
  </r>
  <r>
    <s v="FBV9CM97U4X2"/>
    <s v="Mark Rodriguez"/>
    <s v="Flats"/>
    <x v="2"/>
    <x v="22"/>
    <x v="8"/>
    <x v="183"/>
    <n v="0"/>
    <n v="0"/>
    <n v="150650"/>
    <n v="150650"/>
  </r>
  <r>
    <s v="FBYI856CLRXI"/>
    <s v="Daniel Torres"/>
    <s v="Flats"/>
    <x v="4"/>
    <x v="24"/>
    <x v="8"/>
    <x v="184"/>
    <n v="0"/>
    <n v="0"/>
    <n v="150650"/>
    <n v="150650"/>
  </r>
  <r>
    <s v="FB7RMAN6GYPJ"/>
    <s v="Elizabeth Martin"/>
    <s v="Flats"/>
    <x v="4"/>
    <x v="29"/>
    <x v="8"/>
    <x v="310"/>
    <n v="0"/>
    <n v="0"/>
    <n v="150650"/>
    <n v="150650"/>
  </r>
  <r>
    <s v="FBTS7CVMJ829"/>
    <s v="Paul Torres"/>
    <s v="Flats"/>
    <x v="2"/>
    <x v="15"/>
    <x v="8"/>
    <x v="310"/>
    <n v="0"/>
    <n v="0"/>
    <n v="150650"/>
    <n v="150650"/>
  </r>
  <r>
    <s v="FBBYL4D3MVKL"/>
    <s v="Jennifer Lewis"/>
    <s v="Terrace"/>
    <x v="7"/>
    <x v="17"/>
    <x v="8"/>
    <x v="185"/>
    <n v="0"/>
    <n v="0"/>
    <n v="150650"/>
    <n v="150650"/>
  </r>
  <r>
    <s v="FBPLVCDUOBQE"/>
    <s v="Dorothy Thomas"/>
    <s v="Flats"/>
    <x v="0"/>
    <x v="37"/>
    <x v="8"/>
    <x v="185"/>
    <n v="0"/>
    <n v="0"/>
    <n v="150650"/>
    <n v="150650"/>
  </r>
  <r>
    <s v="FB0JS1XZF0Y6"/>
    <s v="Emily Thomas"/>
    <s v="Flats"/>
    <x v="0"/>
    <x v="23"/>
    <x v="8"/>
    <x v="185"/>
    <n v="0"/>
    <n v="0"/>
    <n v="150650"/>
    <n v="150650"/>
  </r>
  <r>
    <s v="FB6PNI6XZOHH"/>
    <s v="Paul Torres"/>
    <s v="Flats"/>
    <x v="2"/>
    <x v="15"/>
    <x v="8"/>
    <x v="185"/>
    <n v="0"/>
    <n v="0"/>
    <n v="150650"/>
    <n v="150650"/>
  </r>
  <r>
    <s v="FB3SFU0O47D5"/>
    <s v="Paul Garcia"/>
    <s v="Flats"/>
    <x v="3"/>
    <x v="11"/>
    <x v="8"/>
    <x v="185"/>
    <n v="0"/>
    <n v="0"/>
    <n v="150650"/>
    <n v="150650"/>
  </r>
  <r>
    <s v="FB53JBD3J8FU"/>
    <s v="Michelle Wilson"/>
    <s v="Flats"/>
    <x v="2"/>
    <x v="18"/>
    <x v="8"/>
    <x v="186"/>
    <n v="0"/>
    <n v="0"/>
    <n v="150650"/>
    <n v="150650"/>
  </r>
  <r>
    <s v="FBEMANNCFV8Q"/>
    <s v="Betty Lopez"/>
    <s v="Flats"/>
    <x v="4"/>
    <x v="27"/>
    <x v="8"/>
    <x v="186"/>
    <n v="0"/>
    <n v="0"/>
    <n v="150650"/>
    <n v="150650"/>
  </r>
  <r>
    <s v="FBGRJWGWDY1M"/>
    <s v="Paul Perez"/>
    <s v="Flats"/>
    <x v="3"/>
    <x v="16"/>
    <x v="8"/>
    <x v="187"/>
    <n v="0"/>
    <n v="0"/>
    <n v="150650"/>
    <n v="150650"/>
  </r>
  <r>
    <s v="FB9LY5924QPE"/>
    <s v="Andrew Allen"/>
    <s v="Flats"/>
    <x v="2"/>
    <x v="4"/>
    <x v="8"/>
    <x v="188"/>
    <n v="0"/>
    <n v="0"/>
    <n v="150650"/>
    <n v="150650"/>
  </r>
  <r>
    <s v="FBY73Y3Q0S5V"/>
    <s v="Joshua Harris"/>
    <s v="Terrace"/>
    <x v="7"/>
    <x v="12"/>
    <x v="8"/>
    <x v="188"/>
    <n v="0"/>
    <n v="0"/>
    <n v="150650"/>
    <n v="150650"/>
  </r>
  <r>
    <s v="FBFTWCXCE4NF"/>
    <s v="Nancy Sanchez"/>
    <s v="Pent House"/>
    <x v="4"/>
    <x v="31"/>
    <x v="8"/>
    <x v="188"/>
    <n v="0"/>
    <n v="0"/>
    <n v="150650"/>
    <n v="150650"/>
  </r>
  <r>
    <s v="FBSBGB2C9MIE"/>
    <s v="Robert Robinson"/>
    <s v="Flats"/>
    <x v="0"/>
    <x v="30"/>
    <x v="8"/>
    <x v="189"/>
    <n v="0"/>
    <n v="0"/>
    <n v="150650"/>
    <n v="150650"/>
  </r>
  <r>
    <s v="FB88OZYGPV5V"/>
    <s v="Karen Allen"/>
    <s v="Pent House"/>
    <x v="3"/>
    <x v="28"/>
    <x v="8"/>
    <x v="189"/>
    <n v="0"/>
    <n v="0"/>
    <n v="150650"/>
    <n v="150650"/>
  </r>
  <r>
    <s v="FBVFPCGK7UJN"/>
    <s v="Paul Torres"/>
    <s v="Flats"/>
    <x v="2"/>
    <x v="15"/>
    <x v="8"/>
    <x v="189"/>
    <n v="0"/>
    <n v="0"/>
    <n v="150650"/>
    <n v="150650"/>
  </r>
  <r>
    <s v="FBFZAVV55YZN"/>
    <s v="Susan Nguyen"/>
    <s v="Flats"/>
    <x v="3"/>
    <x v="14"/>
    <x v="8"/>
    <x v="190"/>
    <n v="0"/>
    <n v="0"/>
    <n v="150650"/>
    <n v="150650"/>
  </r>
  <r>
    <s v="FBHYX1RRTIGX"/>
    <s v="Anthony Robinson"/>
    <s v="Flats"/>
    <x v="3"/>
    <x v="7"/>
    <x v="8"/>
    <x v="190"/>
    <n v="0"/>
    <n v="0"/>
    <n v="150650"/>
    <n v="150650"/>
  </r>
  <r>
    <s v="FB8A1AHJT161"/>
    <s v="Karen Rodriguez"/>
    <s v="Terrace"/>
    <x v="7"/>
    <x v="13"/>
    <x v="8"/>
    <x v="190"/>
    <n v="0"/>
    <n v="0"/>
    <n v="150650"/>
    <n v="150650"/>
  </r>
  <r>
    <s v="FB2P0QEBCKWS"/>
    <s v="Michael Wright"/>
    <s v="Flats"/>
    <x v="3"/>
    <x v="9"/>
    <x v="8"/>
    <x v="191"/>
    <n v="0"/>
    <n v="0"/>
    <n v="150650"/>
    <n v="150650"/>
  </r>
  <r>
    <s v="FBTMPK1D1V4B"/>
    <s v="Lisa Clark"/>
    <s v="Flats"/>
    <x v="3"/>
    <x v="14"/>
    <x v="8"/>
    <x v="191"/>
    <n v="0"/>
    <n v="0"/>
    <n v="150650"/>
    <n v="150650"/>
  </r>
  <r>
    <s v="FBTMKATBF45D"/>
    <s v="Sarah Wilson"/>
    <s v="Flats"/>
    <x v="3"/>
    <x v="34"/>
    <x v="8"/>
    <x v="192"/>
    <n v="0"/>
    <n v="0"/>
    <n v="150650"/>
    <n v="150650"/>
  </r>
  <r>
    <s v="FB0S5QTJBCKL"/>
    <s v="Thomas Sanchez"/>
    <s v="Flats"/>
    <x v="0"/>
    <x v="26"/>
    <x v="8"/>
    <x v="193"/>
    <n v="0"/>
    <n v="0"/>
    <n v="150650"/>
    <n v="150650"/>
  </r>
  <r>
    <s v="FBMYEO5BV3SG"/>
    <s v="Paul Garcia"/>
    <s v="Flats"/>
    <x v="3"/>
    <x v="11"/>
    <x v="8"/>
    <x v="193"/>
    <n v="0"/>
    <n v="0"/>
    <n v="150650"/>
    <n v="150650"/>
  </r>
  <r>
    <s v="FBI93EV19T4K"/>
    <s v="Anthony Lopez"/>
    <s v="Flats"/>
    <x v="2"/>
    <x v="25"/>
    <x v="8"/>
    <x v="194"/>
    <n v="0"/>
    <n v="0"/>
    <n v="150650"/>
    <n v="150650"/>
  </r>
  <r>
    <s v="FBZ2FQ2W4Z4B"/>
    <s v="Paul Garcia"/>
    <s v="Flats"/>
    <x v="3"/>
    <x v="11"/>
    <x v="8"/>
    <x v="195"/>
    <n v="0"/>
    <n v="0"/>
    <n v="1253686.44"/>
    <n v="1253686.44"/>
  </r>
  <r>
    <s v="FBIDRDOFZQ19"/>
    <s v="Patricia Williams"/>
    <s v="Flats"/>
    <x v="2"/>
    <x v="2"/>
    <x v="8"/>
    <x v="195"/>
    <n v="0"/>
    <n v="0"/>
    <n v="150650"/>
    <n v="150650"/>
  </r>
  <r>
    <s v="FBAXPP4CQWTW"/>
    <s v="Barbara Ramirez"/>
    <s v="Flats"/>
    <x v="4"/>
    <x v="21"/>
    <x v="8"/>
    <x v="196"/>
    <n v="0"/>
    <n v="0"/>
    <n v="150650"/>
    <n v="150650"/>
  </r>
  <r>
    <s v="FB8NYUFYTGD4"/>
    <s v="Donna Torres"/>
    <s v="Flats"/>
    <x v="3"/>
    <x v="8"/>
    <x v="8"/>
    <x v="198"/>
    <n v="0"/>
    <n v="0"/>
    <n v="150650"/>
    <n v="150650"/>
  </r>
  <r>
    <s v="FBBNTP65POBN"/>
    <s v="Paul Perez"/>
    <s v="Flats"/>
    <x v="3"/>
    <x v="16"/>
    <x v="8"/>
    <x v="317"/>
    <n v="0"/>
    <n v="0"/>
    <n v="150650"/>
    <n v="150650"/>
  </r>
  <r>
    <s v="FB1YT0MWK7Y6"/>
    <s v="Jennifer Robinson"/>
    <s v="Terrace"/>
    <x v="7"/>
    <x v="35"/>
    <x v="8"/>
    <x v="199"/>
    <n v="0"/>
    <n v="0"/>
    <n v="150650"/>
    <n v="150650"/>
  </r>
  <r>
    <s v="FBTYNUIP2N1I"/>
    <s v="Richard Garcia"/>
    <s v="Flats"/>
    <x v="3"/>
    <x v="36"/>
    <x v="8"/>
    <x v="200"/>
    <n v="0"/>
    <n v="0"/>
    <n v="150650"/>
    <n v="150650"/>
  </r>
  <r>
    <s v="FBUP92MGQOY0"/>
    <s v="Donald Jones"/>
    <s v="Flats"/>
    <x v="0"/>
    <x v="10"/>
    <x v="8"/>
    <x v="200"/>
    <n v="0"/>
    <n v="0"/>
    <n v="150650"/>
    <n v="150650"/>
  </r>
  <r>
    <s v="FBJYTX5TG878"/>
    <s v="Barbara Martinez"/>
    <s v="Flats"/>
    <x v="0"/>
    <x v="0"/>
    <x v="8"/>
    <x v="200"/>
    <n v="0"/>
    <n v="0"/>
    <n v="150650"/>
    <n v="150650"/>
  </r>
  <r>
    <s v="FBKOY6VB6X9W"/>
    <s v="Daniel Torres"/>
    <s v="Flats"/>
    <x v="4"/>
    <x v="24"/>
    <x v="8"/>
    <x v="201"/>
    <n v="0"/>
    <n v="0"/>
    <n v="150650"/>
    <n v="150650"/>
  </r>
  <r>
    <s v="FBXKG5P0EPBH"/>
    <s v="Mark Rodriguez"/>
    <s v="Flats"/>
    <x v="2"/>
    <x v="22"/>
    <x v="8"/>
    <x v="201"/>
    <n v="0"/>
    <n v="0"/>
    <n v="150650"/>
    <n v="150650"/>
  </r>
  <r>
    <s v="FB04QZ9D8UKN"/>
    <s v="Elizabeth Martin"/>
    <s v="Flats"/>
    <x v="4"/>
    <x v="29"/>
    <x v="8"/>
    <x v="322"/>
    <n v="0"/>
    <n v="0"/>
    <n v="150650"/>
    <n v="150650"/>
  </r>
  <r>
    <s v="FBAKJS8Q0EJ3"/>
    <s v="Robert Robinson"/>
    <s v="Flats"/>
    <x v="0"/>
    <x v="30"/>
    <x v="8"/>
    <x v="202"/>
    <n v="0"/>
    <n v="0"/>
    <n v="150650"/>
    <n v="150650"/>
  </r>
  <r>
    <s v="FBO4IPHYRBOA"/>
    <s v="Dorothy Thomas"/>
    <s v="Flats"/>
    <x v="0"/>
    <x v="37"/>
    <x v="8"/>
    <x v="202"/>
    <n v="0"/>
    <n v="0"/>
    <n v="150650"/>
    <n v="150650"/>
  </r>
  <r>
    <s v="FBZNJ14NMARI"/>
    <s v="Jennifer Lewis"/>
    <s v="Terrace"/>
    <x v="7"/>
    <x v="17"/>
    <x v="8"/>
    <x v="202"/>
    <n v="0"/>
    <n v="0"/>
    <n v="150650"/>
    <n v="150650"/>
  </r>
  <r>
    <s v="FB4JURDFTIZN"/>
    <s v="Michelle Wilson"/>
    <s v="Flats"/>
    <x v="2"/>
    <x v="18"/>
    <x v="8"/>
    <x v="203"/>
    <n v="0"/>
    <n v="0"/>
    <n v="150650"/>
    <n v="150650"/>
  </r>
  <r>
    <s v="FBLKT0OWOA4E"/>
    <s v="Andrew Allen"/>
    <s v="Flats"/>
    <x v="2"/>
    <x v="4"/>
    <x v="8"/>
    <x v="203"/>
    <n v="0"/>
    <n v="0"/>
    <n v="150650"/>
    <n v="150650"/>
  </r>
  <r>
    <s v="FB0IK2L0Y12S"/>
    <s v="Michael Wright"/>
    <s v="Flats"/>
    <x v="3"/>
    <x v="9"/>
    <x v="8"/>
    <x v="203"/>
    <n v="0"/>
    <n v="0"/>
    <n v="150650"/>
    <n v="150650"/>
  </r>
  <r>
    <s v="FBG1QTPQVN12"/>
    <s v="Nancy Sanchez"/>
    <s v="Pent House"/>
    <x v="4"/>
    <x v="31"/>
    <x v="8"/>
    <x v="203"/>
    <n v="0"/>
    <n v="0"/>
    <n v="150650"/>
    <n v="150650"/>
  </r>
  <r>
    <s v="FBE3BN93U62B"/>
    <s v="Emily Thomas"/>
    <s v="Flats"/>
    <x v="0"/>
    <x v="23"/>
    <x v="8"/>
    <x v="204"/>
    <n v="0"/>
    <n v="0"/>
    <n v="150650"/>
    <n v="150650"/>
  </r>
  <r>
    <s v="FBQXOPXYZGXJ"/>
    <s v="Karen Allen"/>
    <s v="Pent House"/>
    <x v="3"/>
    <x v="28"/>
    <x v="8"/>
    <x v="204"/>
    <n v="0"/>
    <n v="0"/>
    <n v="150650"/>
    <n v="150650"/>
  </r>
  <r>
    <s v="FBQMUJZ0L8OK"/>
    <s v="Betty Lopez"/>
    <s v="Flats"/>
    <x v="4"/>
    <x v="27"/>
    <x v="8"/>
    <x v="204"/>
    <n v="0"/>
    <n v="0"/>
    <n v="150650"/>
    <n v="150650"/>
  </r>
  <r>
    <s v="FB17DW2JFGUB"/>
    <s v="Joshua Harris"/>
    <s v="Terrace"/>
    <x v="7"/>
    <x v="12"/>
    <x v="8"/>
    <x v="204"/>
    <n v="0"/>
    <n v="0"/>
    <n v="150650"/>
    <n v="150650"/>
  </r>
  <r>
    <s v="FBW8ATKVPYWR"/>
    <s v="Anthony Robinson"/>
    <s v="Flats"/>
    <x v="3"/>
    <x v="7"/>
    <x v="8"/>
    <x v="204"/>
    <n v="0"/>
    <n v="0"/>
    <n v="150650"/>
    <n v="150650"/>
  </r>
  <r>
    <s v="FBDYUBE06TZ6"/>
    <s v="James Clark"/>
    <s v="Flats"/>
    <x v="4"/>
    <x v="33"/>
    <x v="8"/>
    <x v="204"/>
    <n v="0"/>
    <n v="0"/>
    <n v="150650"/>
    <n v="150650"/>
  </r>
  <r>
    <s v="FB24WBRYDMTO"/>
    <s v="Elizabeth Martin"/>
    <s v="Flats"/>
    <x v="4"/>
    <x v="29"/>
    <x v="8"/>
    <x v="206"/>
    <n v="0"/>
    <n v="0"/>
    <n v="150650"/>
    <n v="150650"/>
  </r>
  <r>
    <s v="FBEEC7158N7Y"/>
    <s v="Jennifer Robinson"/>
    <s v="Terrace"/>
    <x v="7"/>
    <x v="35"/>
    <x v="8"/>
    <x v="207"/>
    <n v="0"/>
    <n v="0"/>
    <n v="150650"/>
    <n v="150650"/>
  </r>
  <r>
    <s v="FBGO11FYO8ZF"/>
    <s v="Karen Rodriguez"/>
    <s v="Terrace"/>
    <x v="7"/>
    <x v="13"/>
    <x v="8"/>
    <x v="207"/>
    <n v="0"/>
    <n v="0"/>
    <n v="150650"/>
    <n v="150650"/>
  </r>
  <r>
    <s v="FBX1TLPNMJD2"/>
    <s v="Donna Torres"/>
    <s v="Flats"/>
    <x v="3"/>
    <x v="8"/>
    <x v="8"/>
    <x v="208"/>
    <n v="0"/>
    <n v="0"/>
    <n v="150650"/>
    <n v="150650"/>
  </r>
  <r>
    <s v="FBYACAL4D12D"/>
    <s v="Andrew Allen"/>
    <s v="Flats"/>
    <x v="2"/>
    <x v="4"/>
    <x v="8"/>
    <x v="209"/>
    <n v="0"/>
    <n v="0"/>
    <n v="150650"/>
    <n v="301300"/>
  </r>
  <r>
    <s v="FBDJVE95TEFZ"/>
    <s v="Anthony Lopez"/>
    <s v="Flats"/>
    <x v="2"/>
    <x v="25"/>
    <x v="8"/>
    <x v="210"/>
    <n v="0"/>
    <n v="0"/>
    <n v="150650"/>
    <n v="150650"/>
  </r>
  <r>
    <s v="FBIF6LLXOJAK"/>
    <s v="Barbara Ramirez"/>
    <s v="Flats"/>
    <x v="4"/>
    <x v="21"/>
    <x v="8"/>
    <x v="211"/>
    <n v="0"/>
    <n v="0"/>
    <n v="150650"/>
    <n v="150650"/>
  </r>
  <r>
    <s v="FB11IIYYEY72"/>
    <s v="Sarah Wilson"/>
    <s v="Flats"/>
    <x v="3"/>
    <x v="34"/>
    <x v="8"/>
    <x v="326"/>
    <n v="0"/>
    <n v="0"/>
    <n v="150650"/>
    <n v="150650"/>
  </r>
  <r>
    <s v="FBK8QUMYMOVR"/>
    <s v="Richard Garcia"/>
    <s v="Flats"/>
    <x v="3"/>
    <x v="36"/>
    <x v="8"/>
    <x v="212"/>
    <n v="0"/>
    <n v="0"/>
    <n v="150650"/>
    <n v="150650"/>
  </r>
  <r>
    <s v="FB8V5IJSTA6G"/>
    <s v="Paul Torres"/>
    <s v="Flats"/>
    <x v="2"/>
    <x v="15"/>
    <x v="8"/>
    <x v="212"/>
    <n v="0"/>
    <n v="0"/>
    <n v="150650"/>
    <n v="150650"/>
  </r>
  <r>
    <s v="FBDW5BKUSJKY"/>
    <s v="Patricia Williams"/>
    <s v="Flats"/>
    <x v="2"/>
    <x v="2"/>
    <x v="8"/>
    <x v="212"/>
    <n v="0"/>
    <n v="0"/>
    <n v="150650"/>
    <n v="150650"/>
  </r>
  <r>
    <s v="FB0T0DNHR0OJ"/>
    <s v="Paul Perez"/>
    <s v="Flats"/>
    <x v="3"/>
    <x v="16"/>
    <x v="8"/>
    <x v="213"/>
    <n v="0"/>
    <n v="0"/>
    <n v="150650"/>
    <n v="150650"/>
  </r>
  <r>
    <s v="FBWHQXGBQI72"/>
    <s v="Mark Rodriguez"/>
    <s v="Flats"/>
    <x v="2"/>
    <x v="22"/>
    <x v="8"/>
    <x v="213"/>
    <n v="0"/>
    <n v="0"/>
    <n v="150650"/>
    <n v="150650"/>
  </r>
  <r>
    <s v="FBZBKFXI7VBJ"/>
    <s v="Lisa Clark"/>
    <s v="Flats"/>
    <x v="3"/>
    <x v="14"/>
    <x v="8"/>
    <x v="214"/>
    <n v="0"/>
    <n v="0"/>
    <n v="150650"/>
    <n v="150650"/>
  </r>
  <r>
    <s v="FB5Q14S2YD8L"/>
    <s v="Susan Nguyen"/>
    <s v="Flats"/>
    <x v="3"/>
    <x v="14"/>
    <x v="8"/>
    <x v="215"/>
    <n v="0"/>
    <n v="0"/>
    <n v="150650"/>
    <n v="150650"/>
  </r>
  <r>
    <s v="FB5Q14S2YD8L"/>
    <s v="Susan Nguyen"/>
    <s v="Flats"/>
    <x v="3"/>
    <x v="14"/>
    <x v="8"/>
    <x v="215"/>
    <n v="0"/>
    <n v="0"/>
    <n v="150650"/>
    <n v="150650"/>
  </r>
  <r>
    <s v="FB3V5J8PL5ED"/>
    <s v="Donald Jones"/>
    <s v="Flats"/>
    <x v="0"/>
    <x v="10"/>
    <x v="8"/>
    <x v="216"/>
    <n v="0"/>
    <n v="0"/>
    <n v="150650"/>
    <n v="150650"/>
  </r>
  <r>
    <s v="FBDL8AI9IFET"/>
    <s v="Mary Hernandez"/>
    <s v="Flats"/>
    <x v="0"/>
    <x v="32"/>
    <x v="8"/>
    <x v="217"/>
    <n v="0"/>
    <n v="0"/>
    <n v="150650"/>
    <n v="150650"/>
  </r>
  <r>
    <s v="FB3W1UHYLE38"/>
    <s v="Mary Hernandez"/>
    <s v="Flats"/>
    <x v="0"/>
    <x v="32"/>
    <x v="8"/>
    <x v="217"/>
    <n v="0"/>
    <n v="0"/>
    <n v="150650"/>
    <n v="150650"/>
  </r>
  <r>
    <s v="FB94MJH9AQ8C"/>
    <s v="Mary Hernandez"/>
    <s v="Flats"/>
    <x v="0"/>
    <x v="32"/>
    <x v="8"/>
    <x v="217"/>
    <n v="0"/>
    <n v="0"/>
    <n v="150650"/>
    <n v="150650"/>
  </r>
  <r>
    <s v="FB94MJH9AQ8C"/>
    <s v="Mary Hernandez"/>
    <s v="Flats"/>
    <x v="0"/>
    <x v="32"/>
    <x v="8"/>
    <x v="217"/>
    <n v="0"/>
    <n v="0"/>
    <n v="150650"/>
    <n v="150650"/>
  </r>
  <r>
    <s v="FBD0OG1Y2CQO"/>
    <s v="Daniel Torres"/>
    <s v="Flats"/>
    <x v="4"/>
    <x v="24"/>
    <x v="8"/>
    <x v="218"/>
    <n v="0"/>
    <n v="0"/>
    <n v="150650"/>
    <n v="150650"/>
  </r>
  <r>
    <s v="FBPTGG042M4H"/>
    <s v="Thomas Sanchez"/>
    <s v="Flats"/>
    <x v="0"/>
    <x v="26"/>
    <x v="8"/>
    <x v="335"/>
    <n v="0"/>
    <n v="0"/>
    <n v="150650"/>
    <n v="150650"/>
  </r>
  <r>
    <s v="FBHGGAUECN5M"/>
    <s v="Barbara Ramirez"/>
    <s v="Flats"/>
    <x v="4"/>
    <x v="21"/>
    <x v="9"/>
    <x v="45"/>
    <n v="0"/>
    <n v="0"/>
    <n v="100000"/>
    <n v="100000"/>
  </r>
  <r>
    <s v="FB3W1UHYLE38"/>
    <s v="Mary Hernandez"/>
    <s v="Flats"/>
    <x v="0"/>
    <x v="32"/>
    <x v="9"/>
    <x v="217"/>
    <n v="0"/>
    <n v="0"/>
    <n v="200000"/>
    <n v="200000"/>
  </r>
  <r>
    <s v="FBDU9VGX241K"/>
    <s v="Anthony Lopez"/>
    <s v="Flats"/>
    <x v="2"/>
    <x v="25"/>
    <x v="10"/>
    <x v="10"/>
    <n v="0"/>
    <n v="0"/>
    <n v="113000"/>
    <n v="113000"/>
  </r>
  <r>
    <s v="FBM7AEDLM7HK"/>
    <s v="Barbara Martinez"/>
    <s v="Flats"/>
    <x v="0"/>
    <x v="0"/>
    <x v="10"/>
    <x v="15"/>
    <n v="0"/>
    <n v="0"/>
    <n v="110000"/>
    <n v="110000"/>
  </r>
  <r>
    <s v="FB4LLM6IN50W"/>
    <s v="Daniel Ramirez"/>
    <s v="Flats"/>
    <x v="0"/>
    <x v="19"/>
    <x v="11"/>
    <x v="16"/>
    <n v="0"/>
    <n v="0"/>
    <n v="10000"/>
    <n v="10000"/>
  </r>
  <r>
    <s v="FB52CLMO075Q"/>
    <s v="Mary Hernandez"/>
    <s v="Flats"/>
    <x v="0"/>
    <x v="32"/>
    <x v="11"/>
    <x v="16"/>
    <n v="0"/>
    <n v="0"/>
    <n v="10000"/>
    <n v="10000"/>
  </r>
  <r>
    <s v="FBYGU5395MYM"/>
    <s v="Anthony Lopez"/>
    <s v="Flats"/>
    <x v="2"/>
    <x v="25"/>
    <x v="12"/>
    <x v="36"/>
    <n v="0"/>
    <n v="0"/>
    <n v="111275.53"/>
    <n v="111275.53"/>
  </r>
  <r>
    <s v="FB300R2SYCG3"/>
    <s v="Michael Wright"/>
    <s v="Flats"/>
    <x v="3"/>
    <x v="9"/>
    <x v="12"/>
    <x v="292"/>
    <n v="0"/>
    <n v="0"/>
    <n v="237681.39"/>
    <n v="237681.39"/>
  </r>
  <r>
    <s v="FBEJDBA0BHUW"/>
    <s v="Karen Allen"/>
    <s v="Pent House"/>
    <x v="3"/>
    <x v="28"/>
    <x v="12"/>
    <x v="293"/>
    <n v="0"/>
    <n v="0"/>
    <n v="237681.39"/>
    <n v="237681.39"/>
  </r>
  <r>
    <s v="FBW19XXMCKQP"/>
    <s v="Anthony Lopez"/>
    <s v="Flats"/>
    <x v="2"/>
    <x v="25"/>
    <x v="12"/>
    <x v="293"/>
    <n v="0"/>
    <n v="0"/>
    <n v="237681.39"/>
    <n v="237681.39"/>
  </r>
  <r>
    <s v="FBGYICYHA46M"/>
    <s v="Anthony Robinson"/>
    <s v="Flats"/>
    <x v="3"/>
    <x v="7"/>
    <x v="12"/>
    <x v="293"/>
    <n v="0"/>
    <n v="0"/>
    <n v="237681.39"/>
    <n v="237681.39"/>
  </r>
  <r>
    <s v="FBKSJQRW3RFM"/>
    <s v="Elizabeth Martin"/>
    <s v="Flats"/>
    <x v="4"/>
    <x v="29"/>
    <x v="12"/>
    <x v="293"/>
    <n v="0"/>
    <n v="0"/>
    <n v="237681.39"/>
    <n v="237681.39"/>
  </r>
  <r>
    <s v="FBFGW2XT24XF"/>
    <s v="Joshua Harris"/>
    <s v="Terrace"/>
    <x v="7"/>
    <x v="12"/>
    <x v="12"/>
    <x v="144"/>
    <n v="0"/>
    <n v="0"/>
    <n v="237681.39"/>
    <n v="237681.39"/>
  </r>
  <r>
    <s v="FBXHN2MYZLET"/>
    <s v="Nancy Sanchez"/>
    <s v="Pent House"/>
    <x v="4"/>
    <x v="31"/>
    <x v="12"/>
    <x v="144"/>
    <n v="0"/>
    <n v="0"/>
    <n v="237681.39"/>
    <n v="237681.39"/>
  </r>
  <r>
    <s v="FBFCOHJN6X3J"/>
    <s v="Donna Torres"/>
    <s v="Flats"/>
    <x v="3"/>
    <x v="8"/>
    <x v="12"/>
    <x v="144"/>
    <n v="0"/>
    <n v="0"/>
    <n v="237681.39"/>
    <n v="237681.39"/>
  </r>
  <r>
    <s v="FBWXNR2NL519"/>
    <s v="Sarah Wilson"/>
    <s v="Flats"/>
    <x v="3"/>
    <x v="34"/>
    <x v="12"/>
    <x v="146"/>
    <n v="0"/>
    <n v="0"/>
    <n v="237681.39"/>
    <n v="237681.39"/>
  </r>
  <r>
    <s v="FBH4RMEI5MKH"/>
    <s v="Michelle Wilson"/>
    <s v="Flats"/>
    <x v="2"/>
    <x v="18"/>
    <x v="12"/>
    <x v="147"/>
    <n v="0"/>
    <n v="0"/>
    <n v="237681.39"/>
    <n v="237681.39"/>
  </r>
  <r>
    <s v="FBAM969HVFOC"/>
    <s v="Lisa Clark"/>
    <s v="Flats"/>
    <x v="3"/>
    <x v="14"/>
    <x v="12"/>
    <x v="149"/>
    <n v="0"/>
    <n v="0"/>
    <n v="237681.39"/>
    <n v="237681.39"/>
  </r>
  <r>
    <s v="FBE7R6PST1VN"/>
    <s v="Andrew Allen"/>
    <s v="Flats"/>
    <x v="2"/>
    <x v="4"/>
    <x v="12"/>
    <x v="149"/>
    <n v="0"/>
    <n v="0"/>
    <n v="237681.39"/>
    <n v="237681.39"/>
  </r>
  <r>
    <s v="FB5V5YFEX7GN"/>
    <s v="Karen Rodriguez"/>
    <s v="Terrace"/>
    <x v="7"/>
    <x v="13"/>
    <x v="12"/>
    <x v="149"/>
    <n v="0"/>
    <n v="0"/>
    <n v="237681.39"/>
    <n v="237681.39"/>
  </r>
  <r>
    <s v="FBWDJZ9QHZVU"/>
    <s v="James Clark"/>
    <s v="Flats"/>
    <x v="4"/>
    <x v="33"/>
    <x v="12"/>
    <x v="151"/>
    <n v="0"/>
    <n v="0"/>
    <n v="237681.39"/>
    <n v="237681.39"/>
  </r>
  <r>
    <s v="FB4GH610RI3H"/>
    <s v="Robert Robinson"/>
    <s v="Flats"/>
    <x v="0"/>
    <x v="30"/>
    <x v="12"/>
    <x v="154"/>
    <n v="0"/>
    <n v="0"/>
    <n v="237681.39"/>
    <n v="237681.39"/>
  </r>
  <r>
    <s v="FB2Q5V9CRMSZ"/>
    <s v="Patricia Williams"/>
    <s v="Flats"/>
    <x v="2"/>
    <x v="2"/>
    <x v="12"/>
    <x v="156"/>
    <n v="0"/>
    <n v="0"/>
    <n v="237681.39"/>
    <n v="237681.39"/>
  </r>
  <r>
    <s v="FB491MT30QHI"/>
    <s v="Paul Torres"/>
    <s v="Flats"/>
    <x v="2"/>
    <x v="15"/>
    <x v="12"/>
    <x v="299"/>
    <n v="0"/>
    <n v="0"/>
    <n v="237681.39"/>
    <n v="237681.39"/>
  </r>
  <r>
    <s v="FBW9780LSIHT"/>
    <s v="Barbara Ramirez"/>
    <s v="Flats"/>
    <x v="4"/>
    <x v="21"/>
    <x v="12"/>
    <x v="157"/>
    <n v="0"/>
    <n v="0"/>
    <n v="237681.39"/>
    <n v="237681.39"/>
  </r>
  <r>
    <s v="FBAMM839LE3A"/>
    <s v="Daniel Torres"/>
    <s v="Flats"/>
    <x v="4"/>
    <x v="24"/>
    <x v="12"/>
    <x v="301"/>
    <n v="0"/>
    <n v="0"/>
    <n v="237681.39"/>
    <n v="237681.39"/>
  </r>
  <r>
    <s v="FBRLTMB3F8AV"/>
    <s v="Donald Jones"/>
    <s v="Flats"/>
    <x v="0"/>
    <x v="10"/>
    <x v="12"/>
    <x v="165"/>
    <n v="0"/>
    <n v="0"/>
    <n v="237681.39"/>
    <n v="237681.39"/>
  </r>
  <r>
    <s v="FB41Z04HC3QH"/>
    <s v="Thomas Sanchez"/>
    <s v="Flats"/>
    <x v="0"/>
    <x v="26"/>
    <x v="12"/>
    <x v="168"/>
    <n v="0"/>
    <n v="0"/>
    <n v="237681.39"/>
    <n v="237681.39"/>
  </r>
  <r>
    <s v="FB6YA8NMIC91"/>
    <s v="Susan Nguyen"/>
    <s v="Flats"/>
    <x v="3"/>
    <x v="14"/>
    <x v="12"/>
    <x v="177"/>
    <n v="0"/>
    <n v="0"/>
    <n v="237681.39"/>
    <n v="237681.39"/>
  </r>
  <r>
    <s v="FBQOPS68ZFQH"/>
    <s v="Barbara Martinez"/>
    <s v="Flats"/>
    <x v="0"/>
    <x v="0"/>
    <x v="12"/>
    <x v="178"/>
    <n v="0"/>
    <n v="0"/>
    <n v="237681.39"/>
    <n v="237681.39"/>
  </r>
  <r>
    <s v="FBJZNXJ44SC0"/>
    <s v="Richard Garcia"/>
    <s v="Flats"/>
    <x v="3"/>
    <x v="36"/>
    <x v="12"/>
    <x v="179"/>
    <n v="0"/>
    <n v="0"/>
    <n v="237681.39"/>
    <n v="237681.39"/>
  </r>
  <r>
    <s v="FBHGMA37JNOK"/>
    <s v="Richard Allen"/>
    <s v="Flats"/>
    <x v="2"/>
    <x v="6"/>
    <x v="12"/>
    <x v="179"/>
    <n v="0"/>
    <n v="0"/>
    <n v="237681.39"/>
    <n v="237681.39"/>
  </r>
  <r>
    <s v="FBFT91HCSYGV"/>
    <s v="Paul Perez"/>
    <s v="Flats"/>
    <x v="3"/>
    <x v="16"/>
    <x v="13"/>
    <x v="146"/>
    <n v="0"/>
    <n v="0"/>
    <n v="59420.35"/>
    <n v="59420.35"/>
  </r>
  <r>
    <s v="FBFCDK7M98DQ"/>
    <s v="Barbara Martinez"/>
    <s v="Flats"/>
    <x v="0"/>
    <x v="0"/>
    <x v="14"/>
    <x v="0"/>
    <n v="0"/>
    <n v="0"/>
    <n v="10000"/>
    <n v="10000"/>
  </r>
  <r>
    <s v="FBNCBJF57W9S"/>
    <s v="Block D Common Area"/>
    <s v="Office"/>
    <x v="3"/>
    <x v="1"/>
    <x v="14"/>
    <x v="0"/>
    <n v="0"/>
    <n v="0"/>
    <n v="10000"/>
    <n v="10000"/>
  </r>
  <r>
    <s v="FBJP8CYMRKX3"/>
    <s v="Andrew Allen"/>
    <s v="Flats"/>
    <x v="2"/>
    <x v="4"/>
    <x v="14"/>
    <x v="1"/>
    <n v="0"/>
    <n v="0"/>
    <n v="10000"/>
    <n v="10000"/>
  </r>
  <r>
    <s v="FBZWBY2OZT9F"/>
    <s v="Richard Allen"/>
    <s v="Flats"/>
    <x v="2"/>
    <x v="6"/>
    <x v="14"/>
    <x v="2"/>
    <n v="0"/>
    <n v="0"/>
    <n v="10000"/>
    <n v="60000"/>
  </r>
  <r>
    <s v="FBE6JP8GIPM3"/>
    <s v="Susan Nguyen"/>
    <s v="Flats"/>
    <x v="3"/>
    <x v="14"/>
    <x v="14"/>
    <x v="4"/>
    <n v="0"/>
    <n v="0"/>
    <n v="10000"/>
    <n v="10000"/>
  </r>
  <r>
    <s v="FB3QW638HYG1"/>
    <s v="Paul Perez"/>
    <s v="Flats"/>
    <x v="3"/>
    <x v="16"/>
    <x v="14"/>
    <x v="4"/>
    <n v="0"/>
    <n v="0"/>
    <n v="10000"/>
    <n v="10000"/>
  </r>
  <r>
    <s v="FB0RTX60IXBX"/>
    <s v="Thomas Sanchez"/>
    <s v="Flats"/>
    <x v="0"/>
    <x v="26"/>
    <x v="14"/>
    <x v="4"/>
    <n v="0"/>
    <n v="0"/>
    <n v="47500"/>
    <n v="47500"/>
  </r>
  <r>
    <s v="FBNER5BBI78Q"/>
    <s v="Jennifer Lewis"/>
    <s v="Terrace"/>
    <x v="7"/>
    <x v="17"/>
    <x v="14"/>
    <x v="6"/>
    <n v="0"/>
    <n v="0"/>
    <n v="10000"/>
    <n v="10000"/>
  </r>
  <r>
    <s v="FB1V1X8433OF"/>
    <s v="Michelle Wilson"/>
    <s v="Flats"/>
    <x v="2"/>
    <x v="18"/>
    <x v="14"/>
    <x v="6"/>
    <n v="0"/>
    <n v="0"/>
    <n v="10000"/>
    <n v="10000"/>
  </r>
  <r>
    <s v="FB6ZB3G8TGZR"/>
    <s v="Patricia Williams"/>
    <s v="Flats"/>
    <x v="2"/>
    <x v="2"/>
    <x v="14"/>
    <x v="6"/>
    <n v="0"/>
    <n v="0"/>
    <n v="10000"/>
    <n v="10000"/>
  </r>
  <r>
    <s v="FB6OJ7XIRGW9"/>
    <s v="Susan Nguyen"/>
    <s v="Flats"/>
    <x v="3"/>
    <x v="14"/>
    <x v="14"/>
    <x v="6"/>
    <n v="0"/>
    <n v="0"/>
    <n v="10000"/>
    <n v="10000"/>
  </r>
  <r>
    <s v="FBEJOEQGC1DE"/>
    <s v="Williams Jef"/>
    <s v="Flats"/>
    <x v="4"/>
    <x v="3"/>
    <x v="14"/>
    <x v="6"/>
    <n v="0"/>
    <n v="0"/>
    <n v="10000"/>
    <n v="10000"/>
  </r>
  <r>
    <s v="FBYZ912XK77R"/>
    <s v="Daniel Ramirez"/>
    <s v="Flats"/>
    <x v="0"/>
    <x v="19"/>
    <x v="14"/>
    <x v="6"/>
    <n v="0"/>
    <n v="0"/>
    <n v="10000"/>
    <n v="10000"/>
  </r>
  <r>
    <s v="FB9VLFFLSFRY"/>
    <s v="Mark Rodriguez"/>
    <s v="Flats"/>
    <x v="2"/>
    <x v="22"/>
    <x v="14"/>
    <x v="7"/>
    <n v="0"/>
    <n v="0"/>
    <n v="10000"/>
    <n v="10000"/>
  </r>
  <r>
    <s v="FBSN4VE4H39H"/>
    <s v="Anthony Robinson"/>
    <s v="Flats"/>
    <x v="3"/>
    <x v="7"/>
    <x v="14"/>
    <x v="8"/>
    <n v="0"/>
    <n v="0"/>
    <n v="10000"/>
    <n v="10000"/>
  </r>
  <r>
    <s v="FBG4MWEXADFN"/>
    <s v="Daniel Torres"/>
    <s v="Flats"/>
    <x v="4"/>
    <x v="24"/>
    <x v="14"/>
    <x v="9"/>
    <n v="0"/>
    <n v="0"/>
    <n v="10000"/>
    <n v="10000"/>
  </r>
  <r>
    <s v="FBDU9VGX241K"/>
    <s v="Anthony Lopez"/>
    <s v="Flats"/>
    <x v="2"/>
    <x v="25"/>
    <x v="14"/>
    <x v="10"/>
    <n v="0"/>
    <n v="0"/>
    <n v="10000"/>
    <n v="10000"/>
  </r>
  <r>
    <s v="FB6ETSFWP2AU"/>
    <s v="Thomas Sanchez"/>
    <s v="Flats"/>
    <x v="0"/>
    <x v="26"/>
    <x v="14"/>
    <x v="11"/>
    <n v="0"/>
    <n v="0"/>
    <n v="10000"/>
    <n v="10000"/>
  </r>
  <r>
    <s v="FBEPQXHWWHRV"/>
    <s v="Karen Allen"/>
    <s v="Pent House"/>
    <x v="3"/>
    <x v="28"/>
    <x v="14"/>
    <x v="13"/>
    <n v="0"/>
    <n v="0"/>
    <n v="10000"/>
    <n v="10000"/>
  </r>
  <r>
    <s v="FBX7QZ97YW5N"/>
    <s v="Lisa Clark"/>
    <s v="Flats"/>
    <x v="3"/>
    <x v="14"/>
    <x v="14"/>
    <x v="13"/>
    <n v="0"/>
    <n v="0"/>
    <n v="10000"/>
    <n v="10000"/>
  </r>
  <r>
    <s v="FBWHEE3PU981"/>
    <s v="Robert Robinson"/>
    <s v="Flats"/>
    <x v="0"/>
    <x v="30"/>
    <x v="14"/>
    <x v="15"/>
    <n v="0"/>
    <n v="0"/>
    <n v="10000"/>
    <n v="20000"/>
  </r>
  <r>
    <s v="FBM7AEDLM7HK"/>
    <s v="Barbara Martinez"/>
    <s v="Flats"/>
    <x v="0"/>
    <x v="0"/>
    <x v="14"/>
    <x v="15"/>
    <n v="0"/>
    <n v="0"/>
    <n v="47500"/>
    <n v="47500"/>
  </r>
  <r>
    <s v="FB4LLM6IN50W"/>
    <s v="Daniel Ramirez"/>
    <s v="Flats"/>
    <x v="0"/>
    <x v="19"/>
    <x v="14"/>
    <x v="16"/>
    <n v="0"/>
    <n v="0"/>
    <n v="10000"/>
    <n v="10000"/>
  </r>
  <r>
    <s v="FBHMTSH4ED57"/>
    <s v="Patricia Williams"/>
    <s v="Flats"/>
    <x v="2"/>
    <x v="2"/>
    <x v="14"/>
    <x v="16"/>
    <n v="0"/>
    <n v="0"/>
    <n v="10000"/>
    <n v="10000"/>
  </r>
  <r>
    <s v="FBTESEBCGNPJ"/>
    <s v="Paul Garcia"/>
    <s v="Flats"/>
    <x v="3"/>
    <x v="11"/>
    <x v="14"/>
    <x v="16"/>
    <n v="0"/>
    <n v="0"/>
    <n v="10000"/>
    <n v="10000"/>
  </r>
  <r>
    <s v="FBCQW66XXOCX"/>
    <s v="Thomas Sanchez"/>
    <s v="Flats"/>
    <x v="0"/>
    <x v="26"/>
    <x v="14"/>
    <x v="17"/>
    <n v="0"/>
    <n v="0"/>
    <n v="10000"/>
    <n v="10000"/>
  </r>
  <r>
    <s v="FBIETRL8ANO1"/>
    <s v="Joshua Harris"/>
    <s v="Terrace"/>
    <x v="7"/>
    <x v="12"/>
    <x v="14"/>
    <x v="18"/>
    <n v="0"/>
    <n v="0"/>
    <n v="10000"/>
    <n v="10000"/>
  </r>
  <r>
    <s v="FBOTEONCR45D"/>
    <s v="Anthony Robinson"/>
    <s v="Flats"/>
    <x v="3"/>
    <x v="7"/>
    <x v="14"/>
    <x v="19"/>
    <n v="0"/>
    <n v="0"/>
    <n v="10000"/>
    <n v="10000"/>
  </r>
  <r>
    <s v="FBT9YEH2225M"/>
    <s v="Michelle Wilson"/>
    <s v="Flats"/>
    <x v="2"/>
    <x v="18"/>
    <x v="14"/>
    <x v="20"/>
    <n v="0"/>
    <n v="0"/>
    <n v="10000"/>
    <n v="10000"/>
  </r>
  <r>
    <s v="FBCCV4YZO149"/>
    <s v="Karen Allen"/>
    <s v="Pent House"/>
    <x v="3"/>
    <x v="28"/>
    <x v="14"/>
    <x v="23"/>
    <n v="0"/>
    <n v="0"/>
    <n v="10000"/>
    <n v="10000"/>
  </r>
  <r>
    <s v="FB0HBJJ9MNIT"/>
    <s v="Sarah Wilson"/>
    <s v="Flats"/>
    <x v="3"/>
    <x v="34"/>
    <x v="14"/>
    <x v="24"/>
    <n v="0"/>
    <n v="0"/>
    <n v="10000"/>
    <n v="10000"/>
  </r>
  <r>
    <s v="FBBOJP13HJ1Z"/>
    <s v="Lisa Clark"/>
    <s v="Flats"/>
    <x v="3"/>
    <x v="14"/>
    <x v="14"/>
    <x v="25"/>
    <n v="0"/>
    <n v="0"/>
    <n v="10000"/>
    <n v="10000"/>
  </r>
  <r>
    <s v="FBZ8NIYZPIUS"/>
    <s v="Jennifer Lewis"/>
    <s v="Terrace"/>
    <x v="7"/>
    <x v="17"/>
    <x v="14"/>
    <x v="26"/>
    <n v="0"/>
    <n v="0"/>
    <n v="10000"/>
    <n v="10000"/>
  </r>
  <r>
    <s v="FB4UE12QFH8M"/>
    <s v="Paul Garcia"/>
    <s v="Flats"/>
    <x v="3"/>
    <x v="11"/>
    <x v="14"/>
    <x v="222"/>
    <n v="0"/>
    <n v="0"/>
    <n v="10000"/>
    <n v="10000"/>
  </r>
  <r>
    <s v="FBVN57QSKOBT"/>
    <s v="Andrew Allen"/>
    <s v="Flats"/>
    <x v="2"/>
    <x v="4"/>
    <x v="14"/>
    <x v="27"/>
    <n v="0"/>
    <n v="0"/>
    <n v="10000"/>
    <n v="10000"/>
  </r>
  <r>
    <s v="FB6OHVKA8QTH"/>
    <s v="Daniel Torres"/>
    <s v="Flats"/>
    <x v="4"/>
    <x v="24"/>
    <x v="14"/>
    <x v="30"/>
    <n v="0"/>
    <n v="0"/>
    <n v="10000"/>
    <n v="10000"/>
  </r>
  <r>
    <s v="FB1VRZXBXW8I"/>
    <s v="Barbara Martinez"/>
    <s v="Flats"/>
    <x v="0"/>
    <x v="0"/>
    <x v="14"/>
    <x v="32"/>
    <n v="0"/>
    <n v="0"/>
    <n v="10000"/>
    <n v="10000"/>
  </r>
  <r>
    <s v="FBC8W8C71EB9"/>
    <s v="Donna Torres"/>
    <s v="Flats"/>
    <x v="3"/>
    <x v="8"/>
    <x v="14"/>
    <x v="32"/>
    <n v="0"/>
    <n v="0"/>
    <n v="10000"/>
    <n v="10000"/>
  </r>
  <r>
    <s v="FB8PRK35HOBF"/>
    <s v="Sarah Wilson"/>
    <s v="Flats"/>
    <x v="3"/>
    <x v="34"/>
    <x v="14"/>
    <x v="33"/>
    <n v="0"/>
    <n v="0"/>
    <n v="18250"/>
    <n v="18250"/>
  </r>
  <r>
    <s v="FBK0ETWML4DP"/>
    <s v="Sarah Wilson"/>
    <s v="Flats"/>
    <x v="3"/>
    <x v="34"/>
    <x v="14"/>
    <x v="33"/>
    <n v="0"/>
    <n v="0"/>
    <n v="10000"/>
    <n v="10000"/>
  </r>
  <r>
    <s v="FB69I764WUD5"/>
    <s v="Karen Rodriguez"/>
    <s v="Terrace"/>
    <x v="7"/>
    <x v="13"/>
    <x v="14"/>
    <x v="33"/>
    <n v="0"/>
    <n v="0"/>
    <n v="10000"/>
    <n v="10000"/>
  </r>
  <r>
    <s v="FBGTR5598A2K"/>
    <s v="Susan Nguyen"/>
    <s v="Flats"/>
    <x v="3"/>
    <x v="14"/>
    <x v="14"/>
    <x v="33"/>
    <n v="0"/>
    <n v="0"/>
    <n v="10000"/>
    <n v="10000"/>
  </r>
  <r>
    <s v="FB9F5YAKQO8Z"/>
    <s v="Emily Thomas"/>
    <s v="Flats"/>
    <x v="0"/>
    <x v="23"/>
    <x v="14"/>
    <x v="33"/>
    <n v="0"/>
    <n v="0"/>
    <n v="10000"/>
    <n v="10000"/>
  </r>
  <r>
    <s v="FBKJDA2K00SS"/>
    <s v="Williams Jef"/>
    <s v="Flats"/>
    <x v="4"/>
    <x v="3"/>
    <x v="14"/>
    <x v="34"/>
    <n v="0"/>
    <n v="0"/>
    <n v="10000"/>
    <n v="10000"/>
  </r>
  <r>
    <s v="FBTYSUFE03PW"/>
    <s v="Paul Perez"/>
    <s v="Flats"/>
    <x v="3"/>
    <x v="16"/>
    <x v="14"/>
    <x v="34"/>
    <n v="0"/>
    <n v="0"/>
    <n v="10000"/>
    <n v="10000"/>
  </r>
  <r>
    <s v="FBFEC5XR9R71"/>
    <s v="Joshua Harris"/>
    <s v="Terrace"/>
    <x v="7"/>
    <x v="12"/>
    <x v="14"/>
    <x v="34"/>
    <n v="0"/>
    <n v="0"/>
    <n v="10000"/>
    <n v="10000"/>
  </r>
  <r>
    <s v="FBB0YJUDT87M"/>
    <s v="Patricia Williams"/>
    <s v="Flats"/>
    <x v="2"/>
    <x v="2"/>
    <x v="14"/>
    <x v="340"/>
    <n v="0"/>
    <n v="0"/>
    <n v="10000"/>
    <n v="10000"/>
  </r>
  <r>
    <s v="FB9ZKAUEIM8R"/>
    <s v="Jennifer Robinson"/>
    <s v="Terrace"/>
    <x v="7"/>
    <x v="35"/>
    <x v="14"/>
    <x v="35"/>
    <n v="0"/>
    <n v="0"/>
    <n v="10000"/>
    <n v="10000"/>
  </r>
  <r>
    <s v="FB2STRMV9F97"/>
    <s v="Mark Rodriguez"/>
    <s v="Flats"/>
    <x v="2"/>
    <x v="22"/>
    <x v="14"/>
    <x v="35"/>
    <n v="0"/>
    <n v="0"/>
    <n v="10000"/>
    <n v="10000"/>
  </r>
  <r>
    <s v="FBS26O2JLBAW"/>
    <s v="Richard Garcia"/>
    <s v="Flats"/>
    <x v="3"/>
    <x v="36"/>
    <x v="14"/>
    <x v="35"/>
    <n v="0"/>
    <n v="0"/>
    <n v="10000"/>
    <n v="10000"/>
  </r>
  <r>
    <s v="FBYGU5395MYM"/>
    <s v="Anthony Lopez"/>
    <s v="Flats"/>
    <x v="2"/>
    <x v="25"/>
    <x v="14"/>
    <x v="36"/>
    <n v="0"/>
    <n v="0"/>
    <n v="10000"/>
    <n v="10000"/>
  </r>
  <r>
    <s v="FB8E22UVU6QO"/>
    <s v="Dorothy Thomas"/>
    <s v="Flats"/>
    <x v="0"/>
    <x v="37"/>
    <x v="14"/>
    <x v="37"/>
    <n v="0"/>
    <n v="0"/>
    <n v="10000"/>
    <n v="10000"/>
  </r>
  <r>
    <s v="FBJUA4U7T51J"/>
    <s v="Paul Garcia"/>
    <s v="Flats"/>
    <x v="3"/>
    <x v="11"/>
    <x v="14"/>
    <x v="38"/>
    <n v="0"/>
    <n v="0"/>
    <n v="10000"/>
    <n v="10000"/>
  </r>
  <r>
    <s v="FB61Q3Z0HQLC"/>
    <s v="Karen Allen"/>
    <s v="Pent House"/>
    <x v="3"/>
    <x v="28"/>
    <x v="14"/>
    <x v="41"/>
    <n v="0"/>
    <n v="0"/>
    <n v="10000"/>
    <n v="10000"/>
  </r>
  <r>
    <s v="FBTP0LZQBOGS"/>
    <s v="Joshua Harris"/>
    <s v="Terrace"/>
    <x v="7"/>
    <x v="12"/>
    <x v="14"/>
    <x v="41"/>
    <n v="0"/>
    <n v="0"/>
    <n v="10000"/>
    <n v="10000"/>
  </r>
  <r>
    <s v="FBTGIUYN8UV9"/>
    <s v="Patricia Williams"/>
    <s v="Flats"/>
    <x v="2"/>
    <x v="2"/>
    <x v="14"/>
    <x v="41"/>
    <n v="0"/>
    <n v="0"/>
    <n v="10000"/>
    <n v="10000"/>
  </r>
  <r>
    <s v="FBNTHGETH16W"/>
    <s v="Sarah Wilson"/>
    <s v="Flats"/>
    <x v="3"/>
    <x v="34"/>
    <x v="14"/>
    <x v="41"/>
    <n v="0"/>
    <n v="0"/>
    <n v="10000"/>
    <n v="10000"/>
  </r>
  <r>
    <s v="FBI3XP5KMEA3"/>
    <s v="Williams Jef"/>
    <s v="Flats"/>
    <x v="4"/>
    <x v="3"/>
    <x v="14"/>
    <x v="42"/>
    <n v="0"/>
    <n v="0"/>
    <n v="10000"/>
    <n v="20000"/>
  </r>
  <r>
    <s v="FBSGUAEKRYLH"/>
    <s v="Thomas Sanchez"/>
    <s v="Flats"/>
    <x v="0"/>
    <x v="26"/>
    <x v="14"/>
    <x v="43"/>
    <n v="0"/>
    <n v="0"/>
    <n v="10000"/>
    <n v="10000"/>
  </r>
  <r>
    <s v="FBR5A4NH5XWT"/>
    <s v="Donald Jones"/>
    <s v="Flats"/>
    <x v="0"/>
    <x v="10"/>
    <x v="14"/>
    <x v="44"/>
    <n v="0"/>
    <n v="0"/>
    <n v="10000"/>
    <n v="10000"/>
  </r>
  <r>
    <s v="FBRQQJHWLRPP"/>
    <s v="Karen Rodriguez"/>
    <s v="Terrace"/>
    <x v="7"/>
    <x v="13"/>
    <x v="14"/>
    <x v="45"/>
    <n v="0"/>
    <n v="0"/>
    <n v="10000"/>
    <n v="10000"/>
  </r>
  <r>
    <s v="FBHU12G7WA6A"/>
    <s v="Thomas &amp; Jane Jackson"/>
    <s v="Flats"/>
    <x v="4"/>
    <x v="38"/>
    <x v="14"/>
    <x v="45"/>
    <n v="0"/>
    <n v="0"/>
    <n v="10000"/>
    <n v="10000"/>
  </r>
  <r>
    <s v="FBKN4IN8UMLC"/>
    <s v="Daniel Torres"/>
    <s v="Flats"/>
    <x v="4"/>
    <x v="24"/>
    <x v="14"/>
    <x v="46"/>
    <n v="0"/>
    <n v="0"/>
    <n v="10000"/>
    <n v="10000"/>
  </r>
  <r>
    <s v="FB2BNPJ5RITJ"/>
    <s v="Michelle Wilson"/>
    <s v="Flats"/>
    <x v="2"/>
    <x v="18"/>
    <x v="14"/>
    <x v="47"/>
    <n v="0"/>
    <n v="0"/>
    <n v="10000"/>
    <n v="10000"/>
  </r>
  <r>
    <s v="FBFL158D72VB"/>
    <s v="Lisa Clark"/>
    <s v="Flats"/>
    <x v="3"/>
    <x v="14"/>
    <x v="14"/>
    <x v="49"/>
    <n v="0"/>
    <n v="0"/>
    <n v="10000"/>
    <n v="10000"/>
  </r>
  <r>
    <s v="FB7NHLEQNL3I"/>
    <s v="Daniel Ramirez"/>
    <s v="Flats"/>
    <x v="0"/>
    <x v="19"/>
    <x v="14"/>
    <x v="51"/>
    <n v="0"/>
    <n v="0"/>
    <n v="10000"/>
    <n v="10000"/>
  </r>
  <r>
    <s v="FB1M0OAV6ZAM"/>
    <s v="Paul Perez"/>
    <s v="Flats"/>
    <x v="3"/>
    <x v="16"/>
    <x v="14"/>
    <x v="51"/>
    <n v="0"/>
    <n v="0"/>
    <n v="10000"/>
    <n v="10000"/>
  </r>
  <r>
    <s v="FB2MW45PDQ7W"/>
    <s v="Mark Rodriguez"/>
    <s v="Flats"/>
    <x v="2"/>
    <x v="22"/>
    <x v="14"/>
    <x v="53"/>
    <n v="0"/>
    <n v="0"/>
    <n v="10000"/>
    <n v="10000"/>
  </r>
  <r>
    <s v="FBJGLHH7MAVI"/>
    <s v="Barbara Martinez"/>
    <s v="Flats"/>
    <x v="0"/>
    <x v="0"/>
    <x v="14"/>
    <x v="55"/>
    <n v="0"/>
    <n v="0"/>
    <n v="10000"/>
    <n v="10000"/>
  </r>
  <r>
    <s v="FBVQB59SG4XE"/>
    <s v="Jennifer Lewis"/>
    <s v="Terrace"/>
    <x v="7"/>
    <x v="17"/>
    <x v="14"/>
    <x v="56"/>
    <n v="0"/>
    <n v="0"/>
    <n v="10000"/>
    <n v="10000"/>
  </r>
  <r>
    <s v="FBX1KHA11ZQ5"/>
    <s v="Richard Garcia"/>
    <s v="Flats"/>
    <x v="3"/>
    <x v="36"/>
    <x v="14"/>
    <x v="56"/>
    <n v="0"/>
    <n v="0"/>
    <n v="10000"/>
    <n v="10000"/>
  </r>
  <r>
    <s v="FBS3R128KPRY"/>
    <s v="Dorothy Thomas"/>
    <s v="Flats"/>
    <x v="0"/>
    <x v="37"/>
    <x v="14"/>
    <x v="57"/>
    <n v="0"/>
    <n v="0"/>
    <n v="10000"/>
    <n v="10000"/>
  </r>
  <r>
    <s v="FBW28613C8RU"/>
    <s v="Jennifer Robinson"/>
    <s v="Terrace"/>
    <x v="7"/>
    <x v="35"/>
    <x v="14"/>
    <x v="58"/>
    <n v="0"/>
    <n v="0"/>
    <n v="10000"/>
    <n v="10000"/>
  </r>
  <r>
    <s v="FB5TDXG3UFYZ"/>
    <s v="Susan Nguyen"/>
    <s v="Flats"/>
    <x v="3"/>
    <x v="14"/>
    <x v="14"/>
    <x v="59"/>
    <n v="0"/>
    <n v="0"/>
    <n v="10000"/>
    <n v="10000"/>
  </r>
  <r>
    <s v="FBSKKIV0O2FG"/>
    <s v="Donald Jones"/>
    <s v="Flats"/>
    <x v="0"/>
    <x v="10"/>
    <x v="14"/>
    <x v="61"/>
    <n v="0"/>
    <n v="0"/>
    <n v="10000"/>
    <n v="10000"/>
  </r>
  <r>
    <s v="FBZ643R3UQQ3"/>
    <s v="Donna Torres"/>
    <s v="Flats"/>
    <x v="3"/>
    <x v="8"/>
    <x v="14"/>
    <x v="61"/>
    <n v="0"/>
    <n v="0"/>
    <n v="10000"/>
    <n v="10000"/>
  </r>
  <r>
    <s v="FBZ643R3UQQ3"/>
    <s v="Donna Torres"/>
    <s v="Flats"/>
    <x v="3"/>
    <x v="8"/>
    <x v="14"/>
    <x v="61"/>
    <n v="0"/>
    <n v="0"/>
    <n v="10000"/>
    <n v="10000"/>
  </r>
  <r>
    <s v="FBFZWABHXKDH"/>
    <s v="Joshua Harris"/>
    <s v="Terrace"/>
    <x v="7"/>
    <x v="12"/>
    <x v="14"/>
    <x v="62"/>
    <n v="0"/>
    <n v="0"/>
    <n v="10000"/>
    <n v="10000"/>
  </r>
  <r>
    <s v="FBQWR9FC8WLN"/>
    <s v="Robert Walker"/>
    <s v="Flats"/>
    <x v="2"/>
    <x v="39"/>
    <x v="14"/>
    <x v="62"/>
    <n v="0"/>
    <n v="0"/>
    <n v="10000"/>
    <n v="10000"/>
  </r>
  <r>
    <s v="FB1EVL01XPNI"/>
    <s v="Daniel Ramirez"/>
    <s v="Flats"/>
    <x v="0"/>
    <x v="19"/>
    <x v="14"/>
    <x v="62"/>
    <n v="0"/>
    <n v="0"/>
    <n v="10000"/>
    <n v="10000"/>
  </r>
  <r>
    <s v="FBYL3NPULDTL"/>
    <s v="Thomas Sanchez"/>
    <s v="Flats"/>
    <x v="0"/>
    <x v="26"/>
    <x v="14"/>
    <x v="63"/>
    <n v="0"/>
    <n v="0"/>
    <n v="10000"/>
    <n v="10000"/>
  </r>
  <r>
    <s v="FBCF8ENFBP1T"/>
    <s v="Thomas &amp; Jane Jackson"/>
    <s v="Flats"/>
    <x v="4"/>
    <x v="38"/>
    <x v="14"/>
    <x v="64"/>
    <n v="0"/>
    <n v="0"/>
    <n v="10000"/>
    <n v="10000"/>
  </r>
  <r>
    <s v="FBYC11FMXO58"/>
    <s v="Sarah Wilson"/>
    <s v="Flats"/>
    <x v="3"/>
    <x v="34"/>
    <x v="14"/>
    <x v="65"/>
    <n v="0"/>
    <n v="0"/>
    <n v="10000"/>
    <n v="10000"/>
  </r>
  <r>
    <s v="FB1BWKSX8DU9"/>
    <s v="Robert Robinson"/>
    <s v="Flats"/>
    <x v="0"/>
    <x v="30"/>
    <x v="14"/>
    <x v="65"/>
    <n v="0"/>
    <n v="0"/>
    <n v="10000"/>
    <n v="10000"/>
  </r>
  <r>
    <s v="FBF1HH7XRIIX"/>
    <s v="Karen Allen"/>
    <s v="Pent House"/>
    <x v="3"/>
    <x v="28"/>
    <x v="14"/>
    <x v="66"/>
    <n v="0"/>
    <n v="0"/>
    <n v="10000"/>
    <n v="10000"/>
  </r>
  <r>
    <s v="FBOSNZWVB9GW"/>
    <s v="Anthony Robinson"/>
    <s v="Flats"/>
    <x v="3"/>
    <x v="7"/>
    <x v="14"/>
    <x v="67"/>
    <n v="0"/>
    <n v="0"/>
    <n v="10000"/>
    <n v="10000"/>
  </r>
  <r>
    <s v="FBOHWW9TJ9P1"/>
    <s v="Paul Perez"/>
    <s v="Flats"/>
    <x v="3"/>
    <x v="16"/>
    <x v="14"/>
    <x v="67"/>
    <n v="0"/>
    <n v="0"/>
    <n v="10000"/>
    <n v="10000"/>
  </r>
  <r>
    <s v="FBRT47B8FWWV"/>
    <s v="Patricia Williams"/>
    <s v="Flats"/>
    <x v="2"/>
    <x v="2"/>
    <x v="14"/>
    <x v="68"/>
    <n v="0"/>
    <n v="0"/>
    <n v="10000"/>
    <n v="10000"/>
  </r>
  <r>
    <s v="FBVX0T6712Y2"/>
    <s v="Lisa Clark"/>
    <s v="Flats"/>
    <x v="3"/>
    <x v="14"/>
    <x v="14"/>
    <x v="68"/>
    <n v="0"/>
    <n v="0"/>
    <n v="10000"/>
    <n v="10000"/>
  </r>
  <r>
    <s v="FB7SASX5VYK1"/>
    <s v="Emily Thomas"/>
    <s v="Flats"/>
    <x v="0"/>
    <x v="23"/>
    <x v="14"/>
    <x v="341"/>
    <n v="0"/>
    <n v="0"/>
    <n v="10000"/>
    <n v="10000"/>
  </r>
  <r>
    <s v="FBO03001HTX9"/>
    <s v="Paul Garcia"/>
    <s v="Flats"/>
    <x v="3"/>
    <x v="11"/>
    <x v="14"/>
    <x v="69"/>
    <n v="0"/>
    <n v="0"/>
    <n v="10000"/>
    <n v="10000"/>
  </r>
  <r>
    <s v="FBUUXZ2BAOAS"/>
    <s v="Karen Rodriguez"/>
    <s v="Terrace"/>
    <x v="7"/>
    <x v="13"/>
    <x v="14"/>
    <x v="70"/>
    <n v="0"/>
    <n v="0"/>
    <n v="10000"/>
    <n v="10000"/>
  </r>
  <r>
    <s v="FBXO4FKGVL2O"/>
    <s v="Michelle Wilson"/>
    <s v="Flats"/>
    <x v="2"/>
    <x v="18"/>
    <x v="14"/>
    <x v="70"/>
    <n v="0"/>
    <n v="0"/>
    <n v="10000"/>
    <n v="10000"/>
  </r>
  <r>
    <s v="FBWW3M22FADM"/>
    <s v="Mark Rodriguez"/>
    <s v="Flats"/>
    <x v="2"/>
    <x v="22"/>
    <x v="14"/>
    <x v="71"/>
    <n v="0"/>
    <n v="0"/>
    <n v="10000"/>
    <n v="10000"/>
  </r>
  <r>
    <s v="FBMZEK9WBJ1E"/>
    <s v="Barbara Martinez"/>
    <s v="Flats"/>
    <x v="0"/>
    <x v="0"/>
    <x v="14"/>
    <x v="71"/>
    <n v="0"/>
    <n v="0"/>
    <n v="10000"/>
    <n v="10000"/>
  </r>
  <r>
    <s v="FBZX9W0L362O"/>
    <s v="Jennifer Robinson"/>
    <s v="Terrace"/>
    <x v="7"/>
    <x v="35"/>
    <x v="14"/>
    <x v="71"/>
    <n v="0"/>
    <n v="0"/>
    <n v="10000"/>
    <n v="10000"/>
  </r>
  <r>
    <s v="FBC7A913PVZ3"/>
    <s v="Susan Nguyen"/>
    <s v="Flats"/>
    <x v="3"/>
    <x v="14"/>
    <x v="14"/>
    <x v="71"/>
    <n v="0"/>
    <n v="0"/>
    <n v="10000"/>
    <n v="10000"/>
  </r>
  <r>
    <s v="FBIAI3MG3F60"/>
    <s v="Anthony Lopez"/>
    <s v="Flats"/>
    <x v="2"/>
    <x v="25"/>
    <x v="14"/>
    <x v="72"/>
    <n v="0"/>
    <n v="0"/>
    <n v="10000"/>
    <n v="10000"/>
  </r>
  <r>
    <s v="FBSCVLC512E2"/>
    <s v="Daniel Torres"/>
    <s v="Flats"/>
    <x v="4"/>
    <x v="24"/>
    <x v="14"/>
    <x v="239"/>
    <n v="0"/>
    <n v="0"/>
    <n v="10000"/>
    <n v="10000"/>
  </r>
  <r>
    <s v="FBYOF98XNH24"/>
    <s v="Richard Garcia"/>
    <s v="Flats"/>
    <x v="3"/>
    <x v="36"/>
    <x v="14"/>
    <x v="75"/>
    <n v="0"/>
    <n v="0"/>
    <n v="10000"/>
    <n v="10000"/>
  </r>
  <r>
    <s v="FBT3JUSOH6IQ"/>
    <s v="Dorothy Thomas"/>
    <s v="Flats"/>
    <x v="0"/>
    <x v="37"/>
    <x v="14"/>
    <x v="76"/>
    <n v="0"/>
    <n v="0"/>
    <n v="10000"/>
    <n v="10000"/>
  </r>
  <r>
    <s v="FB8383VTMZNQ"/>
    <s v="Joshua Harris"/>
    <s v="Terrace"/>
    <x v="7"/>
    <x v="12"/>
    <x v="14"/>
    <x v="78"/>
    <n v="0"/>
    <n v="0"/>
    <n v="10000"/>
    <n v="10000"/>
  </r>
  <r>
    <s v="FB14G2TYIJZ3"/>
    <s v="Anthony Lopez"/>
    <s v="Flats"/>
    <x v="2"/>
    <x v="25"/>
    <x v="14"/>
    <x v="78"/>
    <n v="0"/>
    <n v="0"/>
    <n v="10000"/>
    <n v="10000"/>
  </r>
  <r>
    <s v="FBFDCWSU4QWT"/>
    <s v="Donald Jones"/>
    <s v="Flats"/>
    <x v="0"/>
    <x v="10"/>
    <x v="14"/>
    <x v="78"/>
    <n v="0"/>
    <n v="0"/>
    <n v="10000"/>
    <n v="10000"/>
  </r>
  <r>
    <s v="FB21QLPTCW7R"/>
    <s v="Anthony Robinson"/>
    <s v="Flats"/>
    <x v="3"/>
    <x v="7"/>
    <x v="14"/>
    <x v="79"/>
    <n v="0"/>
    <n v="0"/>
    <n v="10000"/>
    <n v="10000"/>
  </r>
  <r>
    <s v="FBG917RYUQKN"/>
    <s v="Thomas &amp; Jane Jackson"/>
    <s v="Flats"/>
    <x v="4"/>
    <x v="38"/>
    <x v="14"/>
    <x v="80"/>
    <n v="0"/>
    <n v="0"/>
    <n v="10000"/>
    <n v="10000"/>
  </r>
  <r>
    <s v="FBFNTTEUMCEG"/>
    <s v="Robert Robinson"/>
    <s v="Flats"/>
    <x v="0"/>
    <x v="30"/>
    <x v="14"/>
    <x v="80"/>
    <n v="0"/>
    <n v="0"/>
    <n v="10000"/>
    <n v="10000"/>
  </r>
  <r>
    <s v="FBSS1A07J6L8"/>
    <s v="Thomas Sanchez"/>
    <s v="Flats"/>
    <x v="0"/>
    <x v="26"/>
    <x v="14"/>
    <x v="80"/>
    <n v="0"/>
    <n v="0"/>
    <n v="10000"/>
    <n v="10000"/>
  </r>
  <r>
    <s v="FBX2PC8FUM70"/>
    <s v="Donna Torres"/>
    <s v="Flats"/>
    <x v="3"/>
    <x v="8"/>
    <x v="14"/>
    <x v="81"/>
    <n v="0"/>
    <n v="0"/>
    <n v="10000"/>
    <n v="10000"/>
  </r>
  <r>
    <s v="FB9AQOKZVXGT"/>
    <s v="Emily Thomas"/>
    <s v="Flats"/>
    <x v="0"/>
    <x v="23"/>
    <x v="14"/>
    <x v="82"/>
    <n v="0"/>
    <n v="0"/>
    <n v="10000"/>
    <n v="10000"/>
  </r>
  <r>
    <s v="FBI9Y93MIN33"/>
    <s v="Karen Rodriguez"/>
    <s v="Terrace"/>
    <x v="7"/>
    <x v="13"/>
    <x v="14"/>
    <x v="82"/>
    <n v="0"/>
    <n v="0"/>
    <n v="10000"/>
    <n v="10000"/>
  </r>
  <r>
    <s v="FBT60NH4SIQB"/>
    <s v="Karen Allen"/>
    <s v="Pent House"/>
    <x v="3"/>
    <x v="28"/>
    <x v="14"/>
    <x v="83"/>
    <n v="0"/>
    <n v="0"/>
    <n v="10000"/>
    <n v="10000"/>
  </r>
  <r>
    <s v="FBOMDY3LZ45K"/>
    <s v="Donna Torres"/>
    <s v="Flats"/>
    <x v="3"/>
    <x v="8"/>
    <x v="14"/>
    <x v="83"/>
    <n v="0"/>
    <n v="0"/>
    <n v="10000"/>
    <n v="10000"/>
  </r>
  <r>
    <s v="FBJTUANBNP4R"/>
    <s v="Sarah Wilson"/>
    <s v="Flats"/>
    <x v="3"/>
    <x v="34"/>
    <x v="14"/>
    <x v="84"/>
    <n v="0"/>
    <n v="0"/>
    <n v="10000"/>
    <n v="10000"/>
  </r>
  <r>
    <s v="FB3INBJVKQ50"/>
    <s v="Patricia Williams"/>
    <s v="Flats"/>
    <x v="2"/>
    <x v="2"/>
    <x v="14"/>
    <x v="84"/>
    <n v="0"/>
    <n v="0"/>
    <n v="10000"/>
    <n v="10000"/>
  </r>
  <r>
    <s v="FB1LS97XTEB4"/>
    <s v="Williams Jef"/>
    <s v="Flats"/>
    <x v="4"/>
    <x v="3"/>
    <x v="14"/>
    <x v="84"/>
    <n v="0"/>
    <n v="0"/>
    <n v="10000"/>
    <n v="20000"/>
  </r>
  <r>
    <s v="FBYXT26OWJ7U"/>
    <s v="Lisa Clark"/>
    <s v="Flats"/>
    <x v="3"/>
    <x v="14"/>
    <x v="14"/>
    <x v="87"/>
    <n v="0"/>
    <n v="0"/>
    <n v="10000"/>
    <n v="10000"/>
  </r>
  <r>
    <s v="FBFSUC5XCRRK"/>
    <s v="Robert Walker"/>
    <s v="Flats"/>
    <x v="2"/>
    <x v="39"/>
    <x v="14"/>
    <x v="88"/>
    <n v="0"/>
    <n v="0"/>
    <n v="10000"/>
    <n v="10000"/>
  </r>
  <r>
    <s v="FB7OMCKWHWZC"/>
    <s v="Michelle Wilson"/>
    <s v="Flats"/>
    <x v="2"/>
    <x v="18"/>
    <x v="14"/>
    <x v="89"/>
    <n v="0"/>
    <n v="0"/>
    <n v="10000"/>
    <n v="10000"/>
  </r>
  <r>
    <s v="FBP05SVPP8KM"/>
    <s v="Daniel Ramirez"/>
    <s v="Flats"/>
    <x v="0"/>
    <x v="19"/>
    <x v="14"/>
    <x v="90"/>
    <n v="0"/>
    <n v="0"/>
    <n v="10000"/>
    <n v="10000"/>
  </r>
  <r>
    <s v="FBO21HH9RYTU"/>
    <s v="Mark Rodriguez"/>
    <s v="Flats"/>
    <x v="2"/>
    <x v="22"/>
    <x v="14"/>
    <x v="90"/>
    <n v="0"/>
    <n v="0"/>
    <n v="10000"/>
    <n v="10000"/>
  </r>
  <r>
    <s v="FB2X9SLAKEUD"/>
    <s v="Paul Perez"/>
    <s v="Flats"/>
    <x v="3"/>
    <x v="16"/>
    <x v="14"/>
    <x v="90"/>
    <n v="0"/>
    <n v="0"/>
    <n v="10000"/>
    <n v="10000"/>
  </r>
  <r>
    <s v="FBNSQN85G3WT"/>
    <s v="Daniel Torres"/>
    <s v="Flats"/>
    <x v="4"/>
    <x v="24"/>
    <x v="14"/>
    <x v="92"/>
    <n v="0"/>
    <n v="0"/>
    <n v="10000"/>
    <n v="10000"/>
  </r>
  <r>
    <s v="FBN8BHQLVN6E"/>
    <s v="Betty Lopez"/>
    <s v="Flats"/>
    <x v="4"/>
    <x v="27"/>
    <x v="14"/>
    <x v="251"/>
    <n v="0"/>
    <n v="0"/>
    <n v="10000"/>
    <n v="10000"/>
  </r>
  <r>
    <s v="FB8POUN43WT9"/>
    <s v="Richard Garcia"/>
    <s v="Flats"/>
    <x v="3"/>
    <x v="36"/>
    <x v="14"/>
    <x v="93"/>
    <n v="0"/>
    <n v="0"/>
    <n v="10000"/>
    <n v="10000"/>
  </r>
  <r>
    <s v="FBVBA7RT83Q3"/>
    <s v="Dorothy Thomas"/>
    <s v="Flats"/>
    <x v="0"/>
    <x v="37"/>
    <x v="14"/>
    <x v="253"/>
    <n v="0"/>
    <n v="0"/>
    <n v="10000"/>
    <n v="10000"/>
  </r>
  <r>
    <s v="FB68PZ75KVSL"/>
    <s v="Barbara Martinez"/>
    <s v="Flats"/>
    <x v="0"/>
    <x v="0"/>
    <x v="14"/>
    <x v="94"/>
    <n v="0"/>
    <n v="0"/>
    <n v="10000"/>
    <n v="10000"/>
  </r>
  <r>
    <s v="FBZYWBKH3WE5"/>
    <s v="Anthony Robinson"/>
    <s v="Flats"/>
    <x v="3"/>
    <x v="7"/>
    <x v="14"/>
    <x v="95"/>
    <n v="0"/>
    <n v="0"/>
    <n v="10000"/>
    <n v="10000"/>
  </r>
  <r>
    <s v="FB27DJ683MWW"/>
    <s v="Donald Jones"/>
    <s v="Flats"/>
    <x v="0"/>
    <x v="10"/>
    <x v="14"/>
    <x v="96"/>
    <n v="0"/>
    <n v="0"/>
    <n v="10000"/>
    <n v="10000"/>
  </r>
  <r>
    <s v="FB2SK97F2EMC"/>
    <s v="Donna Torres"/>
    <s v="Flats"/>
    <x v="3"/>
    <x v="8"/>
    <x v="14"/>
    <x v="96"/>
    <n v="0"/>
    <n v="0"/>
    <n v="10000"/>
    <n v="10000"/>
  </r>
  <r>
    <s v="FBUHZBOPKUWM"/>
    <s v="Michelle Wilson"/>
    <s v="Flats"/>
    <x v="2"/>
    <x v="18"/>
    <x v="14"/>
    <x v="96"/>
    <n v="0"/>
    <n v="0"/>
    <n v="10000"/>
    <n v="10000"/>
  </r>
  <r>
    <s v="FB1VXLXRTIQ6"/>
    <s v="Paul Garcia"/>
    <s v="Flats"/>
    <x v="3"/>
    <x v="11"/>
    <x v="14"/>
    <x v="96"/>
    <n v="0"/>
    <n v="0"/>
    <n v="10000"/>
    <n v="10000"/>
  </r>
  <r>
    <s v="FB13TB1ESG3K"/>
    <s v="Paul Perez"/>
    <s v="Flats"/>
    <x v="3"/>
    <x v="16"/>
    <x v="14"/>
    <x v="96"/>
    <n v="0"/>
    <n v="0"/>
    <n v="10000"/>
    <n v="10000"/>
  </r>
  <r>
    <s v="FBBLF03MJZ6I"/>
    <s v="Betty Lopez"/>
    <s v="Flats"/>
    <x v="4"/>
    <x v="27"/>
    <x v="14"/>
    <x v="96"/>
    <n v="0"/>
    <n v="0"/>
    <n v="10000"/>
    <n v="10000"/>
  </r>
  <r>
    <s v="FB1VXLXRTIQ6"/>
    <s v="Paul Garcia"/>
    <s v="Flats"/>
    <x v="3"/>
    <x v="11"/>
    <x v="14"/>
    <x v="96"/>
    <n v="0"/>
    <n v="0"/>
    <n v="10000"/>
    <n v="10000"/>
  </r>
  <r>
    <s v="FBAMY6YWE02N"/>
    <s v="Sarah Wilson"/>
    <s v="Flats"/>
    <x v="3"/>
    <x v="34"/>
    <x v="14"/>
    <x v="97"/>
    <n v="0"/>
    <n v="0"/>
    <n v="10000"/>
    <n v="10000"/>
  </r>
  <r>
    <s v="FB5QQPBM8RBJ"/>
    <s v="Patricia Williams"/>
    <s v="Flats"/>
    <x v="2"/>
    <x v="2"/>
    <x v="14"/>
    <x v="98"/>
    <n v="0"/>
    <n v="0"/>
    <n v="10000"/>
    <n v="10000"/>
  </r>
  <r>
    <s v="FBX1GYNEDU3C"/>
    <s v="Thomas Sanchez"/>
    <s v="Flats"/>
    <x v="0"/>
    <x v="26"/>
    <x v="14"/>
    <x v="98"/>
    <n v="0"/>
    <n v="0"/>
    <n v="10000"/>
    <n v="10000"/>
  </r>
  <r>
    <s v="FBWCFR8SF7N5"/>
    <s v="Anthony Robinson"/>
    <s v="Flats"/>
    <x v="3"/>
    <x v="7"/>
    <x v="14"/>
    <x v="100"/>
    <n v="0"/>
    <n v="0"/>
    <n v="10000"/>
    <n v="10000"/>
  </r>
  <r>
    <s v="FB68CG0Z416R"/>
    <s v="Robert Walker"/>
    <s v="Flats"/>
    <x v="2"/>
    <x v="39"/>
    <x v="14"/>
    <x v="100"/>
    <n v="0"/>
    <n v="0"/>
    <n v="10000"/>
    <n v="10000"/>
  </r>
  <r>
    <s v="FB7T5XCNDAN3"/>
    <s v="Robert Robinson"/>
    <s v="Flats"/>
    <x v="0"/>
    <x v="30"/>
    <x v="14"/>
    <x v="100"/>
    <n v="0"/>
    <n v="0"/>
    <n v="10000"/>
    <n v="10000"/>
  </r>
  <r>
    <s v="FB15W1PEZWXS"/>
    <s v="Barbara Martinez"/>
    <s v="Flats"/>
    <x v="0"/>
    <x v="0"/>
    <x v="14"/>
    <x v="100"/>
    <n v="0"/>
    <n v="0"/>
    <n v="10000"/>
    <n v="10000"/>
  </r>
  <r>
    <s v="FB63EJD14RG1"/>
    <s v="Thomas &amp; Jane Jackson"/>
    <s v="Flats"/>
    <x v="4"/>
    <x v="38"/>
    <x v="14"/>
    <x v="100"/>
    <n v="0"/>
    <n v="0"/>
    <n v="10000"/>
    <n v="10000"/>
  </r>
  <r>
    <s v="FBHURJOZBF5U"/>
    <s v="Emily Thomas"/>
    <s v="Flats"/>
    <x v="0"/>
    <x v="23"/>
    <x v="14"/>
    <x v="100"/>
    <n v="0"/>
    <n v="0"/>
    <n v="10000"/>
    <n v="10000"/>
  </r>
  <r>
    <s v="FBCLQNTWGB7G"/>
    <s v="James Clark"/>
    <s v="Flats"/>
    <x v="4"/>
    <x v="33"/>
    <x v="14"/>
    <x v="100"/>
    <n v="0"/>
    <n v="0"/>
    <n v="10000"/>
    <n v="10000"/>
  </r>
  <r>
    <s v="FBWBIQ1EN31Q"/>
    <s v="Susan Nguyen"/>
    <s v="Flats"/>
    <x v="3"/>
    <x v="14"/>
    <x v="14"/>
    <x v="100"/>
    <n v="0"/>
    <n v="0"/>
    <n v="10000"/>
    <n v="10000"/>
  </r>
  <r>
    <s v="FBCLQNTWGB7G"/>
    <s v="James Clark"/>
    <s v="Flats"/>
    <x v="4"/>
    <x v="33"/>
    <x v="14"/>
    <x v="100"/>
    <n v="0"/>
    <n v="0"/>
    <n v="10000"/>
    <n v="10000"/>
  </r>
  <r>
    <s v="FBWBIQ1EN31Q"/>
    <s v="Susan Nguyen"/>
    <s v="Flats"/>
    <x v="3"/>
    <x v="14"/>
    <x v="14"/>
    <x v="100"/>
    <n v="0"/>
    <n v="0"/>
    <n v="10000"/>
    <n v="10000"/>
  </r>
  <r>
    <s v="FBJ613SNXKU1"/>
    <s v="Anthony Lopez"/>
    <s v="Flats"/>
    <x v="2"/>
    <x v="25"/>
    <x v="14"/>
    <x v="101"/>
    <n v="0"/>
    <n v="0"/>
    <n v="10000"/>
    <n v="10000"/>
  </r>
  <r>
    <s v="FBTQW5W4G6UX"/>
    <s v="Daniel Ramirez"/>
    <s v="Flats"/>
    <x v="0"/>
    <x v="19"/>
    <x v="14"/>
    <x v="102"/>
    <n v="0"/>
    <n v="0"/>
    <n v="10000"/>
    <n v="10000"/>
  </r>
  <r>
    <s v="FBI15GVZ0MMV"/>
    <s v="Lisa Clark"/>
    <s v="Flats"/>
    <x v="3"/>
    <x v="14"/>
    <x v="14"/>
    <x v="102"/>
    <n v="0"/>
    <n v="0"/>
    <n v="10000"/>
    <n v="10000"/>
  </r>
  <r>
    <s v="FBRVUZ48LCPK"/>
    <s v="Richard Garcia"/>
    <s v="Flats"/>
    <x v="3"/>
    <x v="36"/>
    <x v="14"/>
    <x v="107"/>
    <n v="0"/>
    <n v="0"/>
    <n v="10000"/>
    <n v="10000"/>
  </r>
  <r>
    <s v="FBYLBIPJ1OZR"/>
    <s v="Susan Nguyen"/>
    <s v="Flats"/>
    <x v="3"/>
    <x v="14"/>
    <x v="14"/>
    <x v="261"/>
    <n v="0"/>
    <n v="0"/>
    <n v="10000"/>
    <n v="10000"/>
  </r>
  <r>
    <s v="FBZQIHR6CJBZ"/>
    <s v="Betty Lopez"/>
    <s v="Flats"/>
    <x v="4"/>
    <x v="27"/>
    <x v="14"/>
    <x v="109"/>
    <n v="0"/>
    <n v="0"/>
    <n v="10000"/>
    <n v="10000"/>
  </r>
  <r>
    <s v="FBVWFMW91KF3"/>
    <s v="Daniel Torres"/>
    <s v="Flats"/>
    <x v="4"/>
    <x v="24"/>
    <x v="14"/>
    <x v="109"/>
    <n v="0"/>
    <n v="0"/>
    <n v="10000"/>
    <n v="10000"/>
  </r>
  <r>
    <s v="FB9HXBIZ29Z3"/>
    <s v="Mark Rodriguez"/>
    <s v="Flats"/>
    <x v="2"/>
    <x v="22"/>
    <x v="14"/>
    <x v="110"/>
    <n v="0"/>
    <n v="0"/>
    <n v="10000"/>
    <n v="10000"/>
  </r>
  <r>
    <s v="FB35EGFLVD9M"/>
    <s v="Paul Perez"/>
    <s v="Flats"/>
    <x v="3"/>
    <x v="16"/>
    <x v="14"/>
    <x v="113"/>
    <n v="0"/>
    <n v="0"/>
    <n v="10000"/>
    <n v="10000"/>
  </r>
  <r>
    <s v="FBLNDC2W8LBB"/>
    <s v="Paul Garcia"/>
    <s v="Flats"/>
    <x v="3"/>
    <x v="11"/>
    <x v="14"/>
    <x v="113"/>
    <n v="0"/>
    <n v="0"/>
    <n v="10000"/>
    <n v="10000"/>
  </r>
  <r>
    <s v="FBSG3OYRXEZ7"/>
    <s v="Michelle Wilson"/>
    <s v="Flats"/>
    <x v="2"/>
    <x v="18"/>
    <x v="14"/>
    <x v="113"/>
    <n v="0"/>
    <n v="0"/>
    <n v="10000"/>
    <n v="10000"/>
  </r>
  <r>
    <s v="FBV0AKI5C026"/>
    <s v="Donna Torres"/>
    <s v="Flats"/>
    <x v="3"/>
    <x v="8"/>
    <x v="14"/>
    <x v="113"/>
    <n v="0"/>
    <n v="0"/>
    <n v="10000"/>
    <n v="10000"/>
  </r>
  <r>
    <s v="FBRG1JRRZIC9"/>
    <s v="Donald Jones"/>
    <s v="Flats"/>
    <x v="0"/>
    <x v="10"/>
    <x v="14"/>
    <x v="113"/>
    <n v="0"/>
    <n v="0"/>
    <n v="10000"/>
    <n v="10000"/>
  </r>
  <r>
    <s v="FB9848J31XYM"/>
    <s v="Anthony Lopez"/>
    <s v="Flats"/>
    <x v="2"/>
    <x v="25"/>
    <x v="14"/>
    <x v="113"/>
    <n v="0"/>
    <n v="0"/>
    <n v="10000"/>
    <n v="10000"/>
  </r>
  <r>
    <s v="FBTW7PSML2ZP"/>
    <s v="Sarah Wilson"/>
    <s v="Flats"/>
    <x v="3"/>
    <x v="34"/>
    <x v="14"/>
    <x v="115"/>
    <n v="0"/>
    <n v="0"/>
    <n v="10000"/>
    <n v="10000"/>
  </r>
  <r>
    <s v="FBBJ6O9PR4OP"/>
    <s v="Anthony Robinson"/>
    <s v="Flats"/>
    <x v="3"/>
    <x v="7"/>
    <x v="14"/>
    <x v="116"/>
    <n v="0"/>
    <n v="0"/>
    <n v="10000"/>
    <n v="10000"/>
  </r>
  <r>
    <s v="FBIE0Z9KOV2H"/>
    <s v="Emily Thomas"/>
    <s v="Flats"/>
    <x v="0"/>
    <x v="23"/>
    <x v="14"/>
    <x v="116"/>
    <n v="0"/>
    <n v="0"/>
    <n v="10000"/>
    <n v="10000"/>
  </r>
  <r>
    <s v="FBM8LMLU2NHB"/>
    <s v="Susan Nguyen"/>
    <s v="Flats"/>
    <x v="3"/>
    <x v="14"/>
    <x v="14"/>
    <x v="116"/>
    <n v="0"/>
    <n v="0"/>
    <n v="10000"/>
    <n v="10000"/>
  </r>
  <r>
    <s v="FBUMM9NXCEAH"/>
    <s v="Barbara Martinez"/>
    <s v="Flats"/>
    <x v="0"/>
    <x v="0"/>
    <x v="14"/>
    <x v="116"/>
    <n v="0"/>
    <n v="0"/>
    <n v="10000"/>
    <n v="10000"/>
  </r>
  <r>
    <s v="FBS7BUQM7YSK"/>
    <s v="Williams Jef"/>
    <s v="Flats"/>
    <x v="4"/>
    <x v="3"/>
    <x v="14"/>
    <x v="116"/>
    <n v="0"/>
    <n v="0"/>
    <n v="10000"/>
    <n v="30000"/>
  </r>
  <r>
    <s v="FBWYUC0XICQ5"/>
    <s v="Robert Robinson"/>
    <s v="Flats"/>
    <x v="0"/>
    <x v="30"/>
    <x v="14"/>
    <x v="117"/>
    <n v="0"/>
    <n v="0"/>
    <n v="10000"/>
    <n v="10000"/>
  </r>
  <r>
    <s v="FBFCSELA3V5G"/>
    <s v="Thomas &amp; Jane Jackson"/>
    <s v="Flats"/>
    <x v="4"/>
    <x v="38"/>
    <x v="14"/>
    <x v="117"/>
    <n v="0"/>
    <n v="0"/>
    <n v="10000"/>
    <n v="10000"/>
  </r>
  <r>
    <s v="FBRJNX22CWEW"/>
    <s v="Lisa Clark"/>
    <s v="Flats"/>
    <x v="3"/>
    <x v="14"/>
    <x v="14"/>
    <x v="117"/>
    <n v="0"/>
    <n v="0"/>
    <n v="10000"/>
    <n v="10000"/>
  </r>
  <r>
    <s v="FB3JZOWS0M2T"/>
    <s v="James Clark"/>
    <s v="Flats"/>
    <x v="4"/>
    <x v="33"/>
    <x v="14"/>
    <x v="117"/>
    <n v="0"/>
    <n v="0"/>
    <n v="10000"/>
    <n v="10000"/>
  </r>
  <r>
    <s v="FBQ1SW07K6LK"/>
    <s v="Betty Lopez"/>
    <s v="Flats"/>
    <x v="4"/>
    <x v="27"/>
    <x v="14"/>
    <x v="118"/>
    <n v="0"/>
    <n v="0"/>
    <n v="10000"/>
    <n v="10000"/>
  </r>
  <r>
    <s v="FBDRN37Q3SZ0"/>
    <s v="Robert Walker"/>
    <s v="Flats"/>
    <x v="2"/>
    <x v="39"/>
    <x v="14"/>
    <x v="121"/>
    <n v="0"/>
    <n v="0"/>
    <n v="10000"/>
    <n v="10000"/>
  </r>
  <r>
    <s v="FB7VPMQ5CUGD"/>
    <s v="Thomas Sanchez"/>
    <s v="Flats"/>
    <x v="0"/>
    <x v="26"/>
    <x v="14"/>
    <x v="122"/>
    <n v="0"/>
    <n v="0"/>
    <n v="10000"/>
    <n v="10000"/>
  </r>
  <r>
    <s v="FBHD1OQ3HJW0"/>
    <s v="Patricia Williams"/>
    <s v="Flats"/>
    <x v="2"/>
    <x v="2"/>
    <x v="14"/>
    <x v="122"/>
    <n v="0"/>
    <n v="0"/>
    <n v="10000"/>
    <n v="10000"/>
  </r>
  <r>
    <s v="FBRM2MC46MC2"/>
    <s v="Daniel Ramirez"/>
    <s v="Flats"/>
    <x v="0"/>
    <x v="19"/>
    <x v="14"/>
    <x v="271"/>
    <n v="0"/>
    <n v="0"/>
    <n v="10000"/>
    <n v="10000"/>
  </r>
  <r>
    <s v="FB21BFIOP3RO"/>
    <s v="Daniel Torres"/>
    <s v="Flats"/>
    <x v="4"/>
    <x v="24"/>
    <x v="14"/>
    <x v="125"/>
    <n v="0"/>
    <n v="0"/>
    <n v="10000"/>
    <n v="10000"/>
  </r>
  <r>
    <s v="FBQ9X2KVGUL7"/>
    <s v="Richard Garcia"/>
    <s v="Flats"/>
    <x v="3"/>
    <x v="36"/>
    <x v="14"/>
    <x v="127"/>
    <n v="0"/>
    <n v="0"/>
    <n v="10000"/>
    <n v="10000"/>
  </r>
  <r>
    <s v="FB7FA0L8DR3X"/>
    <s v="Mark Rodriguez"/>
    <s v="Flats"/>
    <x v="2"/>
    <x v="22"/>
    <x v="14"/>
    <x v="128"/>
    <n v="0"/>
    <n v="0"/>
    <n v="10000"/>
    <n v="10000"/>
  </r>
  <r>
    <s v="FBDPLAO5LYP6"/>
    <s v="Dorothy Thomas"/>
    <s v="Flats"/>
    <x v="0"/>
    <x v="37"/>
    <x v="14"/>
    <x v="278"/>
    <n v="0"/>
    <n v="0"/>
    <n v="10000"/>
    <n v="10000"/>
  </r>
  <r>
    <s v="FBOMTBZMD904"/>
    <s v="Donald Jones"/>
    <s v="Flats"/>
    <x v="0"/>
    <x v="10"/>
    <x v="14"/>
    <x v="129"/>
    <n v="0"/>
    <n v="0"/>
    <n v="10000"/>
    <n v="10000"/>
  </r>
  <r>
    <s v="FBJGC0EI2KGY"/>
    <s v="Betty Lopez"/>
    <s v="Flats"/>
    <x v="4"/>
    <x v="27"/>
    <x v="14"/>
    <x v="130"/>
    <n v="0"/>
    <n v="0"/>
    <n v="10000"/>
    <n v="10000"/>
  </r>
  <r>
    <s v="FBXUWLEL1LRY"/>
    <s v="Barbara Martinez"/>
    <s v="Flats"/>
    <x v="0"/>
    <x v="0"/>
    <x v="14"/>
    <x v="130"/>
    <n v="0"/>
    <n v="0"/>
    <n v="10000"/>
    <n v="10000"/>
  </r>
  <r>
    <s v="FB3T17T7LL2S"/>
    <s v="Paul Perez"/>
    <s v="Flats"/>
    <x v="3"/>
    <x v="16"/>
    <x v="14"/>
    <x v="130"/>
    <n v="0"/>
    <n v="0"/>
    <n v="10000"/>
    <n v="10000"/>
  </r>
  <r>
    <s v="FBH1OJ0HKL3L"/>
    <s v="Michelle Wilson"/>
    <s v="Flats"/>
    <x v="2"/>
    <x v="18"/>
    <x v="14"/>
    <x v="130"/>
    <n v="0"/>
    <n v="0"/>
    <n v="10000"/>
    <n v="10000"/>
  </r>
  <r>
    <s v="FB6EMAYELDX3"/>
    <s v="Anthony Lopez"/>
    <s v="Flats"/>
    <x v="2"/>
    <x v="25"/>
    <x v="14"/>
    <x v="131"/>
    <n v="0"/>
    <n v="0"/>
    <n v="10000"/>
    <n v="10000"/>
  </r>
  <r>
    <s v="FBDFJ6V5YGKT"/>
    <s v="Anthony Robinson"/>
    <s v="Flats"/>
    <x v="3"/>
    <x v="7"/>
    <x v="14"/>
    <x v="131"/>
    <n v="0"/>
    <n v="0"/>
    <n v="10000"/>
    <n v="10000"/>
  </r>
  <r>
    <s v="FBR5ZVC48QNT"/>
    <s v="Richard Allen"/>
    <s v="Flats"/>
    <x v="2"/>
    <x v="6"/>
    <x v="14"/>
    <x v="132"/>
    <n v="0"/>
    <n v="0"/>
    <n v="10000"/>
    <n v="20000"/>
  </r>
  <r>
    <s v="FBR5ZVC48QNT"/>
    <s v="Richard Allen"/>
    <s v="Flats"/>
    <x v="2"/>
    <x v="6"/>
    <x v="14"/>
    <x v="132"/>
    <n v="0"/>
    <n v="0"/>
    <n v="10000"/>
    <n v="10000"/>
  </r>
  <r>
    <s v="FBF2TND92RV8"/>
    <s v="Donna Torres"/>
    <s v="Flats"/>
    <x v="3"/>
    <x v="8"/>
    <x v="14"/>
    <x v="133"/>
    <n v="0"/>
    <n v="0"/>
    <n v="10000"/>
    <n v="10000"/>
  </r>
  <r>
    <s v="FBS4R3ANWJM7"/>
    <s v="Robert Robinson"/>
    <s v="Flats"/>
    <x v="0"/>
    <x v="30"/>
    <x v="14"/>
    <x v="134"/>
    <n v="0"/>
    <n v="0"/>
    <n v="10000"/>
    <n v="10000"/>
  </r>
  <r>
    <s v="FBFDLOODDCXY"/>
    <s v="Sarah Wilson"/>
    <s v="Flats"/>
    <x v="3"/>
    <x v="34"/>
    <x v="14"/>
    <x v="134"/>
    <n v="0"/>
    <n v="0"/>
    <n v="10000"/>
    <n v="10000"/>
  </r>
  <r>
    <s v="FBFHE0RT346P"/>
    <s v="Robert Walker"/>
    <s v="Flats"/>
    <x v="2"/>
    <x v="39"/>
    <x v="14"/>
    <x v="136"/>
    <n v="0"/>
    <n v="0"/>
    <n v="10000"/>
    <n v="10000"/>
  </r>
  <r>
    <s v="FBZ0MPT2VGC5"/>
    <s v="Paul Garcia"/>
    <s v="Flats"/>
    <x v="3"/>
    <x v="11"/>
    <x v="14"/>
    <x v="137"/>
    <n v="0"/>
    <n v="0"/>
    <n v="10000"/>
    <n v="10000"/>
  </r>
  <r>
    <s v="FBX23VA1A6N1"/>
    <s v="Emily Thomas"/>
    <s v="Flats"/>
    <x v="0"/>
    <x v="23"/>
    <x v="14"/>
    <x v="137"/>
    <n v="0"/>
    <n v="0"/>
    <n v="10000"/>
    <n v="10000"/>
  </r>
  <r>
    <s v="FBORALBVI9CJ"/>
    <s v="Daniel Ramirez"/>
    <s v="Flats"/>
    <x v="0"/>
    <x v="19"/>
    <x v="14"/>
    <x v="342"/>
    <n v="0"/>
    <n v="0"/>
    <n v="10000"/>
    <n v="10000"/>
  </r>
  <r>
    <s v="FBOFFNU9ABE5"/>
    <s v="Patricia Williams"/>
    <s v="Flats"/>
    <x v="2"/>
    <x v="2"/>
    <x v="14"/>
    <x v="138"/>
    <n v="0"/>
    <n v="0"/>
    <n v="10000"/>
    <n v="10000"/>
  </r>
  <r>
    <s v="FBCQ5V7C4QB6"/>
    <s v="Thomas Sanchez"/>
    <s v="Flats"/>
    <x v="0"/>
    <x v="26"/>
    <x v="14"/>
    <x v="139"/>
    <n v="0"/>
    <n v="0"/>
    <n v="10000"/>
    <n v="10000"/>
  </r>
  <r>
    <s v="FB70Z4YRTP9M"/>
    <s v="Daniel Torres"/>
    <s v="Flats"/>
    <x v="4"/>
    <x v="24"/>
    <x v="14"/>
    <x v="140"/>
    <n v="0"/>
    <n v="0"/>
    <n v="10000"/>
    <n v="10000"/>
  </r>
  <r>
    <s v="FBC2T89R7WSR"/>
    <s v="Lisa Clark"/>
    <s v="Flats"/>
    <x v="3"/>
    <x v="14"/>
    <x v="14"/>
    <x v="140"/>
    <n v="0"/>
    <n v="0"/>
    <n v="10000"/>
    <n v="10000"/>
  </r>
  <r>
    <s v="FB2ECMJXBITF"/>
    <s v="Richard Garcia"/>
    <s v="Flats"/>
    <x v="3"/>
    <x v="36"/>
    <x v="14"/>
    <x v="141"/>
    <n v="0"/>
    <n v="0"/>
    <n v="10000"/>
    <n v="10000"/>
  </r>
  <r>
    <s v="FBIV18BJL6ZL"/>
    <s v="Dorothy Thomas"/>
    <s v="Flats"/>
    <x v="0"/>
    <x v="37"/>
    <x v="14"/>
    <x v="142"/>
    <n v="0"/>
    <n v="0"/>
    <n v="10000"/>
    <n v="10000"/>
  </r>
  <r>
    <s v="FBHR0AC3DF8T"/>
    <s v="Thomas &amp; Jane Jackson"/>
    <s v="Flats"/>
    <x v="4"/>
    <x v="38"/>
    <x v="14"/>
    <x v="142"/>
    <n v="0"/>
    <n v="0"/>
    <n v="10000"/>
    <n v="10000"/>
  </r>
  <r>
    <s v="FBMAJ6P13BNL"/>
    <s v="Susan Nguyen"/>
    <s v="Flats"/>
    <x v="3"/>
    <x v="14"/>
    <x v="14"/>
    <x v="143"/>
    <n v="0"/>
    <n v="0"/>
    <n v="10000"/>
    <n v="10000"/>
  </r>
  <r>
    <s v="FBWS3BW4DBLI"/>
    <s v="Mark Rodriguez"/>
    <s v="Flats"/>
    <x v="2"/>
    <x v="22"/>
    <x v="14"/>
    <x v="143"/>
    <n v="0"/>
    <n v="0"/>
    <n v="10000"/>
    <n v="10000"/>
  </r>
  <r>
    <s v="FBPGCNIGY4QH"/>
    <s v="Susan Nguyen"/>
    <s v="Flats"/>
    <x v="3"/>
    <x v="14"/>
    <x v="14"/>
    <x v="143"/>
    <n v="0"/>
    <n v="0"/>
    <n v="10000"/>
    <n v="10000"/>
  </r>
  <r>
    <s v="FBA8COV68A4S"/>
    <s v="Anthony Robinson"/>
    <s v="Flats"/>
    <x v="3"/>
    <x v="7"/>
    <x v="14"/>
    <x v="145"/>
    <n v="0"/>
    <n v="0"/>
    <n v="10000"/>
    <n v="10000"/>
  </r>
  <r>
    <s v="FBNPH01KGUGY"/>
    <s v="Anthony Lopez"/>
    <s v="Flats"/>
    <x v="2"/>
    <x v="25"/>
    <x v="14"/>
    <x v="145"/>
    <n v="0"/>
    <n v="0"/>
    <n v="10000"/>
    <n v="10000"/>
  </r>
  <r>
    <s v="FB7OKDWU3Z9W"/>
    <s v="Donna Torres"/>
    <s v="Flats"/>
    <x v="3"/>
    <x v="8"/>
    <x v="14"/>
    <x v="145"/>
    <n v="0"/>
    <n v="0"/>
    <n v="10000"/>
    <n v="10000"/>
  </r>
  <r>
    <s v="FBY6JQ7G1F29"/>
    <s v="Betty Lopez"/>
    <s v="Flats"/>
    <x v="4"/>
    <x v="27"/>
    <x v="14"/>
    <x v="145"/>
    <n v="0"/>
    <n v="0"/>
    <n v="10000"/>
    <n v="10000"/>
  </r>
  <r>
    <s v="FBWXNR2NL519"/>
    <s v="Sarah Wilson"/>
    <s v="Flats"/>
    <x v="3"/>
    <x v="34"/>
    <x v="14"/>
    <x v="146"/>
    <n v="0"/>
    <n v="0"/>
    <n v="10000"/>
    <n v="10000"/>
  </r>
  <r>
    <s v="FBFT91HCSYGV"/>
    <s v="Paul Perez"/>
    <s v="Flats"/>
    <x v="3"/>
    <x v="16"/>
    <x v="14"/>
    <x v="146"/>
    <n v="0"/>
    <n v="0"/>
    <n v="10000"/>
    <n v="10000"/>
  </r>
  <r>
    <s v="FBQ5GBS1EGS5"/>
    <s v="Robert Walker"/>
    <s v="Flats"/>
    <x v="2"/>
    <x v="39"/>
    <x v="14"/>
    <x v="146"/>
    <n v="0"/>
    <n v="0"/>
    <n v="10000"/>
    <n v="10000"/>
  </r>
  <r>
    <s v="FBH4RMEI5MKH"/>
    <s v="Michelle Wilson"/>
    <s v="Flats"/>
    <x v="2"/>
    <x v="18"/>
    <x v="14"/>
    <x v="147"/>
    <n v="0"/>
    <n v="0"/>
    <n v="10000"/>
    <n v="10000"/>
  </r>
  <r>
    <s v="FBN5ABVCJMI1"/>
    <s v="Donald Jones"/>
    <s v="Flats"/>
    <x v="0"/>
    <x v="10"/>
    <x v="14"/>
    <x v="147"/>
    <n v="0"/>
    <n v="0"/>
    <n v="10000"/>
    <n v="10000"/>
  </r>
  <r>
    <s v="FBVBPXBVNFMD"/>
    <s v="Emily Thomas"/>
    <s v="Flats"/>
    <x v="0"/>
    <x v="23"/>
    <x v="14"/>
    <x v="147"/>
    <n v="0"/>
    <n v="0"/>
    <n v="10000"/>
    <n v="10000"/>
  </r>
  <r>
    <s v="FBAM969HVFOC"/>
    <s v="Lisa Clark"/>
    <s v="Flats"/>
    <x v="3"/>
    <x v="14"/>
    <x v="14"/>
    <x v="149"/>
    <n v="0"/>
    <n v="0"/>
    <n v="10000"/>
    <n v="10000"/>
  </r>
  <r>
    <s v="FBM74DJ58RQ0"/>
    <s v="Paul Garcia"/>
    <s v="Flats"/>
    <x v="3"/>
    <x v="11"/>
    <x v="14"/>
    <x v="150"/>
    <n v="0"/>
    <n v="0"/>
    <n v="10000"/>
    <n v="10000"/>
  </r>
  <r>
    <s v="FBWDJZ9QHZVU"/>
    <s v="James Clark"/>
    <s v="Flats"/>
    <x v="4"/>
    <x v="33"/>
    <x v="14"/>
    <x v="151"/>
    <n v="0"/>
    <n v="0"/>
    <n v="10000"/>
    <n v="10000"/>
  </r>
  <r>
    <s v="FBWDJZ9QHZVU"/>
    <s v="James Clark"/>
    <s v="Flats"/>
    <x v="4"/>
    <x v="33"/>
    <x v="14"/>
    <x v="151"/>
    <n v="0"/>
    <n v="0"/>
    <n v="10000"/>
    <n v="10000"/>
  </r>
  <r>
    <s v="FB32YD6M5MHR"/>
    <s v="Thomas Sanchez"/>
    <s v="Flats"/>
    <x v="0"/>
    <x v="26"/>
    <x v="14"/>
    <x v="152"/>
    <n v="0"/>
    <n v="0"/>
    <n v="10000"/>
    <n v="10000"/>
  </r>
  <r>
    <s v="FBBXU6STQBX7"/>
    <s v="Jennifer Lewis"/>
    <s v="Terrace"/>
    <x v="7"/>
    <x v="17"/>
    <x v="14"/>
    <x v="343"/>
    <n v="0"/>
    <n v="0"/>
    <n v="10000"/>
    <n v="10000"/>
  </r>
  <r>
    <s v="FB2EPYZ6EA0X"/>
    <s v="Daniel Ramirez"/>
    <s v="Flats"/>
    <x v="0"/>
    <x v="19"/>
    <x v="14"/>
    <x v="153"/>
    <n v="0"/>
    <n v="0"/>
    <n v="10000"/>
    <n v="10000"/>
  </r>
  <r>
    <s v="FB4GH610RI3H"/>
    <s v="Robert Robinson"/>
    <s v="Flats"/>
    <x v="0"/>
    <x v="30"/>
    <x v="14"/>
    <x v="154"/>
    <n v="0"/>
    <n v="0"/>
    <n v="10000"/>
    <n v="10000"/>
  </r>
  <r>
    <s v="FBOQMVBACJOZ"/>
    <s v="Andrew Allen"/>
    <s v="Flats"/>
    <x v="2"/>
    <x v="4"/>
    <x v="14"/>
    <x v="154"/>
    <n v="0"/>
    <n v="0"/>
    <n v="10000"/>
    <n v="10000"/>
  </r>
  <r>
    <s v="FBWR0G5E2NET"/>
    <s v="James Clark"/>
    <s v="Flats"/>
    <x v="4"/>
    <x v="33"/>
    <x v="14"/>
    <x v="155"/>
    <n v="0"/>
    <n v="0"/>
    <n v="10000"/>
    <n v="10000"/>
  </r>
  <r>
    <s v="FBINXSMS6VP9"/>
    <s v="Joshua Harris"/>
    <s v="Terrace"/>
    <x v="7"/>
    <x v="12"/>
    <x v="14"/>
    <x v="155"/>
    <n v="0"/>
    <n v="0"/>
    <n v="10000"/>
    <n v="10000"/>
  </r>
  <r>
    <s v="FB2Q5V9CRMSZ"/>
    <s v="Patricia Williams"/>
    <s v="Flats"/>
    <x v="2"/>
    <x v="2"/>
    <x v="14"/>
    <x v="156"/>
    <n v="0"/>
    <n v="0"/>
    <n v="10000"/>
    <n v="10000"/>
  </r>
  <r>
    <s v="FBF4RY4T3REQ"/>
    <s v="Jennifer Robinson"/>
    <s v="Terrace"/>
    <x v="7"/>
    <x v="35"/>
    <x v="14"/>
    <x v="295"/>
    <n v="0"/>
    <n v="0"/>
    <n v="10000"/>
    <n v="10000"/>
  </r>
  <r>
    <s v="FBEQND0GM9SL"/>
    <s v="Karen Rodriguez"/>
    <s v="Terrace"/>
    <x v="7"/>
    <x v="13"/>
    <x v="14"/>
    <x v="299"/>
    <n v="0"/>
    <n v="0"/>
    <n v="10000"/>
    <n v="10000"/>
  </r>
  <r>
    <s v="FBEZTNSO1V1P"/>
    <s v="Karen Allen"/>
    <s v="Pent House"/>
    <x v="3"/>
    <x v="28"/>
    <x v="14"/>
    <x v="157"/>
    <n v="0"/>
    <n v="0"/>
    <n v="10000"/>
    <n v="10000"/>
  </r>
  <r>
    <s v="FBW9780LSIHT"/>
    <s v="Barbara Ramirez"/>
    <s v="Flats"/>
    <x v="4"/>
    <x v="21"/>
    <x v="14"/>
    <x v="157"/>
    <n v="0"/>
    <n v="0"/>
    <n v="10000"/>
    <n v="10000"/>
  </r>
  <r>
    <s v="FBG7CODSAAOW"/>
    <s v="Paul Torres"/>
    <s v="Flats"/>
    <x v="2"/>
    <x v="15"/>
    <x v="14"/>
    <x v="158"/>
    <n v="0"/>
    <n v="0"/>
    <n v="10000"/>
    <n v="10000"/>
  </r>
  <r>
    <s v="FBITDES9OHLO"/>
    <s v="Michelle Wilson"/>
    <s v="Flats"/>
    <x v="2"/>
    <x v="18"/>
    <x v="14"/>
    <x v="301"/>
    <n v="0"/>
    <n v="0"/>
    <n v="10000"/>
    <n v="10000"/>
  </r>
  <r>
    <s v="FB5P45GYMOQ8"/>
    <s v="Thomas &amp; Jane Jackson"/>
    <s v="Flats"/>
    <x v="4"/>
    <x v="38"/>
    <x v="14"/>
    <x v="159"/>
    <n v="0"/>
    <n v="0"/>
    <n v="10000"/>
    <n v="30000"/>
  </r>
  <r>
    <s v="FB1LEKXBFCJ6"/>
    <s v="Richard Allen"/>
    <s v="Flats"/>
    <x v="2"/>
    <x v="6"/>
    <x v="14"/>
    <x v="302"/>
    <n v="0"/>
    <n v="0"/>
    <n v="10000"/>
    <n v="30000"/>
  </r>
  <r>
    <s v="FBM2FRRD65EY"/>
    <s v="Joshua Harris"/>
    <s v="Terrace"/>
    <x v="7"/>
    <x v="12"/>
    <x v="14"/>
    <x v="161"/>
    <n v="0"/>
    <n v="0"/>
    <n v="10000"/>
    <n v="10000"/>
  </r>
  <r>
    <s v="FB7I5RXEWN6H"/>
    <s v="Emily Thomas"/>
    <s v="Flats"/>
    <x v="0"/>
    <x v="23"/>
    <x v="14"/>
    <x v="161"/>
    <n v="0"/>
    <n v="0"/>
    <n v="10000"/>
    <n v="10000"/>
  </r>
  <r>
    <s v="FBOSXYS3I0G7"/>
    <s v="Mark Rodriguez"/>
    <s v="Flats"/>
    <x v="2"/>
    <x v="22"/>
    <x v="14"/>
    <x v="161"/>
    <n v="0"/>
    <n v="0"/>
    <n v="10000"/>
    <n v="10000"/>
  </r>
  <r>
    <s v="FB8AFSDENK3V"/>
    <s v="Anthony Robinson"/>
    <s v="Flats"/>
    <x v="3"/>
    <x v="7"/>
    <x v="14"/>
    <x v="162"/>
    <n v="0"/>
    <n v="0"/>
    <n v="10000"/>
    <n v="10000"/>
  </r>
  <r>
    <s v="FBAGUE8H5O8X"/>
    <s v="Richard Garcia"/>
    <s v="Flats"/>
    <x v="3"/>
    <x v="36"/>
    <x v="14"/>
    <x v="162"/>
    <n v="0"/>
    <n v="0"/>
    <n v="10000"/>
    <n v="10000"/>
  </r>
  <r>
    <s v="FBAGUE8H5O8X"/>
    <s v="Richard Garcia"/>
    <s v="Flats"/>
    <x v="3"/>
    <x v="36"/>
    <x v="14"/>
    <x v="162"/>
    <n v="0"/>
    <n v="0"/>
    <n v="10000"/>
    <n v="10000"/>
  </r>
  <r>
    <s v="FB16F9FTBEAR"/>
    <s v="James Clark"/>
    <s v="Flats"/>
    <x v="4"/>
    <x v="33"/>
    <x v="14"/>
    <x v="162"/>
    <n v="0"/>
    <n v="0"/>
    <n v="10000"/>
    <n v="10000"/>
  </r>
  <r>
    <s v="FB0PIL51R29F"/>
    <s v="Betty Lopez"/>
    <s v="Flats"/>
    <x v="4"/>
    <x v="27"/>
    <x v="14"/>
    <x v="162"/>
    <n v="0"/>
    <n v="0"/>
    <n v="10000"/>
    <n v="10000"/>
  </r>
  <r>
    <s v="FB16KASUTQH6"/>
    <s v="Jennifer Lewis"/>
    <s v="Terrace"/>
    <x v="7"/>
    <x v="17"/>
    <x v="14"/>
    <x v="162"/>
    <n v="0"/>
    <n v="0"/>
    <n v="10000"/>
    <n v="10000"/>
  </r>
  <r>
    <s v="FBC9HBV61OEQ"/>
    <s v="Andrew Allen"/>
    <s v="Flats"/>
    <x v="2"/>
    <x v="4"/>
    <x v="14"/>
    <x v="162"/>
    <n v="0"/>
    <n v="0"/>
    <n v="10000"/>
    <n v="10000"/>
  </r>
  <r>
    <s v="FB4SK5XRXMCD"/>
    <s v="Williams Jef"/>
    <s v="Flats"/>
    <x v="4"/>
    <x v="3"/>
    <x v="14"/>
    <x v="163"/>
    <n v="0"/>
    <n v="0"/>
    <n v="10000"/>
    <n v="40000"/>
  </r>
  <r>
    <s v="FBVATG7RIPKR"/>
    <s v="Dorothy Thomas"/>
    <s v="Flats"/>
    <x v="0"/>
    <x v="37"/>
    <x v="14"/>
    <x v="163"/>
    <n v="0"/>
    <n v="0"/>
    <n v="10000"/>
    <n v="10000"/>
  </r>
  <r>
    <s v="FB0176BZ8PK8"/>
    <s v="Jennifer Robinson"/>
    <s v="Terrace"/>
    <x v="7"/>
    <x v="35"/>
    <x v="14"/>
    <x v="163"/>
    <n v="0"/>
    <n v="0"/>
    <n v="10000"/>
    <n v="10000"/>
  </r>
  <r>
    <s v="FBW5B9V2U6YW"/>
    <s v="Jennifer Lewis"/>
    <s v="Terrace"/>
    <x v="7"/>
    <x v="17"/>
    <x v="14"/>
    <x v="164"/>
    <n v="0"/>
    <n v="0"/>
    <n v="10000"/>
    <n v="10000"/>
  </r>
  <r>
    <s v="FBAUUCULQZ4Q"/>
    <s v="Donna Torres"/>
    <s v="Flats"/>
    <x v="3"/>
    <x v="8"/>
    <x v="14"/>
    <x v="164"/>
    <n v="0"/>
    <n v="0"/>
    <n v="10000"/>
    <n v="10000"/>
  </r>
  <r>
    <s v="FB1XEGTA5NM3"/>
    <s v="Betty Lopez"/>
    <s v="Flats"/>
    <x v="4"/>
    <x v="27"/>
    <x v="14"/>
    <x v="164"/>
    <n v="0"/>
    <n v="0"/>
    <n v="10000"/>
    <n v="10000"/>
  </r>
  <r>
    <s v="FB8ZVACGNZTQ"/>
    <s v="Paul Garcia"/>
    <s v="Flats"/>
    <x v="3"/>
    <x v="11"/>
    <x v="14"/>
    <x v="164"/>
    <n v="0"/>
    <n v="0"/>
    <n v="10000"/>
    <n v="10000"/>
  </r>
  <r>
    <s v="FBAUUCULQZ4Q"/>
    <s v="Donna Torres"/>
    <s v="Flats"/>
    <x v="3"/>
    <x v="8"/>
    <x v="14"/>
    <x v="164"/>
    <n v="0"/>
    <n v="0"/>
    <n v="10000"/>
    <n v="10000"/>
  </r>
  <r>
    <s v="FBZ8EA4OUPKL"/>
    <s v="Donald Jones"/>
    <s v="Flats"/>
    <x v="0"/>
    <x v="10"/>
    <x v="14"/>
    <x v="165"/>
    <n v="0"/>
    <n v="0"/>
    <n v="10000"/>
    <n v="10000"/>
  </r>
  <r>
    <s v="FB54ORQD946V"/>
    <s v="Paul Perez"/>
    <s v="Flats"/>
    <x v="3"/>
    <x v="16"/>
    <x v="14"/>
    <x v="165"/>
    <n v="0"/>
    <n v="0"/>
    <n v="10000"/>
    <n v="10000"/>
  </r>
  <r>
    <s v="FB7I7C4GV6TR"/>
    <s v="Karen Rodriguez"/>
    <s v="Terrace"/>
    <x v="7"/>
    <x v="13"/>
    <x v="14"/>
    <x v="165"/>
    <n v="0"/>
    <n v="0"/>
    <n v="10000"/>
    <n v="10000"/>
  </r>
  <r>
    <s v="FBTWNGKKSXJ0"/>
    <s v="Emily Thomas"/>
    <s v="Flats"/>
    <x v="0"/>
    <x v="23"/>
    <x v="14"/>
    <x v="165"/>
    <n v="0"/>
    <n v="0"/>
    <n v="10000"/>
    <n v="40000"/>
  </r>
  <r>
    <s v="FB54ORQD946V"/>
    <s v="Paul Perez"/>
    <s v="Flats"/>
    <x v="3"/>
    <x v="16"/>
    <x v="14"/>
    <x v="165"/>
    <n v="0"/>
    <n v="0"/>
    <n v="10000"/>
    <n v="10000"/>
  </r>
  <r>
    <s v="FBLE4BHIUT6U"/>
    <s v="Patricia Williams"/>
    <s v="Flats"/>
    <x v="2"/>
    <x v="2"/>
    <x v="14"/>
    <x v="167"/>
    <n v="0"/>
    <n v="0"/>
    <n v="10000"/>
    <n v="10000"/>
  </r>
  <r>
    <s v="FB08KPOO05AK"/>
    <s v="Dorothy Thomas"/>
    <s v="Flats"/>
    <x v="0"/>
    <x v="37"/>
    <x v="14"/>
    <x v="167"/>
    <n v="0"/>
    <n v="0"/>
    <n v="10000"/>
    <n v="10000"/>
  </r>
  <r>
    <s v="FBLE4BHIUT6U"/>
    <s v="Patricia Williams"/>
    <s v="Flats"/>
    <x v="2"/>
    <x v="2"/>
    <x v="14"/>
    <x v="167"/>
    <n v="0"/>
    <n v="0"/>
    <n v="10000"/>
    <n v="10000"/>
  </r>
  <r>
    <s v="FBG37IGMGPS6"/>
    <s v="Thomas Sanchez"/>
    <s v="Flats"/>
    <x v="0"/>
    <x v="26"/>
    <x v="14"/>
    <x v="168"/>
    <n v="0"/>
    <n v="0"/>
    <n v="10000"/>
    <n v="10000"/>
  </r>
  <r>
    <s v="FB9MR11VOKOC"/>
    <s v="Michelle Wilson"/>
    <s v="Flats"/>
    <x v="2"/>
    <x v="18"/>
    <x v="14"/>
    <x v="168"/>
    <n v="0"/>
    <n v="0"/>
    <n v="10000"/>
    <n v="10000"/>
  </r>
  <r>
    <s v="FB41Z04HC3QH"/>
    <s v="Thomas Sanchez"/>
    <s v="Flats"/>
    <x v="0"/>
    <x v="26"/>
    <x v="14"/>
    <x v="168"/>
    <n v="0"/>
    <n v="0"/>
    <n v="10000"/>
    <n v="10000"/>
  </r>
  <r>
    <s v="FB5MLJBYRPQ4"/>
    <s v="Sarah Wilson"/>
    <s v="Flats"/>
    <x v="3"/>
    <x v="34"/>
    <x v="14"/>
    <x v="169"/>
    <n v="0"/>
    <n v="0"/>
    <n v="10000"/>
    <n v="10000"/>
  </r>
  <r>
    <s v="FBWSUXZRK9UN"/>
    <s v="Daniel Ramirez"/>
    <s v="Flats"/>
    <x v="0"/>
    <x v="19"/>
    <x v="14"/>
    <x v="170"/>
    <n v="0"/>
    <n v="0"/>
    <n v="10000"/>
    <n v="10000"/>
  </r>
  <r>
    <s v="FBTZWZCWBB5K"/>
    <s v="Robert Walker"/>
    <s v="Flats"/>
    <x v="2"/>
    <x v="39"/>
    <x v="14"/>
    <x v="171"/>
    <n v="0"/>
    <n v="0"/>
    <n v="10000"/>
    <n v="10000"/>
  </r>
  <r>
    <s v="FB75XPRMPKL3"/>
    <s v="Joshua Harris"/>
    <s v="Terrace"/>
    <x v="7"/>
    <x v="12"/>
    <x v="14"/>
    <x v="171"/>
    <n v="0"/>
    <n v="0"/>
    <n v="10000"/>
    <n v="10000"/>
  </r>
  <r>
    <s v="FBF74ZT0G7CB"/>
    <s v="Karen Allen"/>
    <s v="Pent House"/>
    <x v="3"/>
    <x v="28"/>
    <x v="14"/>
    <x v="338"/>
    <n v="0"/>
    <n v="0"/>
    <n v="10000"/>
    <n v="10000"/>
  </r>
  <r>
    <s v="FBXCFTNW8XNZ"/>
    <s v="Andrew Allen"/>
    <s v="Flats"/>
    <x v="2"/>
    <x v="4"/>
    <x v="14"/>
    <x v="172"/>
    <n v="0"/>
    <n v="0"/>
    <n v="10000"/>
    <n v="10000"/>
  </r>
  <r>
    <s v="FBTRB1FO3RI8"/>
    <s v="Anthony Lopez"/>
    <s v="Flats"/>
    <x v="2"/>
    <x v="25"/>
    <x v="14"/>
    <x v="173"/>
    <n v="0"/>
    <n v="0"/>
    <n v="10000"/>
    <n v="10000"/>
  </r>
  <r>
    <s v="FBPXLQ99LYYH"/>
    <s v="Michelle Wilson"/>
    <s v="Flats"/>
    <x v="2"/>
    <x v="18"/>
    <x v="14"/>
    <x v="173"/>
    <n v="0"/>
    <n v="0"/>
    <n v="10000"/>
    <n v="10000"/>
  </r>
  <r>
    <s v="FBEE9NGRPSJU"/>
    <s v="Robert Robinson"/>
    <s v="Flats"/>
    <x v="0"/>
    <x v="30"/>
    <x v="14"/>
    <x v="174"/>
    <n v="0"/>
    <n v="0"/>
    <n v="10000"/>
    <n v="10000"/>
  </r>
  <r>
    <s v="FBEE9NGRPSJU"/>
    <s v="Robert Robinson"/>
    <s v="Flats"/>
    <x v="0"/>
    <x v="30"/>
    <x v="14"/>
    <x v="174"/>
    <n v="0"/>
    <n v="0"/>
    <n v="10000"/>
    <n v="10000"/>
  </r>
  <r>
    <s v="FBQSVM5KAVG8"/>
    <s v="Karen Allen"/>
    <s v="Pent House"/>
    <x v="3"/>
    <x v="28"/>
    <x v="14"/>
    <x v="176"/>
    <n v="0"/>
    <n v="0"/>
    <n v="10000"/>
    <n v="10000"/>
  </r>
  <r>
    <s v="FBO6JC5RMEVM"/>
    <s v="Karen Rodriguez"/>
    <s v="Terrace"/>
    <x v="7"/>
    <x v="13"/>
    <x v="14"/>
    <x v="176"/>
    <n v="0"/>
    <n v="0"/>
    <n v="10000"/>
    <n v="10000"/>
  </r>
  <r>
    <s v="FBXITR4F3IHF"/>
    <s v="Lisa Clark"/>
    <s v="Flats"/>
    <x v="3"/>
    <x v="14"/>
    <x v="14"/>
    <x v="177"/>
    <n v="0"/>
    <n v="0"/>
    <n v="10000"/>
    <n v="10000"/>
  </r>
  <r>
    <s v="FB6YA8NMIC91"/>
    <s v="Susan Nguyen"/>
    <s v="Flats"/>
    <x v="3"/>
    <x v="14"/>
    <x v="14"/>
    <x v="177"/>
    <n v="0"/>
    <n v="0"/>
    <n v="10000"/>
    <n v="10000"/>
  </r>
  <r>
    <s v="FB6YA8NMIC91"/>
    <s v="Susan Nguyen"/>
    <s v="Flats"/>
    <x v="3"/>
    <x v="14"/>
    <x v="14"/>
    <x v="177"/>
    <n v="0"/>
    <n v="0"/>
    <n v="10000"/>
    <n v="10000"/>
  </r>
  <r>
    <s v="FBL5EY1YBZHS"/>
    <s v="Paul Perez"/>
    <s v="Flats"/>
    <x v="3"/>
    <x v="16"/>
    <x v="14"/>
    <x v="307"/>
    <n v="0"/>
    <n v="0"/>
    <n v="10000"/>
    <n v="10000"/>
  </r>
  <r>
    <s v="FBQOPS68ZFQH"/>
    <s v="Barbara Martinez"/>
    <s v="Flats"/>
    <x v="0"/>
    <x v="0"/>
    <x v="14"/>
    <x v="178"/>
    <n v="0"/>
    <n v="0"/>
    <n v="10000"/>
    <n v="10000"/>
  </r>
  <r>
    <s v="FBPNFOL79JKI"/>
    <s v="Jennifer Robinson"/>
    <s v="Terrace"/>
    <x v="7"/>
    <x v="35"/>
    <x v="14"/>
    <x v="178"/>
    <n v="0"/>
    <n v="0"/>
    <n v="10000"/>
    <n v="10000"/>
  </r>
  <r>
    <s v="FBQOPS68ZFQH"/>
    <s v="Barbara Martinez"/>
    <s v="Flats"/>
    <x v="0"/>
    <x v="0"/>
    <x v="14"/>
    <x v="178"/>
    <n v="0"/>
    <n v="0"/>
    <n v="10000"/>
    <n v="10000"/>
  </r>
  <r>
    <s v="FBJZNXJ44SC0"/>
    <s v="Richard Garcia"/>
    <s v="Flats"/>
    <x v="3"/>
    <x v="36"/>
    <x v="14"/>
    <x v="179"/>
    <n v="0"/>
    <n v="0"/>
    <n v="10000"/>
    <n v="10000"/>
  </r>
  <r>
    <s v="FBKBCU0QCUVF"/>
    <s v="Barbara Ramirez"/>
    <s v="Flats"/>
    <x v="4"/>
    <x v="21"/>
    <x v="14"/>
    <x v="179"/>
    <n v="0"/>
    <n v="0"/>
    <n v="10000"/>
    <n v="10000"/>
  </r>
  <r>
    <s v="FBNU6V6KUPRR"/>
    <s v="Daniel Torres"/>
    <s v="Flats"/>
    <x v="4"/>
    <x v="24"/>
    <x v="14"/>
    <x v="179"/>
    <n v="0"/>
    <n v="0"/>
    <n v="10000"/>
    <n v="10000"/>
  </r>
  <r>
    <s v="FBKCMMX3W310"/>
    <s v="James Clark"/>
    <s v="Flats"/>
    <x v="4"/>
    <x v="33"/>
    <x v="14"/>
    <x v="182"/>
    <n v="0"/>
    <n v="0"/>
    <n v="10000"/>
    <n v="10000"/>
  </r>
  <r>
    <s v="FBV9CM97U4X2"/>
    <s v="Mark Rodriguez"/>
    <s v="Flats"/>
    <x v="2"/>
    <x v="22"/>
    <x v="14"/>
    <x v="183"/>
    <n v="0"/>
    <n v="0"/>
    <n v="10000"/>
    <n v="10000"/>
  </r>
  <r>
    <s v="FBYI856CLRXI"/>
    <s v="Daniel Torres"/>
    <s v="Flats"/>
    <x v="4"/>
    <x v="24"/>
    <x v="14"/>
    <x v="184"/>
    <n v="0"/>
    <n v="0"/>
    <n v="10000"/>
    <n v="10000"/>
  </r>
  <r>
    <s v="FBTS7CVMJ829"/>
    <s v="Paul Torres"/>
    <s v="Flats"/>
    <x v="2"/>
    <x v="15"/>
    <x v="14"/>
    <x v="310"/>
    <n v="0"/>
    <n v="0"/>
    <n v="10000"/>
    <n v="10000"/>
  </r>
  <r>
    <s v="FBBYL4D3MVKL"/>
    <s v="Jennifer Lewis"/>
    <s v="Terrace"/>
    <x v="7"/>
    <x v="17"/>
    <x v="14"/>
    <x v="185"/>
    <n v="0"/>
    <n v="0"/>
    <n v="10000"/>
    <n v="10000"/>
  </r>
  <r>
    <s v="FBPLVCDUOBQE"/>
    <s v="Dorothy Thomas"/>
    <s v="Flats"/>
    <x v="0"/>
    <x v="37"/>
    <x v="14"/>
    <x v="185"/>
    <n v="0"/>
    <n v="0"/>
    <n v="10000"/>
    <n v="10000"/>
  </r>
  <r>
    <s v="FB6PNI6XZOHH"/>
    <s v="Paul Torres"/>
    <s v="Flats"/>
    <x v="2"/>
    <x v="15"/>
    <x v="14"/>
    <x v="185"/>
    <n v="0"/>
    <n v="0"/>
    <n v="10000"/>
    <n v="10000"/>
  </r>
  <r>
    <s v="FB3SFU0O47D5"/>
    <s v="Paul Garcia"/>
    <s v="Flats"/>
    <x v="3"/>
    <x v="11"/>
    <x v="14"/>
    <x v="185"/>
    <n v="0"/>
    <n v="0"/>
    <n v="10000"/>
    <n v="10000"/>
  </r>
  <r>
    <s v="FB53JBD3J8FU"/>
    <s v="Michelle Wilson"/>
    <s v="Flats"/>
    <x v="2"/>
    <x v="18"/>
    <x v="14"/>
    <x v="186"/>
    <n v="0"/>
    <n v="0"/>
    <n v="10000"/>
    <n v="10000"/>
  </r>
  <r>
    <s v="FBEMANNCFV8Q"/>
    <s v="Betty Lopez"/>
    <s v="Flats"/>
    <x v="4"/>
    <x v="27"/>
    <x v="14"/>
    <x v="186"/>
    <n v="0"/>
    <n v="0"/>
    <n v="10000"/>
    <n v="10000"/>
  </r>
  <r>
    <s v="FBCS0A4AZGH4"/>
    <s v="Daniel Ramirez"/>
    <s v="Flats"/>
    <x v="0"/>
    <x v="19"/>
    <x v="14"/>
    <x v="187"/>
    <n v="0"/>
    <n v="0"/>
    <n v="10000"/>
    <n v="10000"/>
  </r>
  <r>
    <s v="FBGRJWGWDY1M"/>
    <s v="Paul Perez"/>
    <s v="Flats"/>
    <x v="3"/>
    <x v="16"/>
    <x v="14"/>
    <x v="187"/>
    <n v="0"/>
    <n v="0"/>
    <n v="10000"/>
    <n v="10000"/>
  </r>
  <r>
    <s v="FB9LY5924QPE"/>
    <s v="Andrew Allen"/>
    <s v="Flats"/>
    <x v="2"/>
    <x v="4"/>
    <x v="14"/>
    <x v="188"/>
    <n v="0"/>
    <n v="0"/>
    <n v="10000"/>
    <n v="10000"/>
  </r>
  <r>
    <s v="FBZ47CVDJXV9"/>
    <s v="Joshua Harris"/>
    <s v="Terrace"/>
    <x v="7"/>
    <x v="12"/>
    <x v="14"/>
    <x v="188"/>
    <n v="0"/>
    <n v="0"/>
    <n v="10000"/>
    <n v="10000"/>
  </r>
  <r>
    <s v="FBSBGB2C9MIE"/>
    <s v="Robert Robinson"/>
    <s v="Flats"/>
    <x v="0"/>
    <x v="30"/>
    <x v="14"/>
    <x v="189"/>
    <n v="0"/>
    <n v="0"/>
    <n v="10000"/>
    <n v="10000"/>
  </r>
  <r>
    <s v="FB88OZYGPV5V"/>
    <s v="Karen Allen"/>
    <s v="Pent House"/>
    <x v="3"/>
    <x v="28"/>
    <x v="14"/>
    <x v="189"/>
    <n v="0"/>
    <n v="0"/>
    <n v="10000"/>
    <n v="10000"/>
  </r>
  <r>
    <s v="FBVFPCGK7UJN"/>
    <s v="Paul Torres"/>
    <s v="Flats"/>
    <x v="2"/>
    <x v="15"/>
    <x v="14"/>
    <x v="189"/>
    <n v="0"/>
    <n v="0"/>
    <n v="10000"/>
    <n v="10000"/>
  </r>
  <r>
    <s v="FBFZAVV55YZN"/>
    <s v="Susan Nguyen"/>
    <s v="Flats"/>
    <x v="3"/>
    <x v="14"/>
    <x v="14"/>
    <x v="190"/>
    <n v="0"/>
    <n v="0"/>
    <n v="10000"/>
    <n v="10000"/>
  </r>
  <r>
    <s v="FB8A1AHJT161"/>
    <s v="Karen Rodriguez"/>
    <s v="Terrace"/>
    <x v="7"/>
    <x v="13"/>
    <x v="14"/>
    <x v="190"/>
    <n v="0"/>
    <n v="0"/>
    <n v="10000"/>
    <n v="10000"/>
  </r>
  <r>
    <s v="FBTMPK1D1V4B"/>
    <s v="Lisa Clark"/>
    <s v="Flats"/>
    <x v="3"/>
    <x v="14"/>
    <x v="14"/>
    <x v="191"/>
    <n v="0"/>
    <n v="0"/>
    <n v="10000"/>
    <n v="10000"/>
  </r>
  <r>
    <s v="FBTMKATBF45D"/>
    <s v="Sarah Wilson"/>
    <s v="Flats"/>
    <x v="3"/>
    <x v="34"/>
    <x v="14"/>
    <x v="192"/>
    <n v="0"/>
    <n v="0"/>
    <n v="10000"/>
    <n v="10000"/>
  </r>
  <r>
    <s v="FB0S5QTJBCKL"/>
    <s v="Thomas Sanchez"/>
    <s v="Flats"/>
    <x v="0"/>
    <x v="26"/>
    <x v="14"/>
    <x v="193"/>
    <n v="0"/>
    <n v="0"/>
    <n v="10000"/>
    <n v="10000"/>
  </r>
  <r>
    <s v="FBMYEO5BV3SG"/>
    <s v="Paul Garcia"/>
    <s v="Flats"/>
    <x v="3"/>
    <x v="11"/>
    <x v="14"/>
    <x v="193"/>
    <n v="0"/>
    <n v="0"/>
    <n v="10000"/>
    <n v="10000"/>
  </r>
  <r>
    <s v="FBD6IQW6KM2P"/>
    <s v="Robert Walker"/>
    <s v="Flats"/>
    <x v="2"/>
    <x v="39"/>
    <x v="14"/>
    <x v="194"/>
    <n v="0"/>
    <n v="0"/>
    <n v="10000"/>
    <n v="10000"/>
  </r>
  <r>
    <s v="FBI93EV19T4K"/>
    <s v="Anthony Lopez"/>
    <s v="Flats"/>
    <x v="2"/>
    <x v="25"/>
    <x v="14"/>
    <x v="194"/>
    <n v="0"/>
    <n v="0"/>
    <n v="10000"/>
    <n v="10000"/>
  </r>
  <r>
    <s v="FBIDRDOFZQ19"/>
    <s v="Patricia Williams"/>
    <s v="Flats"/>
    <x v="2"/>
    <x v="2"/>
    <x v="14"/>
    <x v="195"/>
    <n v="0"/>
    <n v="0"/>
    <n v="10000"/>
    <n v="10000"/>
  </r>
  <r>
    <s v="FBAXPP4CQWTW"/>
    <s v="Barbara Ramirez"/>
    <s v="Flats"/>
    <x v="4"/>
    <x v="21"/>
    <x v="14"/>
    <x v="196"/>
    <n v="0"/>
    <n v="0"/>
    <n v="10000"/>
    <n v="10000"/>
  </r>
  <r>
    <s v="FB68U71Q0QA1"/>
    <s v="Anthony Robinson"/>
    <s v="Flats"/>
    <x v="3"/>
    <x v="7"/>
    <x v="14"/>
    <x v="312"/>
    <n v="0"/>
    <n v="0"/>
    <n v="10000"/>
    <n v="10000"/>
  </r>
  <r>
    <s v="FB1YT0MWK7Y6"/>
    <s v="Jennifer Robinson"/>
    <s v="Terrace"/>
    <x v="7"/>
    <x v="35"/>
    <x v="14"/>
    <x v="199"/>
    <n v="0"/>
    <n v="0"/>
    <n v="10000"/>
    <n v="10000"/>
  </r>
  <r>
    <s v="FBTYNUIP2N1I"/>
    <s v="Richard Garcia"/>
    <s v="Flats"/>
    <x v="3"/>
    <x v="36"/>
    <x v="14"/>
    <x v="200"/>
    <n v="0"/>
    <n v="0"/>
    <n v="10000"/>
    <n v="10000"/>
  </r>
  <r>
    <s v="FBUP92MGQOY0"/>
    <s v="Donald Jones"/>
    <s v="Flats"/>
    <x v="0"/>
    <x v="10"/>
    <x v="14"/>
    <x v="200"/>
    <n v="0"/>
    <n v="0"/>
    <n v="10000"/>
    <n v="10000"/>
  </r>
  <r>
    <s v="FBJYTX5TG878"/>
    <s v="Barbara Martinez"/>
    <s v="Flats"/>
    <x v="0"/>
    <x v="0"/>
    <x v="14"/>
    <x v="200"/>
    <n v="0"/>
    <n v="0"/>
    <n v="10000"/>
    <n v="10000"/>
  </r>
  <r>
    <s v="FBKOY6VB6X9W"/>
    <s v="Daniel Torres"/>
    <s v="Flats"/>
    <x v="4"/>
    <x v="24"/>
    <x v="14"/>
    <x v="201"/>
    <n v="0"/>
    <n v="0"/>
    <n v="10000"/>
    <n v="10000"/>
  </r>
  <r>
    <s v="FBXKG5P0EPBH"/>
    <s v="Mark Rodriguez"/>
    <s v="Flats"/>
    <x v="2"/>
    <x v="22"/>
    <x v="14"/>
    <x v="201"/>
    <n v="0"/>
    <n v="0"/>
    <n v="10000"/>
    <n v="10000"/>
  </r>
  <r>
    <s v="FBAKJS8Q0EJ3"/>
    <s v="Robert Robinson"/>
    <s v="Flats"/>
    <x v="0"/>
    <x v="30"/>
    <x v="14"/>
    <x v="202"/>
    <n v="0"/>
    <n v="0"/>
    <n v="10000"/>
    <n v="10000"/>
  </r>
  <r>
    <s v="FBBBR1EVU26S"/>
    <s v="Robert Walker"/>
    <s v="Flats"/>
    <x v="2"/>
    <x v="39"/>
    <x v="14"/>
    <x v="202"/>
    <n v="0"/>
    <n v="0"/>
    <n v="10000"/>
    <n v="10000"/>
  </r>
  <r>
    <s v="FBO4IPHYRBOA"/>
    <s v="Dorothy Thomas"/>
    <s v="Flats"/>
    <x v="0"/>
    <x v="37"/>
    <x v="14"/>
    <x v="202"/>
    <n v="0"/>
    <n v="0"/>
    <n v="10000"/>
    <n v="10000"/>
  </r>
  <r>
    <s v="FBZNJ14NMARI"/>
    <s v="Jennifer Lewis"/>
    <s v="Terrace"/>
    <x v="7"/>
    <x v="17"/>
    <x v="14"/>
    <x v="202"/>
    <n v="0"/>
    <n v="0"/>
    <n v="10000"/>
    <n v="10000"/>
  </r>
  <r>
    <s v="FBLKT0OWOA4E"/>
    <s v="Andrew Allen"/>
    <s v="Flats"/>
    <x v="2"/>
    <x v="4"/>
    <x v="14"/>
    <x v="203"/>
    <n v="0"/>
    <n v="0"/>
    <n v="10000"/>
    <n v="10000"/>
  </r>
  <r>
    <s v="FBPDP0PRB6A5"/>
    <s v="Paul Garcia"/>
    <s v="Flats"/>
    <x v="3"/>
    <x v="11"/>
    <x v="14"/>
    <x v="203"/>
    <n v="0"/>
    <n v="0"/>
    <n v="10000"/>
    <n v="10000"/>
  </r>
  <r>
    <s v="FBQXOPXYZGXJ"/>
    <s v="Karen Allen"/>
    <s v="Pent House"/>
    <x v="3"/>
    <x v="28"/>
    <x v="14"/>
    <x v="204"/>
    <n v="0"/>
    <n v="0"/>
    <n v="10000"/>
    <n v="10000"/>
  </r>
  <r>
    <s v="FB17DW2JFGUB"/>
    <s v="Joshua Harris"/>
    <s v="Terrace"/>
    <x v="7"/>
    <x v="12"/>
    <x v="14"/>
    <x v="204"/>
    <n v="0"/>
    <n v="0"/>
    <n v="10000"/>
    <n v="10000"/>
  </r>
  <r>
    <s v="FBW8ATKVPYWR"/>
    <s v="Anthony Robinson"/>
    <s v="Flats"/>
    <x v="3"/>
    <x v="7"/>
    <x v="14"/>
    <x v="204"/>
    <n v="0"/>
    <n v="0"/>
    <n v="10000"/>
    <n v="10000"/>
  </r>
  <r>
    <s v="FB3HFON7EBGU"/>
    <s v="Daniel Ramirez"/>
    <s v="Flats"/>
    <x v="0"/>
    <x v="19"/>
    <x v="14"/>
    <x v="206"/>
    <n v="0"/>
    <n v="0"/>
    <n v="10000"/>
    <n v="10000"/>
  </r>
  <r>
    <s v="FBUM56G975S9"/>
    <s v="Sarah Wilson"/>
    <s v="Flats"/>
    <x v="3"/>
    <x v="34"/>
    <x v="14"/>
    <x v="206"/>
    <n v="0"/>
    <n v="0"/>
    <n v="10000"/>
    <n v="10000"/>
  </r>
  <r>
    <s v="FB24WBRYDMTO"/>
    <s v="Elizabeth Martin"/>
    <s v="Flats"/>
    <x v="4"/>
    <x v="29"/>
    <x v="14"/>
    <x v="206"/>
    <n v="0"/>
    <n v="0"/>
    <n v="10000"/>
    <n v="10000"/>
  </r>
  <r>
    <s v="FBEEC7158N7Y"/>
    <s v="Jennifer Robinson"/>
    <s v="Terrace"/>
    <x v="7"/>
    <x v="35"/>
    <x v="14"/>
    <x v="207"/>
    <n v="0"/>
    <n v="0"/>
    <n v="10000"/>
    <n v="10000"/>
  </r>
  <r>
    <s v="FBGO11FYO8ZF"/>
    <s v="Karen Rodriguez"/>
    <s v="Terrace"/>
    <x v="7"/>
    <x v="13"/>
    <x v="14"/>
    <x v="207"/>
    <n v="0"/>
    <n v="0"/>
    <n v="10000"/>
    <n v="10000"/>
  </r>
  <r>
    <s v="FBDJVE95TEFZ"/>
    <s v="Anthony Lopez"/>
    <s v="Flats"/>
    <x v="2"/>
    <x v="25"/>
    <x v="14"/>
    <x v="210"/>
    <n v="0"/>
    <n v="0"/>
    <n v="10000"/>
    <n v="10000"/>
  </r>
  <r>
    <s v="FBIF6LLXOJAK"/>
    <s v="Barbara Ramirez"/>
    <s v="Flats"/>
    <x v="4"/>
    <x v="21"/>
    <x v="14"/>
    <x v="211"/>
    <n v="0"/>
    <n v="0"/>
    <n v="10000"/>
    <n v="10000"/>
  </r>
  <r>
    <s v="FBWHQXGBQI72"/>
    <s v="Mark Rodriguez"/>
    <s v="Flats"/>
    <x v="2"/>
    <x v="22"/>
    <x v="14"/>
    <x v="213"/>
    <n v="0"/>
    <n v="0"/>
    <n v="10000"/>
    <n v="10000"/>
  </r>
  <r>
    <s v="FBZBKFXI7VBJ"/>
    <s v="Lisa Clark"/>
    <s v="Flats"/>
    <x v="3"/>
    <x v="14"/>
    <x v="14"/>
    <x v="214"/>
    <n v="0"/>
    <n v="0"/>
    <n v="10000"/>
    <n v="10000"/>
  </r>
  <r>
    <s v="FBDL8AI9IFET"/>
    <s v="Mary Hernandez"/>
    <s v="Flats"/>
    <x v="0"/>
    <x v="32"/>
    <x v="14"/>
    <x v="217"/>
    <n v="0"/>
    <n v="0"/>
    <n v="10000"/>
    <n v="10000"/>
  </r>
  <r>
    <s v="FB3W1UHYLE38"/>
    <s v="Mary Hernandez"/>
    <s v="Flats"/>
    <x v="0"/>
    <x v="32"/>
    <x v="14"/>
    <x v="217"/>
    <n v="0"/>
    <n v="0"/>
    <n v="10000"/>
    <n v="10000"/>
  </r>
  <r>
    <s v="FBD0OG1Y2CQO"/>
    <s v="Daniel Torres"/>
    <s v="Flats"/>
    <x v="4"/>
    <x v="24"/>
    <x v="14"/>
    <x v="218"/>
    <n v="0"/>
    <n v="0"/>
    <n v="10000"/>
    <n v="10000"/>
  </r>
  <r>
    <s v="FBPTGG042M4H"/>
    <s v="Thomas Sanchez"/>
    <s v="Flats"/>
    <x v="0"/>
    <x v="26"/>
    <x v="14"/>
    <x v="335"/>
    <n v="0"/>
    <n v="0"/>
    <n v="10000"/>
    <n v="10000"/>
  </r>
  <r>
    <s v="FBPM46FN3UG9"/>
    <s v="Michael Wright"/>
    <s v="Flats"/>
    <x v="3"/>
    <x v="9"/>
    <x v="14"/>
    <x v="335"/>
    <n v="0"/>
    <n v="0"/>
    <n v="10000"/>
    <n v="120000"/>
  </r>
  <r>
    <s v="FB0RTX60IXBX"/>
    <s v="Thomas Sanchez"/>
    <s v="Flats"/>
    <x v="0"/>
    <x v="26"/>
    <x v="15"/>
    <x v="4"/>
    <n v="0"/>
    <n v="0"/>
    <n v="4750"/>
    <n v="4750"/>
  </r>
  <r>
    <s v="FBM7AEDLM7HK"/>
    <s v="Barbara Martinez"/>
    <s v="Flats"/>
    <x v="0"/>
    <x v="0"/>
    <x v="15"/>
    <x v="15"/>
    <n v="0"/>
    <n v="0"/>
    <n v="4750"/>
    <n v="47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58360D-5018-4970-BBB6-16384343B731}" name="Electricity Recharge"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11" fieldListSortAscending="1">
  <location ref="D9:E49" firstHeaderRow="1" firstDataRow="2" firstDataCol="1"/>
  <pivotFields count="13">
    <pivotField showAll="0"/>
    <pivotField showAll="0"/>
    <pivotField showAll="0"/>
    <pivotField showAll="0">
      <items count="11">
        <item x="4"/>
        <item x="2"/>
        <item x="0"/>
        <item x="3"/>
        <item x="7"/>
        <item x="5"/>
        <item x="8"/>
        <item x="1"/>
        <item x="6"/>
        <item x="9"/>
        <item t="default"/>
      </items>
    </pivotField>
    <pivotField axis="axisRow" showAll="0" sortType="ascending">
      <items count="41">
        <item x="24"/>
        <item x="27"/>
        <item x="38"/>
        <item x="3"/>
        <item x="33"/>
        <item x="21"/>
        <item x="29"/>
        <item x="31"/>
        <item x="15"/>
        <item x="6"/>
        <item x="39"/>
        <item x="4"/>
        <item x="2"/>
        <item x="25"/>
        <item x="22"/>
        <item x="18"/>
        <item x="37"/>
        <item x="19"/>
        <item x="0"/>
        <item x="10"/>
        <item x="26"/>
        <item x="23"/>
        <item x="30"/>
        <item x="32"/>
        <item h="1" x="1"/>
        <item h="1" x="20"/>
        <item x="16"/>
        <item x="7"/>
        <item x="8"/>
        <item x="34"/>
        <item x="9"/>
        <item x="14"/>
        <item x="11"/>
        <item x="36"/>
        <item x="28"/>
        <item x="12"/>
        <item x="13"/>
        <item x="35"/>
        <item x="17"/>
        <item x="5"/>
        <item t="default"/>
      </items>
    </pivotField>
    <pivotField axis="axisCol" showAll="0">
      <items count="20">
        <item h="1" x="0"/>
        <item h="1" x="1"/>
        <item x="2"/>
        <item h="1" x="3"/>
        <item h="1" x="4"/>
        <item h="1" x="5"/>
        <item h="1" x="6"/>
        <item h="1" x="7"/>
        <item h="1" x="8"/>
        <item h="1" x="9"/>
        <item h="1" x="10"/>
        <item h="1" x="11"/>
        <item h="1" m="1" x="16"/>
        <item h="1" m="1" x="17"/>
        <item h="1" m="1" x="18"/>
        <item h="1" x="14"/>
        <item h="1" x="15"/>
        <item h="1" x="12"/>
        <item h="1" x="13"/>
        <item t="default"/>
      </items>
    </pivotField>
    <pivotField showAll="0">
      <items count="345">
        <item x="220"/>
        <item x="339"/>
        <item x="0"/>
        <item x="1"/>
        <item x="2"/>
        <item x="3"/>
        <item x="4"/>
        <item x="5"/>
        <item x="6"/>
        <item x="7"/>
        <item x="8"/>
        <item x="9"/>
        <item x="10"/>
        <item x="11"/>
        <item x="12"/>
        <item x="13"/>
        <item x="14"/>
        <item x="15"/>
        <item x="16"/>
        <item x="17"/>
        <item x="18"/>
        <item x="19"/>
        <item x="20"/>
        <item x="21"/>
        <item x="221"/>
        <item x="22"/>
        <item x="23"/>
        <item x="24"/>
        <item x="25"/>
        <item x="26"/>
        <item x="222"/>
        <item x="27"/>
        <item x="28"/>
        <item x="29"/>
        <item x="223"/>
        <item x="224"/>
        <item x="30"/>
        <item x="31"/>
        <item x="32"/>
        <item x="33"/>
        <item x="34"/>
        <item x="340"/>
        <item x="35"/>
        <item x="36"/>
        <item x="37"/>
        <item x="225"/>
        <item x="226"/>
        <item x="38"/>
        <item x="39"/>
        <item x="40"/>
        <item x="41"/>
        <item x="42"/>
        <item x="43"/>
        <item x="44"/>
        <item x="45"/>
        <item x="46"/>
        <item x="47"/>
        <item x="48"/>
        <item x="227"/>
        <item x="49"/>
        <item x="50"/>
        <item x="228"/>
        <item x="229"/>
        <item x="51"/>
        <item x="230"/>
        <item x="52"/>
        <item x="53"/>
        <item x="54"/>
        <item x="231"/>
        <item x="55"/>
        <item x="56"/>
        <item x="57"/>
        <item x="58"/>
        <item x="232"/>
        <item x="59"/>
        <item x="233"/>
        <item x="60"/>
        <item x="61"/>
        <item x="62"/>
        <item x="63"/>
        <item x="64"/>
        <item x="65"/>
        <item x="66"/>
        <item x="67"/>
        <item x="68"/>
        <item x="341"/>
        <item x="69"/>
        <item x="70"/>
        <item x="71"/>
        <item x="72"/>
        <item x="234"/>
        <item x="235"/>
        <item x="236"/>
        <item x="73"/>
        <item x="237"/>
        <item x="238"/>
        <item x="74"/>
        <item x="239"/>
        <item x="75"/>
        <item x="76"/>
        <item x="240"/>
        <item x="77"/>
        <item x="241"/>
        <item x="242"/>
        <item x="243"/>
        <item x="78"/>
        <item x="79"/>
        <item x="80"/>
        <item x="81"/>
        <item x="82"/>
        <item x="83"/>
        <item x="84"/>
        <item x="244"/>
        <item x="85"/>
        <item x="86"/>
        <item x="245"/>
        <item x="87"/>
        <item x="88"/>
        <item x="246"/>
        <item x="89"/>
        <item x="247"/>
        <item x="248"/>
        <item x="249"/>
        <item x="90"/>
        <item x="91"/>
        <item x="92"/>
        <item x="250"/>
        <item x="251"/>
        <item x="93"/>
        <item x="252"/>
        <item x="253"/>
        <item x="254"/>
        <item x="94"/>
        <item x="255"/>
        <item x="95"/>
        <item x="96"/>
        <item x="97"/>
        <item x="98"/>
        <item x="99"/>
        <item x="100"/>
        <item x="101"/>
        <item x="102"/>
        <item x="256"/>
        <item x="257"/>
        <item x="103"/>
        <item x="104"/>
        <item x="219"/>
        <item x="258"/>
        <item x="105"/>
        <item x="106"/>
        <item x="107"/>
        <item x="108"/>
        <item x="259"/>
        <item x="260"/>
        <item x="261"/>
        <item x="109"/>
        <item x="262"/>
        <item x="263"/>
        <item x="264"/>
        <item x="265"/>
        <item x="110"/>
        <item x="111"/>
        <item x="112"/>
        <item x="266"/>
        <item x="113"/>
        <item x="114"/>
        <item x="115"/>
        <item x="116"/>
        <item x="117"/>
        <item x="267"/>
        <item x="118"/>
        <item x="268"/>
        <item x="119"/>
        <item x="120"/>
        <item x="269"/>
        <item x="270"/>
        <item x="121"/>
        <item x="122"/>
        <item x="123"/>
        <item x="271"/>
        <item x="272"/>
        <item x="124"/>
        <item x="273"/>
        <item x="274"/>
        <item x="125"/>
        <item x="275"/>
        <item x="276"/>
        <item x="126"/>
        <item x="127"/>
        <item x="128"/>
        <item x="277"/>
        <item x="278"/>
        <item x="279"/>
        <item x="129"/>
        <item x="130"/>
        <item x="131"/>
        <item x="132"/>
        <item x="280"/>
        <item x="133"/>
        <item x="134"/>
        <item x="135"/>
        <item x="136"/>
        <item x="281"/>
        <item x="137"/>
        <item x="282"/>
        <item x="342"/>
        <item x="138"/>
        <item x="283"/>
        <item x="284"/>
        <item x="285"/>
        <item x="286"/>
        <item x="287"/>
        <item x="288"/>
        <item x="139"/>
        <item x="140"/>
        <item x="289"/>
        <item x="141"/>
        <item x="290"/>
        <item x="142"/>
        <item x="291"/>
        <item x="143"/>
        <item x="292"/>
        <item x="293"/>
        <item x="144"/>
        <item x="145"/>
        <item x="146"/>
        <item x="147"/>
        <item x="148"/>
        <item x="149"/>
        <item x="150"/>
        <item x="151"/>
        <item x="152"/>
        <item x="343"/>
        <item x="153"/>
        <item x="154"/>
        <item x="155"/>
        <item x="294"/>
        <item x="156"/>
        <item x="295"/>
        <item x="296"/>
        <item x="297"/>
        <item x="298"/>
        <item x="299"/>
        <item x="157"/>
        <item x="300"/>
        <item x="158"/>
        <item x="301"/>
        <item x="159"/>
        <item x="160"/>
        <item x="302"/>
        <item x="161"/>
        <item x="162"/>
        <item x="163"/>
        <item x="337"/>
        <item x="164"/>
        <item x="165"/>
        <item x="166"/>
        <item x="167"/>
        <item x="168"/>
        <item x="169"/>
        <item x="170"/>
        <item x="171"/>
        <item x="338"/>
        <item x="172"/>
        <item x="173"/>
        <item x="303"/>
        <item x="174"/>
        <item x="304"/>
        <item x="175"/>
        <item x="305"/>
        <item x="306"/>
        <item x="176"/>
        <item x="177"/>
        <item x="307"/>
        <item x="178"/>
        <item x="308"/>
        <item x="179"/>
        <item x="180"/>
        <item x="181"/>
        <item x="182"/>
        <item x="183"/>
        <item x="309"/>
        <item x="184"/>
        <item x="310"/>
        <item x="185"/>
        <item x="186"/>
        <item x="187"/>
        <item x="188"/>
        <item x="189"/>
        <item x="190"/>
        <item x="191"/>
        <item x="192"/>
        <item x="193"/>
        <item x="194"/>
        <item x="195"/>
        <item x="196"/>
        <item x="311"/>
        <item x="312"/>
        <item x="313"/>
        <item x="197"/>
        <item x="314"/>
        <item x="315"/>
        <item x="198"/>
        <item x="316"/>
        <item x="317"/>
        <item x="318"/>
        <item x="199"/>
        <item x="200"/>
        <item x="319"/>
        <item x="320"/>
        <item x="321"/>
        <item x="201"/>
        <item x="322"/>
        <item x="323"/>
        <item x="202"/>
        <item x="203"/>
        <item x="204"/>
        <item x="205"/>
        <item x="206"/>
        <item x="207"/>
        <item x="208"/>
        <item x="209"/>
        <item x="210"/>
        <item x="211"/>
        <item x="324"/>
        <item x="325"/>
        <item x="326"/>
        <item x="212"/>
        <item x="327"/>
        <item x="213"/>
        <item x="214"/>
        <item x="328"/>
        <item x="329"/>
        <item x="215"/>
        <item x="216"/>
        <item x="217"/>
        <item x="330"/>
        <item x="331"/>
        <item x="218"/>
        <item x="332"/>
        <item x="333"/>
        <item x="334"/>
        <item x="335"/>
        <item x="336"/>
        <item t="default"/>
      </items>
    </pivotField>
    <pivotField showAll="0"/>
    <pivotField showAll="0"/>
    <pivotField numFmtId="43" showAll="0"/>
    <pivotField dataField="1" numFmtId="4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9">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i t="grand">
      <x/>
    </i>
  </rowItems>
  <colFields count="1">
    <field x="5"/>
  </colFields>
  <colItems count="1">
    <i>
      <x v="2"/>
    </i>
  </colItems>
  <dataFields count="1">
    <dataField name="Electricity Recharge" fld="10" baseField="4" baseItem="33" numFmtId="43"/>
  </dataFields>
  <formats count="2">
    <format dxfId="85">
      <pivotArea type="origin" dataOnly="0" labelOnly="1" outline="0" fieldPosition="0"/>
    </format>
    <format dxfId="84">
      <pivotArea dataOnly="0" labelOnly="1" fieldPosition="0">
        <references count="1">
          <reference field="5" count="0"/>
        </references>
      </pivotArea>
    </format>
  </format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3" format="4">
      <pivotArea type="data" outline="0" fieldPosition="0">
        <references count="2">
          <reference field="4294967294" count="1" selected="0">
            <x v="0"/>
          </reference>
          <reference field="4" count="1" selected="0">
            <x v="18"/>
          </reference>
        </references>
      </pivotArea>
    </chartFormat>
    <chartFormat chart="3" format="5">
      <pivotArea type="data" outline="0" fieldPosition="0">
        <references count="2">
          <reference field="4294967294" count="1" selected="0">
            <x v="0"/>
          </reference>
          <reference field="4" count="1" selected="0">
            <x v="19"/>
          </reference>
        </references>
      </pivotArea>
    </chartFormat>
    <chartFormat chart="3" format="6">
      <pivotArea type="data" outline="0" fieldPosition="0">
        <references count="2">
          <reference field="4294967294" count="1" selected="0">
            <x v="0"/>
          </reference>
          <reference field="4" count="1" selected="0">
            <x v="20"/>
          </reference>
        </references>
      </pivotArea>
    </chartFormat>
    <chartFormat chart="3" format="7">
      <pivotArea type="data" outline="0" fieldPosition="0">
        <references count="2">
          <reference field="4294967294" count="1" selected="0">
            <x v="0"/>
          </reference>
          <reference field="4" count="1" selected="0">
            <x v="21"/>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3" format="11">
      <pivotArea type="data" outline="0" fieldPosition="0">
        <references count="2">
          <reference field="4294967294" count="1" selected="0">
            <x v="0"/>
          </reference>
          <reference field="4" count="1" selected="0">
            <x v="4"/>
          </reference>
        </references>
      </pivotArea>
    </chartFormat>
    <chartFormat chart="3" format="12">
      <pivotArea type="data" outline="0" fieldPosition="0">
        <references count="2">
          <reference field="4294967294" count="1" selected="0">
            <x v="0"/>
          </reference>
          <reference field="4" count="1" selected="0">
            <x v="5"/>
          </reference>
        </references>
      </pivotArea>
    </chartFormat>
    <chartFormat chart="3" format="13">
      <pivotArea type="data" outline="0" fieldPosition="0">
        <references count="2">
          <reference field="4294967294" count="1" selected="0">
            <x v="0"/>
          </reference>
          <reference field="4" count="1" selected="0">
            <x v="6"/>
          </reference>
        </references>
      </pivotArea>
    </chartFormat>
    <chartFormat chart="3" format="14">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2CC3E4-5F00-41F5-8A57-8C0872F25274}" name="Fixed Charge"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fieldListSortAscending="1">
  <location ref="J9:K47" firstHeaderRow="1" firstDataRow="2" firstDataCol="1"/>
  <pivotFields count="13">
    <pivotField showAll="0"/>
    <pivotField showAll="0"/>
    <pivotField showAll="0"/>
    <pivotField showAll="0">
      <items count="11">
        <item x="4"/>
        <item x="2"/>
        <item x="0"/>
        <item x="3"/>
        <item x="7"/>
        <item x="5"/>
        <item x="8"/>
        <item x="1"/>
        <item x="6"/>
        <item x="9"/>
        <item t="default"/>
      </items>
    </pivotField>
    <pivotField axis="axisRow" showAll="0">
      <items count="41">
        <item x="24"/>
        <item x="27"/>
        <item x="38"/>
        <item x="3"/>
        <item x="33"/>
        <item x="21"/>
        <item x="29"/>
        <item x="31"/>
        <item x="15"/>
        <item x="6"/>
        <item x="39"/>
        <item x="4"/>
        <item x="2"/>
        <item x="25"/>
        <item x="22"/>
        <item x="18"/>
        <item x="37"/>
        <item x="19"/>
        <item x="0"/>
        <item x="10"/>
        <item x="26"/>
        <item x="23"/>
        <item x="30"/>
        <item x="32"/>
        <item x="1"/>
        <item x="20"/>
        <item x="16"/>
        <item x="7"/>
        <item x="8"/>
        <item x="34"/>
        <item x="9"/>
        <item x="14"/>
        <item x="11"/>
        <item x="36"/>
        <item x="28"/>
        <item x="12"/>
        <item x="13"/>
        <item x="35"/>
        <item x="17"/>
        <item x="5"/>
        <item t="default"/>
      </items>
    </pivotField>
    <pivotField axis="axisCol" showAll="0">
      <items count="20">
        <item h="1" x="0"/>
        <item h="1" x="1"/>
        <item h="1" x="2"/>
        <item x="3"/>
        <item h="1" x="4"/>
        <item h="1" x="5"/>
        <item h="1" x="6"/>
        <item h="1" x="7"/>
        <item h="1" x="8"/>
        <item h="1" x="9"/>
        <item h="1" x="10"/>
        <item h="1" x="11"/>
        <item h="1" m="1" x="16"/>
        <item h="1" m="1" x="17"/>
        <item h="1" m="1" x="18"/>
        <item h="1" x="14"/>
        <item h="1" x="15"/>
        <item h="1" x="12"/>
        <item h="1" x="13"/>
        <item t="default"/>
      </items>
    </pivotField>
    <pivotField showAll="0">
      <items count="345">
        <item x="220"/>
        <item x="339"/>
        <item x="0"/>
        <item x="1"/>
        <item x="2"/>
        <item x="3"/>
        <item x="4"/>
        <item x="5"/>
        <item x="6"/>
        <item x="7"/>
        <item x="8"/>
        <item x="9"/>
        <item x="10"/>
        <item x="11"/>
        <item x="12"/>
        <item x="13"/>
        <item x="14"/>
        <item x="15"/>
        <item x="16"/>
        <item x="17"/>
        <item x="18"/>
        <item x="19"/>
        <item x="20"/>
        <item x="21"/>
        <item x="221"/>
        <item x="22"/>
        <item x="23"/>
        <item x="24"/>
        <item x="25"/>
        <item x="26"/>
        <item x="222"/>
        <item x="27"/>
        <item x="28"/>
        <item x="29"/>
        <item x="223"/>
        <item x="224"/>
        <item x="30"/>
        <item x="31"/>
        <item x="32"/>
        <item x="33"/>
        <item x="34"/>
        <item x="340"/>
        <item x="35"/>
        <item x="36"/>
        <item x="37"/>
        <item x="225"/>
        <item x="226"/>
        <item x="38"/>
        <item x="39"/>
        <item x="40"/>
        <item x="41"/>
        <item x="42"/>
        <item x="43"/>
        <item x="44"/>
        <item x="45"/>
        <item x="46"/>
        <item x="47"/>
        <item x="48"/>
        <item x="227"/>
        <item x="49"/>
        <item x="50"/>
        <item x="228"/>
        <item x="229"/>
        <item x="51"/>
        <item x="230"/>
        <item x="52"/>
        <item x="53"/>
        <item x="54"/>
        <item x="231"/>
        <item x="55"/>
        <item x="56"/>
        <item x="57"/>
        <item x="58"/>
        <item x="232"/>
        <item x="59"/>
        <item x="233"/>
        <item x="60"/>
        <item x="61"/>
        <item x="62"/>
        <item x="63"/>
        <item x="64"/>
        <item x="65"/>
        <item x="66"/>
        <item x="67"/>
        <item x="68"/>
        <item x="341"/>
        <item x="69"/>
        <item x="70"/>
        <item x="71"/>
        <item x="72"/>
        <item x="234"/>
        <item x="235"/>
        <item x="236"/>
        <item x="73"/>
        <item x="237"/>
        <item x="238"/>
        <item x="74"/>
        <item x="239"/>
        <item x="75"/>
        <item x="76"/>
        <item x="240"/>
        <item x="77"/>
        <item x="241"/>
        <item x="242"/>
        <item x="243"/>
        <item x="78"/>
        <item x="79"/>
        <item x="80"/>
        <item x="81"/>
        <item x="82"/>
        <item x="83"/>
        <item x="84"/>
        <item x="244"/>
        <item x="85"/>
        <item x="86"/>
        <item x="245"/>
        <item x="87"/>
        <item x="88"/>
        <item x="246"/>
        <item x="89"/>
        <item x="247"/>
        <item x="248"/>
        <item x="249"/>
        <item x="90"/>
        <item x="91"/>
        <item x="92"/>
        <item x="250"/>
        <item x="251"/>
        <item x="93"/>
        <item x="252"/>
        <item x="253"/>
        <item x="254"/>
        <item x="94"/>
        <item x="255"/>
        <item x="95"/>
        <item x="96"/>
        <item x="97"/>
        <item x="98"/>
        <item x="99"/>
        <item x="100"/>
        <item x="101"/>
        <item x="102"/>
        <item x="256"/>
        <item x="257"/>
        <item x="103"/>
        <item x="104"/>
        <item x="219"/>
        <item x="258"/>
        <item x="105"/>
        <item x="106"/>
        <item x="107"/>
        <item x="108"/>
        <item x="259"/>
        <item x="260"/>
        <item x="261"/>
        <item x="109"/>
        <item x="262"/>
        <item x="263"/>
        <item x="264"/>
        <item x="265"/>
        <item x="110"/>
        <item x="111"/>
        <item x="112"/>
        <item x="266"/>
        <item x="113"/>
        <item x="114"/>
        <item x="115"/>
        <item x="116"/>
        <item x="117"/>
        <item x="267"/>
        <item x="118"/>
        <item x="268"/>
        <item x="119"/>
        <item x="120"/>
        <item x="269"/>
        <item x="270"/>
        <item x="121"/>
        <item x="122"/>
        <item x="123"/>
        <item x="271"/>
        <item x="272"/>
        <item x="124"/>
        <item x="273"/>
        <item x="274"/>
        <item x="125"/>
        <item x="275"/>
        <item x="276"/>
        <item x="126"/>
        <item x="127"/>
        <item x="128"/>
        <item x="277"/>
        <item x="278"/>
        <item x="279"/>
        <item x="129"/>
        <item x="130"/>
        <item x="131"/>
        <item x="132"/>
        <item x="280"/>
        <item x="133"/>
        <item x="134"/>
        <item x="135"/>
        <item x="136"/>
        <item x="281"/>
        <item x="137"/>
        <item x="282"/>
        <item x="342"/>
        <item x="138"/>
        <item x="283"/>
        <item x="284"/>
        <item x="285"/>
        <item x="286"/>
        <item x="287"/>
        <item x="288"/>
        <item x="139"/>
        <item x="140"/>
        <item x="289"/>
        <item x="141"/>
        <item x="290"/>
        <item x="142"/>
        <item x="291"/>
        <item x="143"/>
        <item x="292"/>
        <item x="293"/>
        <item x="144"/>
        <item x="145"/>
        <item x="146"/>
        <item x="147"/>
        <item x="148"/>
        <item x="149"/>
        <item x="150"/>
        <item x="151"/>
        <item x="152"/>
        <item x="343"/>
        <item x="153"/>
        <item x="154"/>
        <item x="155"/>
        <item x="294"/>
        <item x="156"/>
        <item x="295"/>
        <item x="296"/>
        <item x="297"/>
        <item x="298"/>
        <item x="299"/>
        <item x="157"/>
        <item x="300"/>
        <item x="158"/>
        <item x="301"/>
        <item x="159"/>
        <item x="160"/>
        <item x="302"/>
        <item x="161"/>
        <item x="162"/>
        <item x="163"/>
        <item x="337"/>
        <item x="164"/>
        <item x="165"/>
        <item x="166"/>
        <item x="167"/>
        <item x="168"/>
        <item x="169"/>
        <item x="170"/>
        <item x="171"/>
        <item x="338"/>
        <item x="172"/>
        <item x="173"/>
        <item x="303"/>
        <item x="174"/>
        <item x="304"/>
        <item x="175"/>
        <item x="305"/>
        <item x="306"/>
        <item x="176"/>
        <item x="177"/>
        <item x="307"/>
        <item x="178"/>
        <item x="308"/>
        <item x="179"/>
        <item x="180"/>
        <item x="181"/>
        <item x="182"/>
        <item x="183"/>
        <item x="309"/>
        <item x="184"/>
        <item x="310"/>
        <item x="185"/>
        <item x="186"/>
        <item x="187"/>
        <item x="188"/>
        <item x="189"/>
        <item x="190"/>
        <item x="191"/>
        <item x="192"/>
        <item x="193"/>
        <item x="194"/>
        <item x="195"/>
        <item x="196"/>
        <item x="311"/>
        <item x="312"/>
        <item x="313"/>
        <item x="197"/>
        <item x="314"/>
        <item x="315"/>
        <item x="198"/>
        <item x="316"/>
        <item x="317"/>
        <item x="318"/>
        <item x="199"/>
        <item x="200"/>
        <item x="319"/>
        <item x="320"/>
        <item x="321"/>
        <item x="201"/>
        <item x="322"/>
        <item x="323"/>
        <item x="202"/>
        <item x="203"/>
        <item x="204"/>
        <item x="205"/>
        <item x="206"/>
        <item x="207"/>
        <item x="208"/>
        <item x="209"/>
        <item x="210"/>
        <item x="211"/>
        <item x="324"/>
        <item x="325"/>
        <item x="326"/>
        <item x="212"/>
        <item x="327"/>
        <item x="213"/>
        <item x="214"/>
        <item x="328"/>
        <item x="329"/>
        <item x="215"/>
        <item x="216"/>
        <item x="217"/>
        <item x="330"/>
        <item x="331"/>
        <item x="218"/>
        <item x="332"/>
        <item x="333"/>
        <item x="334"/>
        <item x="335"/>
        <item x="336"/>
        <item t="default"/>
      </items>
    </pivotField>
    <pivotField showAll="0"/>
    <pivotField showAll="0"/>
    <pivotField numFmtId="43" showAll="0"/>
    <pivotField dataField="1" numFmtId="4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7">
    <i>
      <x/>
    </i>
    <i>
      <x v="1"/>
    </i>
    <i>
      <x v="2"/>
    </i>
    <i>
      <x v="3"/>
    </i>
    <i>
      <x v="4"/>
    </i>
    <i>
      <x v="5"/>
    </i>
    <i>
      <x v="6"/>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t="grand">
      <x/>
    </i>
  </rowItems>
  <colFields count="1">
    <field x="5"/>
  </colFields>
  <colItems count="1">
    <i>
      <x v="3"/>
    </i>
  </colItems>
  <dataFields count="1">
    <dataField name="Fixed Charge " fld="10" baseField="4" baseItem="0" numFmtId="43"/>
  </dataFields>
  <formats count="1">
    <format dxfId="86">
      <pivotArea type="origin" dataOnly="0" labelOnly="1" outline="0"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34DC8D-8A9F-433A-8A1A-36BF19EB3885}" name="Office &amp;Common Area"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33" fieldListSortAscending="1">
  <location ref="T9:V13" firstHeaderRow="1" firstDataRow="2" firstDataCol="1"/>
  <pivotFields count="13">
    <pivotField showAll="0"/>
    <pivotField showAll="0"/>
    <pivotField showAll="0"/>
    <pivotField showAll="0">
      <items count="11">
        <item x="4"/>
        <item x="2"/>
        <item x="0"/>
        <item x="3"/>
        <item x="7"/>
        <item x="5"/>
        <item x="8"/>
        <item x="1"/>
        <item x="6"/>
        <item x="9"/>
        <item t="default"/>
      </items>
    </pivotField>
    <pivotField axis="axisRow" showAll="0">
      <items count="41">
        <item h="1" x="24"/>
        <item h="1" x="27"/>
        <item h="1" x="38"/>
        <item h="1" x="3"/>
        <item h="1" x="33"/>
        <item h="1" x="21"/>
        <item h="1" x="29"/>
        <item h="1" x="31"/>
        <item h="1" x="15"/>
        <item h="1" x="6"/>
        <item h="1" x="39"/>
        <item h="1" x="4"/>
        <item h="1" x="2"/>
        <item h="1" x="25"/>
        <item h="1" x="22"/>
        <item h="1" x="18"/>
        <item h="1" x="37"/>
        <item h="1" x="19"/>
        <item h="1" x="0"/>
        <item h="1" x="10"/>
        <item h="1" x="26"/>
        <item h="1" x="23"/>
        <item h="1" x="30"/>
        <item h="1" x="32"/>
        <item x="1"/>
        <item h="1" x="20"/>
        <item h="1" x="16"/>
        <item h="1" x="7"/>
        <item h="1" x="8"/>
        <item h="1" x="34"/>
        <item h="1" x="9"/>
        <item h="1" x="14"/>
        <item h="1" x="11"/>
        <item h="1" x="36"/>
        <item h="1" x="28"/>
        <item h="1" x="12"/>
        <item h="1" x="13"/>
        <item h="1" x="35"/>
        <item h="1" x="17"/>
        <item x="5"/>
        <item t="default"/>
      </items>
    </pivotField>
    <pivotField axis="axisCol" showAll="0">
      <items count="20">
        <item h="1" x="0"/>
        <item h="1" x="1"/>
        <item x="2"/>
        <item h="1" x="3"/>
        <item h="1" x="4"/>
        <item h="1" x="5"/>
        <item h="1" x="6"/>
        <item h="1" x="7"/>
        <item h="1" x="8"/>
        <item h="1" x="9"/>
        <item h="1" x="10"/>
        <item h="1" x="11"/>
        <item h="1" m="1" x="16"/>
        <item h="1" m="1" x="17"/>
        <item h="1" m="1" x="18"/>
        <item x="14"/>
        <item h="1" x="15"/>
        <item h="1" x="12"/>
        <item h="1" x="13"/>
        <item t="default"/>
      </items>
    </pivotField>
    <pivotField showAll="0">
      <items count="345">
        <item x="220"/>
        <item x="339"/>
        <item x="0"/>
        <item x="1"/>
        <item x="2"/>
        <item x="3"/>
        <item x="4"/>
        <item x="5"/>
        <item x="6"/>
        <item x="7"/>
        <item x="8"/>
        <item x="9"/>
        <item x="10"/>
        <item x="11"/>
        <item x="12"/>
        <item x="13"/>
        <item x="14"/>
        <item x="15"/>
        <item x="16"/>
        <item x="17"/>
        <item x="18"/>
        <item x="19"/>
        <item x="20"/>
        <item x="21"/>
        <item x="221"/>
        <item x="22"/>
        <item x="23"/>
        <item x="24"/>
        <item x="25"/>
        <item x="26"/>
        <item x="222"/>
        <item x="27"/>
        <item x="28"/>
        <item x="29"/>
        <item x="223"/>
        <item x="224"/>
        <item x="30"/>
        <item x="31"/>
        <item x="32"/>
        <item x="33"/>
        <item x="34"/>
        <item x="340"/>
        <item x="35"/>
        <item x="36"/>
        <item x="37"/>
        <item x="225"/>
        <item x="226"/>
        <item x="38"/>
        <item x="39"/>
        <item x="40"/>
        <item x="41"/>
        <item x="42"/>
        <item x="43"/>
        <item x="44"/>
        <item x="45"/>
        <item x="46"/>
        <item x="47"/>
        <item x="48"/>
        <item x="227"/>
        <item x="49"/>
        <item x="50"/>
        <item x="228"/>
        <item x="229"/>
        <item x="51"/>
        <item x="230"/>
        <item x="52"/>
        <item x="53"/>
        <item x="54"/>
        <item x="231"/>
        <item x="55"/>
        <item x="56"/>
        <item x="57"/>
        <item x="58"/>
        <item x="232"/>
        <item x="59"/>
        <item x="233"/>
        <item x="60"/>
        <item x="61"/>
        <item x="62"/>
        <item x="63"/>
        <item x="64"/>
        <item x="65"/>
        <item x="66"/>
        <item x="67"/>
        <item x="68"/>
        <item x="341"/>
        <item x="69"/>
        <item x="70"/>
        <item x="71"/>
        <item x="72"/>
        <item x="234"/>
        <item x="235"/>
        <item x="236"/>
        <item x="73"/>
        <item x="237"/>
        <item x="238"/>
        <item x="74"/>
        <item x="239"/>
        <item x="75"/>
        <item x="76"/>
        <item x="240"/>
        <item x="77"/>
        <item x="241"/>
        <item x="242"/>
        <item x="243"/>
        <item x="78"/>
        <item x="79"/>
        <item x="80"/>
        <item x="81"/>
        <item x="82"/>
        <item x="83"/>
        <item x="84"/>
        <item x="244"/>
        <item x="85"/>
        <item x="86"/>
        <item x="245"/>
        <item x="87"/>
        <item x="88"/>
        <item x="246"/>
        <item x="89"/>
        <item x="247"/>
        <item x="248"/>
        <item x="249"/>
        <item x="90"/>
        <item x="91"/>
        <item x="92"/>
        <item x="250"/>
        <item x="251"/>
        <item x="93"/>
        <item x="252"/>
        <item x="253"/>
        <item x="254"/>
        <item x="94"/>
        <item x="255"/>
        <item x="95"/>
        <item x="96"/>
        <item x="97"/>
        <item x="98"/>
        <item x="99"/>
        <item x="100"/>
        <item x="101"/>
        <item x="102"/>
        <item x="256"/>
        <item x="257"/>
        <item x="103"/>
        <item x="104"/>
        <item x="219"/>
        <item x="258"/>
        <item x="105"/>
        <item x="106"/>
        <item x="107"/>
        <item x="108"/>
        <item x="259"/>
        <item x="260"/>
        <item x="261"/>
        <item x="109"/>
        <item x="262"/>
        <item x="263"/>
        <item x="264"/>
        <item x="265"/>
        <item x="110"/>
        <item x="111"/>
        <item x="112"/>
        <item x="266"/>
        <item x="113"/>
        <item x="114"/>
        <item x="115"/>
        <item x="116"/>
        <item x="117"/>
        <item x="267"/>
        <item x="118"/>
        <item x="268"/>
        <item x="119"/>
        <item x="120"/>
        <item x="269"/>
        <item x="270"/>
        <item x="121"/>
        <item x="122"/>
        <item x="123"/>
        <item x="271"/>
        <item x="272"/>
        <item x="124"/>
        <item x="273"/>
        <item x="274"/>
        <item x="125"/>
        <item x="275"/>
        <item x="276"/>
        <item x="126"/>
        <item x="127"/>
        <item x="128"/>
        <item x="277"/>
        <item x="278"/>
        <item x="279"/>
        <item x="129"/>
        <item x="130"/>
        <item x="131"/>
        <item x="132"/>
        <item x="280"/>
        <item x="133"/>
        <item x="134"/>
        <item x="135"/>
        <item x="136"/>
        <item x="281"/>
        <item x="137"/>
        <item x="282"/>
        <item x="342"/>
        <item x="138"/>
        <item x="283"/>
        <item x="284"/>
        <item x="285"/>
        <item x="286"/>
        <item x="287"/>
        <item x="288"/>
        <item x="139"/>
        <item x="140"/>
        <item x="289"/>
        <item x="141"/>
        <item x="290"/>
        <item x="142"/>
        <item x="291"/>
        <item x="143"/>
        <item x="292"/>
        <item x="293"/>
        <item x="144"/>
        <item x="145"/>
        <item x="146"/>
        <item x="147"/>
        <item x="148"/>
        <item x="149"/>
        <item x="150"/>
        <item x="151"/>
        <item x="152"/>
        <item x="343"/>
        <item x="153"/>
        <item x="154"/>
        <item x="155"/>
        <item x="294"/>
        <item x="156"/>
        <item x="295"/>
        <item x="296"/>
        <item x="297"/>
        <item x="298"/>
        <item x="299"/>
        <item x="157"/>
        <item x="300"/>
        <item x="158"/>
        <item x="301"/>
        <item x="159"/>
        <item x="160"/>
        <item x="302"/>
        <item x="161"/>
        <item x="162"/>
        <item x="163"/>
        <item x="337"/>
        <item x="164"/>
        <item x="165"/>
        <item x="166"/>
        <item x="167"/>
        <item x="168"/>
        <item x="169"/>
        <item x="170"/>
        <item x="171"/>
        <item x="338"/>
        <item x="172"/>
        <item x="173"/>
        <item x="303"/>
        <item x="174"/>
        <item x="304"/>
        <item x="175"/>
        <item x="305"/>
        <item x="306"/>
        <item x="176"/>
        <item x="177"/>
        <item x="307"/>
        <item x="178"/>
        <item x="308"/>
        <item x="179"/>
        <item x="180"/>
        <item x="181"/>
        <item x="182"/>
        <item x="183"/>
        <item x="309"/>
        <item x="184"/>
        <item x="310"/>
        <item x="185"/>
        <item x="186"/>
        <item x="187"/>
        <item x="188"/>
        <item x="189"/>
        <item x="190"/>
        <item x="191"/>
        <item x="192"/>
        <item x="193"/>
        <item x="194"/>
        <item x="195"/>
        <item x="196"/>
        <item x="311"/>
        <item x="312"/>
        <item x="313"/>
        <item x="197"/>
        <item x="314"/>
        <item x="315"/>
        <item x="198"/>
        <item x="316"/>
        <item x="317"/>
        <item x="318"/>
        <item x="199"/>
        <item x="200"/>
        <item x="319"/>
        <item x="320"/>
        <item x="321"/>
        <item x="201"/>
        <item x="322"/>
        <item x="323"/>
        <item x="202"/>
        <item x="203"/>
        <item x="204"/>
        <item x="205"/>
        <item x="206"/>
        <item x="207"/>
        <item x="208"/>
        <item x="209"/>
        <item x="210"/>
        <item x="211"/>
        <item x="324"/>
        <item x="325"/>
        <item x="326"/>
        <item x="212"/>
        <item x="327"/>
        <item x="213"/>
        <item x="214"/>
        <item x="328"/>
        <item x="329"/>
        <item x="215"/>
        <item x="216"/>
        <item x="217"/>
        <item x="330"/>
        <item x="331"/>
        <item x="218"/>
        <item x="332"/>
        <item x="333"/>
        <item x="334"/>
        <item x="335"/>
        <item x="336"/>
        <item t="default"/>
      </items>
    </pivotField>
    <pivotField showAll="0"/>
    <pivotField showAll="0"/>
    <pivotField numFmtId="43" showAll="0"/>
    <pivotField dataField="1" numFmtId="4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v="24"/>
    </i>
    <i>
      <x v="39"/>
    </i>
    <i t="grand">
      <x/>
    </i>
  </rowItems>
  <colFields count="1">
    <field x="5"/>
  </colFields>
  <colItems count="2">
    <i>
      <x v="2"/>
    </i>
    <i>
      <x v="15"/>
    </i>
  </colItems>
  <dataFields count="1">
    <dataField name="Power Recharge &amp; Water Bill by the Office &amp; Common Area" fld="10" baseField="4" baseItem="0" numFmtId="43"/>
  </dataFields>
  <formats count="1">
    <format dxfId="87">
      <pivotArea type="origin" dataOnly="0" labelOnly="1" outline="0" fieldPosition="0"/>
    </format>
  </formats>
  <chartFormats count="19">
    <chartFormat chart="0" format="0" series="1">
      <pivotArea type="data" outline="0" fieldPosition="0">
        <references count="2">
          <reference field="4294967294" count="1" selected="0">
            <x v="0"/>
          </reference>
          <reference field="5" count="1" selected="0">
            <x v="2"/>
          </reference>
        </references>
      </pivotArea>
    </chartFormat>
    <chartFormat chart="0" format="1" series="1">
      <pivotArea type="data" outline="0" fieldPosition="0">
        <references count="2">
          <reference field="4294967294" count="1" selected="0">
            <x v="0"/>
          </reference>
          <reference field="5" count="1" selected="0">
            <x v="15"/>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2" format="3">
      <pivotArea type="data" outline="0" fieldPosition="0">
        <references count="3">
          <reference field="4294967294" count="1" selected="0">
            <x v="0"/>
          </reference>
          <reference field="4" count="1" selected="0">
            <x v="24"/>
          </reference>
          <reference field="5" count="1" selected="0">
            <x v="2"/>
          </reference>
        </references>
      </pivotArea>
    </chartFormat>
    <chartFormat chart="2" format="4">
      <pivotArea type="data" outline="0" fieldPosition="0">
        <references count="3">
          <reference field="4294967294" count="1" selected="0">
            <x v="0"/>
          </reference>
          <reference field="4" count="1" selected="0">
            <x v="39"/>
          </reference>
          <reference field="5" count="1" selected="0">
            <x v="2"/>
          </reference>
        </references>
      </pivotArea>
    </chartFormat>
    <chartFormat chart="2" format="5" series="1">
      <pivotArea type="data" outline="0" fieldPosition="0">
        <references count="2">
          <reference field="4294967294" count="1" selected="0">
            <x v="0"/>
          </reference>
          <reference field="5" count="1" selected="0">
            <x v="15"/>
          </reference>
        </references>
      </pivotArea>
    </chartFormat>
    <chartFormat chart="2" format="6">
      <pivotArea type="data" outline="0" fieldPosition="0">
        <references count="3">
          <reference field="4294967294" count="1" selected="0">
            <x v="0"/>
          </reference>
          <reference field="4" count="1" selected="0">
            <x v="24"/>
          </reference>
          <reference field="5" count="1" selected="0">
            <x v="15"/>
          </reference>
        </references>
      </pivotArea>
    </chartFormat>
    <chartFormat chart="2" format="7">
      <pivotArea type="data" outline="0" fieldPosition="0">
        <references count="3">
          <reference field="4294967294" count="1" selected="0">
            <x v="0"/>
          </reference>
          <reference field="4" count="1" selected="0">
            <x v="39"/>
          </reference>
          <reference field="5" count="1" selected="0">
            <x v="15"/>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3" format="9">
      <pivotArea type="data" outline="0" fieldPosition="0">
        <references count="3">
          <reference field="4294967294" count="1" selected="0">
            <x v="0"/>
          </reference>
          <reference field="4" count="1" selected="0">
            <x v="24"/>
          </reference>
          <reference field="5" count="1" selected="0">
            <x v="2"/>
          </reference>
        </references>
      </pivotArea>
    </chartFormat>
    <chartFormat chart="3" format="10">
      <pivotArea type="data" outline="0" fieldPosition="0">
        <references count="3">
          <reference field="4294967294" count="1" selected="0">
            <x v="0"/>
          </reference>
          <reference field="4" count="1" selected="0">
            <x v="39"/>
          </reference>
          <reference field="5" count="1" selected="0">
            <x v="2"/>
          </reference>
        </references>
      </pivotArea>
    </chartFormat>
    <chartFormat chart="3" format="11" series="1">
      <pivotArea type="data" outline="0" fieldPosition="0">
        <references count="2">
          <reference field="4294967294" count="1" selected="0">
            <x v="0"/>
          </reference>
          <reference field="5" count="1" selected="0">
            <x v="15"/>
          </reference>
        </references>
      </pivotArea>
    </chartFormat>
    <chartFormat chart="3" format="12">
      <pivotArea type="data" outline="0" fieldPosition="0">
        <references count="3">
          <reference field="4294967294" count="1" selected="0">
            <x v="0"/>
          </reference>
          <reference field="4" count="1" selected="0">
            <x v="24"/>
          </reference>
          <reference field="5" count="1" selected="0">
            <x v="15"/>
          </reference>
        </references>
      </pivotArea>
    </chartFormat>
    <chartFormat chart="3" format="13">
      <pivotArea type="data" outline="0" fieldPosition="0">
        <references count="3">
          <reference field="4294967294" count="1" selected="0">
            <x v="0"/>
          </reference>
          <reference field="4" count="1" selected="0">
            <x v="39"/>
          </reference>
          <reference field="5" count="1" selected="0">
            <x v="15"/>
          </reference>
        </references>
      </pivotArea>
    </chartFormat>
    <chartFormat chart="3" format="14"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4" count="1" selected="0">
            <x v="24"/>
          </reference>
        </references>
      </pivotArea>
    </chartFormat>
    <chartFormat chart="3" format="16">
      <pivotArea type="data" outline="0" fieldPosition="0">
        <references count="2">
          <reference field="4294967294" count="1" selected="0">
            <x v="0"/>
          </reference>
          <reference field="4" count="1" selected="0">
            <x v="39"/>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478B16-87C0-4CC2-B7E5-EB3D62FA2B80}" name="Access Fee"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9" fieldListSortAscending="1">
  <location ref="Q9:R47" firstHeaderRow="1" firstDataRow="2" firstDataCol="1"/>
  <pivotFields count="13">
    <pivotField showAll="0"/>
    <pivotField showAll="0"/>
    <pivotField showAll="0"/>
    <pivotField showAll="0">
      <items count="11">
        <item x="4"/>
        <item x="2"/>
        <item x="0"/>
        <item x="3"/>
        <item x="7"/>
        <item x="5"/>
        <item x="8"/>
        <item x="1"/>
        <item x="6"/>
        <item x="9"/>
        <item t="default"/>
      </items>
    </pivotField>
    <pivotField axis="axisRow" showAll="0">
      <items count="41">
        <item x="24"/>
        <item x="27"/>
        <item x="38"/>
        <item x="3"/>
        <item x="33"/>
        <item x="21"/>
        <item x="29"/>
        <item x="31"/>
        <item x="15"/>
        <item x="6"/>
        <item x="39"/>
        <item x="4"/>
        <item x="2"/>
        <item x="25"/>
        <item x="22"/>
        <item x="18"/>
        <item x="37"/>
        <item x="19"/>
        <item x="0"/>
        <item x="10"/>
        <item x="26"/>
        <item x="23"/>
        <item x="30"/>
        <item x="32"/>
        <item h="1" x="1"/>
        <item h="1" x="20"/>
        <item x="16"/>
        <item x="7"/>
        <item x="8"/>
        <item x="34"/>
        <item x="9"/>
        <item x="14"/>
        <item x="11"/>
        <item x="36"/>
        <item x="28"/>
        <item x="12"/>
        <item x="13"/>
        <item x="35"/>
        <item x="17"/>
        <item x="5"/>
        <item t="default"/>
      </items>
    </pivotField>
    <pivotField axis="axisCol" showAll="0">
      <items count="20">
        <item h="1" x="0"/>
        <item h="1" x="1"/>
        <item h="1" x="2"/>
        <item x="3"/>
        <item h="1" x="4"/>
        <item h="1" x="5"/>
        <item h="1" x="6"/>
        <item h="1" x="7"/>
        <item h="1" x="8"/>
        <item h="1" x="9"/>
        <item h="1" x="10"/>
        <item h="1" x="11"/>
        <item h="1" m="1" x="16"/>
        <item h="1" m="1" x="17"/>
        <item h="1" m="1" x="18"/>
        <item h="1" x="14"/>
        <item h="1" x="15"/>
        <item h="1" x="12"/>
        <item h="1" x="13"/>
        <item t="default"/>
      </items>
    </pivotField>
    <pivotField showAll="0">
      <items count="345">
        <item x="220"/>
        <item x="339"/>
        <item x="0"/>
        <item x="1"/>
        <item x="2"/>
        <item x="3"/>
        <item x="4"/>
        <item x="5"/>
        <item x="6"/>
        <item x="7"/>
        <item x="8"/>
        <item x="9"/>
        <item x="10"/>
        <item x="11"/>
        <item x="12"/>
        <item x="13"/>
        <item x="14"/>
        <item x="15"/>
        <item x="16"/>
        <item x="17"/>
        <item x="18"/>
        <item x="19"/>
        <item x="20"/>
        <item x="21"/>
        <item x="221"/>
        <item x="22"/>
        <item x="23"/>
        <item x="24"/>
        <item x="25"/>
        <item x="26"/>
        <item x="222"/>
        <item x="27"/>
        <item x="28"/>
        <item x="29"/>
        <item x="223"/>
        <item x="224"/>
        <item x="30"/>
        <item x="31"/>
        <item x="32"/>
        <item x="33"/>
        <item x="34"/>
        <item x="340"/>
        <item x="35"/>
        <item x="36"/>
        <item x="37"/>
        <item x="225"/>
        <item x="226"/>
        <item x="38"/>
        <item x="39"/>
        <item x="40"/>
        <item x="41"/>
        <item x="42"/>
        <item x="43"/>
        <item x="44"/>
        <item x="45"/>
        <item x="46"/>
        <item x="47"/>
        <item x="48"/>
        <item x="227"/>
        <item x="49"/>
        <item x="50"/>
        <item x="228"/>
        <item x="229"/>
        <item x="51"/>
        <item x="230"/>
        <item x="52"/>
        <item x="53"/>
        <item x="54"/>
        <item x="231"/>
        <item x="55"/>
        <item x="56"/>
        <item x="57"/>
        <item x="58"/>
        <item x="232"/>
        <item x="59"/>
        <item x="233"/>
        <item x="60"/>
        <item x="61"/>
        <item x="62"/>
        <item x="63"/>
        <item x="64"/>
        <item x="65"/>
        <item x="66"/>
        <item x="67"/>
        <item x="68"/>
        <item x="341"/>
        <item x="69"/>
        <item x="70"/>
        <item x="71"/>
        <item x="72"/>
        <item x="234"/>
        <item x="235"/>
        <item x="236"/>
        <item x="73"/>
        <item x="237"/>
        <item x="238"/>
        <item x="74"/>
        <item x="239"/>
        <item x="75"/>
        <item x="76"/>
        <item x="240"/>
        <item x="77"/>
        <item x="241"/>
        <item x="242"/>
        <item x="243"/>
        <item x="78"/>
        <item x="79"/>
        <item x="80"/>
        <item x="81"/>
        <item x="82"/>
        <item x="83"/>
        <item x="84"/>
        <item x="244"/>
        <item x="85"/>
        <item x="86"/>
        <item x="245"/>
        <item x="87"/>
        <item x="88"/>
        <item x="246"/>
        <item x="89"/>
        <item x="247"/>
        <item x="248"/>
        <item x="249"/>
        <item x="90"/>
        <item x="91"/>
        <item x="92"/>
        <item x="250"/>
        <item x="251"/>
        <item x="93"/>
        <item x="252"/>
        <item x="253"/>
        <item x="254"/>
        <item x="94"/>
        <item x="255"/>
        <item x="95"/>
        <item x="96"/>
        <item x="97"/>
        <item x="98"/>
        <item x="99"/>
        <item x="100"/>
        <item x="101"/>
        <item x="102"/>
        <item x="256"/>
        <item x="257"/>
        <item x="103"/>
        <item x="104"/>
        <item x="219"/>
        <item x="258"/>
        <item x="105"/>
        <item x="106"/>
        <item x="107"/>
        <item x="108"/>
        <item x="259"/>
        <item x="260"/>
        <item x="261"/>
        <item x="109"/>
        <item x="262"/>
        <item x="263"/>
        <item x="264"/>
        <item x="265"/>
        <item x="110"/>
        <item x="111"/>
        <item x="112"/>
        <item x="266"/>
        <item x="113"/>
        <item x="114"/>
        <item x="115"/>
        <item x="116"/>
        <item x="117"/>
        <item x="267"/>
        <item x="118"/>
        <item x="268"/>
        <item x="119"/>
        <item x="120"/>
        <item x="269"/>
        <item x="270"/>
        <item x="121"/>
        <item x="122"/>
        <item x="123"/>
        <item x="271"/>
        <item x="272"/>
        <item x="124"/>
        <item x="273"/>
        <item x="274"/>
        <item x="125"/>
        <item x="275"/>
        <item x="276"/>
        <item x="126"/>
        <item x="127"/>
        <item x="128"/>
        <item x="277"/>
        <item x="278"/>
        <item x="279"/>
        <item x="129"/>
        <item x="130"/>
        <item x="131"/>
        <item x="132"/>
        <item x="280"/>
        <item x="133"/>
        <item x="134"/>
        <item x="135"/>
        <item x="136"/>
        <item x="281"/>
        <item x="137"/>
        <item x="282"/>
        <item x="342"/>
        <item x="138"/>
        <item x="283"/>
        <item x="284"/>
        <item x="285"/>
        <item x="286"/>
        <item x="287"/>
        <item x="288"/>
        <item x="139"/>
        <item x="140"/>
        <item x="289"/>
        <item x="141"/>
        <item x="290"/>
        <item x="142"/>
        <item x="291"/>
        <item x="143"/>
        <item x="292"/>
        <item x="293"/>
        <item x="144"/>
        <item x="145"/>
        <item x="146"/>
        <item x="147"/>
        <item x="148"/>
        <item x="149"/>
        <item x="150"/>
        <item x="151"/>
        <item x="152"/>
        <item x="343"/>
        <item x="153"/>
        <item x="154"/>
        <item x="155"/>
        <item x="294"/>
        <item x="156"/>
        <item x="295"/>
        <item x="296"/>
        <item x="297"/>
        <item x="298"/>
        <item x="299"/>
        <item x="157"/>
        <item x="300"/>
        <item x="158"/>
        <item x="301"/>
        <item x="159"/>
        <item x="160"/>
        <item x="302"/>
        <item x="161"/>
        <item x="162"/>
        <item x="163"/>
        <item x="337"/>
        <item x="164"/>
        <item x="165"/>
        <item x="166"/>
        <item x="167"/>
        <item x="168"/>
        <item x="169"/>
        <item x="170"/>
        <item x="171"/>
        <item x="338"/>
        <item x="172"/>
        <item x="173"/>
        <item x="303"/>
        <item x="174"/>
        <item x="304"/>
        <item x="175"/>
        <item x="305"/>
        <item x="306"/>
        <item x="176"/>
        <item x="177"/>
        <item x="307"/>
        <item x="178"/>
        <item x="308"/>
        <item x="179"/>
        <item x="180"/>
        <item x="181"/>
        <item x="182"/>
        <item x="183"/>
        <item x="309"/>
        <item x="184"/>
        <item x="310"/>
        <item x="185"/>
        <item x="186"/>
        <item x="187"/>
        <item x="188"/>
        <item x="189"/>
        <item x="190"/>
        <item x="191"/>
        <item x="192"/>
        <item x="193"/>
        <item x="194"/>
        <item x="195"/>
        <item x="196"/>
        <item x="311"/>
        <item x="312"/>
        <item x="313"/>
        <item x="197"/>
        <item x="314"/>
        <item x="315"/>
        <item x="198"/>
        <item x="316"/>
        <item x="317"/>
        <item x="318"/>
        <item x="199"/>
        <item x="200"/>
        <item x="319"/>
        <item x="320"/>
        <item x="321"/>
        <item x="201"/>
        <item x="322"/>
        <item x="323"/>
        <item x="202"/>
        <item x="203"/>
        <item x="204"/>
        <item x="205"/>
        <item x="206"/>
        <item x="207"/>
        <item x="208"/>
        <item x="209"/>
        <item x="210"/>
        <item x="211"/>
        <item x="324"/>
        <item x="325"/>
        <item x="326"/>
        <item x="212"/>
        <item x="327"/>
        <item x="213"/>
        <item x="214"/>
        <item x="328"/>
        <item x="329"/>
        <item x="215"/>
        <item x="216"/>
        <item x="217"/>
        <item x="330"/>
        <item x="331"/>
        <item x="218"/>
        <item x="332"/>
        <item x="333"/>
        <item x="334"/>
        <item x="335"/>
        <item x="336"/>
        <item t="default"/>
      </items>
    </pivotField>
    <pivotField showAll="0"/>
    <pivotField showAll="0"/>
    <pivotField numFmtId="43" showAll="0"/>
    <pivotField dataField="1" numFmtId="4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7">
    <i>
      <x/>
    </i>
    <i>
      <x v="1"/>
    </i>
    <i>
      <x v="2"/>
    </i>
    <i>
      <x v="3"/>
    </i>
    <i>
      <x v="4"/>
    </i>
    <i>
      <x v="5"/>
    </i>
    <i>
      <x v="6"/>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t="grand">
      <x/>
    </i>
  </rowItems>
  <colFields count="1">
    <field x="5"/>
  </colFields>
  <colItems count="1">
    <i>
      <x v="3"/>
    </i>
  </colItems>
  <dataFields count="1">
    <dataField name="Access Fee" fld="10" baseField="4" baseItem="0" numFmtId="43"/>
  </dataFields>
  <formats count="1">
    <format dxfId="88">
      <pivotArea type="origin" dataOnly="0" labelOnly="1" outline="0"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CAC503-87BF-4588-A1E1-5F3FAE3FBFCE}" name="Sum_Dashboard"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8" fieldListSortAscending="1">
  <location ref="X9:Y49" firstHeaderRow="1" firstDataRow="1" firstDataCol="1" rowPageCount="1" colPageCount="1"/>
  <pivotFields count="13">
    <pivotField showAll="0"/>
    <pivotField showAll="0"/>
    <pivotField showAll="0"/>
    <pivotField showAll="0">
      <items count="11">
        <item x="4"/>
        <item x="2"/>
        <item x="0"/>
        <item x="3"/>
        <item x="7"/>
        <item x="5"/>
        <item x="8"/>
        <item x="1"/>
        <item x="6"/>
        <item x="9"/>
        <item t="default"/>
      </items>
    </pivotField>
    <pivotField axis="axisRow" showAll="0" sortType="descending">
      <items count="41">
        <item x="24"/>
        <item x="27"/>
        <item x="38"/>
        <item x="3"/>
        <item x="33"/>
        <item x="21"/>
        <item x="29"/>
        <item x="31"/>
        <item x="15"/>
        <item x="6"/>
        <item x="39"/>
        <item x="4"/>
        <item x="2"/>
        <item x="25"/>
        <item x="22"/>
        <item x="18"/>
        <item x="37"/>
        <item x="19"/>
        <item x="0"/>
        <item x="10"/>
        <item x="26"/>
        <item x="23"/>
        <item x="30"/>
        <item x="32"/>
        <item h="1" x="1"/>
        <item x="20"/>
        <item x="16"/>
        <item x="7"/>
        <item x="8"/>
        <item x="34"/>
        <item x="9"/>
        <item x="14"/>
        <item x="11"/>
        <item x="36"/>
        <item x="28"/>
        <item x="12"/>
        <item x="13"/>
        <item x="35"/>
        <item x="17"/>
        <item x="5"/>
        <item t="default"/>
      </items>
      <autoSortScope>
        <pivotArea dataOnly="0" outline="0" fieldPosition="0">
          <references count="1">
            <reference field="4294967294" count="1" selected="0">
              <x v="0"/>
            </reference>
          </references>
        </pivotArea>
      </autoSortScope>
    </pivotField>
    <pivotField axis="axisPage" multipleItemSelectionAllowed="1" showAll="0">
      <items count="20">
        <item x="0"/>
        <item x="1"/>
        <item x="2"/>
        <item x="3"/>
        <item x="4"/>
        <item x="5"/>
        <item x="6"/>
        <item x="7"/>
        <item x="8"/>
        <item x="9"/>
        <item x="10"/>
        <item x="11"/>
        <item x="12"/>
        <item x="13"/>
        <item m="1" x="16"/>
        <item m="1" x="17"/>
        <item m="1" x="18"/>
        <item x="14"/>
        <item x="15"/>
        <item t="default"/>
      </items>
    </pivotField>
    <pivotField showAll="0">
      <items count="345">
        <item x="220"/>
        <item x="339"/>
        <item x="0"/>
        <item x="1"/>
        <item x="2"/>
        <item x="3"/>
        <item x="4"/>
        <item x="5"/>
        <item x="6"/>
        <item x="7"/>
        <item x="8"/>
        <item x="9"/>
        <item x="10"/>
        <item x="11"/>
        <item x="12"/>
        <item x="13"/>
        <item x="14"/>
        <item x="15"/>
        <item x="16"/>
        <item x="17"/>
        <item x="18"/>
        <item x="19"/>
        <item x="20"/>
        <item x="21"/>
        <item x="221"/>
        <item x="22"/>
        <item x="23"/>
        <item x="24"/>
        <item x="25"/>
        <item x="26"/>
        <item x="222"/>
        <item x="27"/>
        <item x="28"/>
        <item x="29"/>
        <item x="223"/>
        <item x="224"/>
        <item x="30"/>
        <item x="31"/>
        <item x="32"/>
        <item x="33"/>
        <item x="34"/>
        <item x="340"/>
        <item x="35"/>
        <item x="36"/>
        <item x="37"/>
        <item x="225"/>
        <item x="226"/>
        <item x="38"/>
        <item x="39"/>
        <item x="40"/>
        <item x="41"/>
        <item x="42"/>
        <item x="43"/>
        <item x="44"/>
        <item x="45"/>
        <item x="46"/>
        <item x="47"/>
        <item x="48"/>
        <item x="227"/>
        <item x="49"/>
        <item x="50"/>
        <item x="228"/>
        <item x="229"/>
        <item x="51"/>
        <item x="230"/>
        <item x="52"/>
        <item x="53"/>
        <item x="54"/>
        <item x="231"/>
        <item x="55"/>
        <item x="56"/>
        <item x="57"/>
        <item x="58"/>
        <item x="232"/>
        <item x="59"/>
        <item x="233"/>
        <item x="60"/>
        <item x="61"/>
        <item x="62"/>
        <item x="63"/>
        <item x="64"/>
        <item x="65"/>
        <item x="66"/>
        <item x="67"/>
        <item x="68"/>
        <item x="341"/>
        <item x="69"/>
        <item x="70"/>
        <item x="71"/>
        <item x="72"/>
        <item x="234"/>
        <item x="235"/>
        <item x="236"/>
        <item x="73"/>
        <item x="237"/>
        <item x="238"/>
        <item x="74"/>
        <item x="239"/>
        <item x="75"/>
        <item x="76"/>
        <item x="240"/>
        <item x="77"/>
        <item x="241"/>
        <item x="242"/>
        <item x="243"/>
        <item x="78"/>
        <item x="79"/>
        <item x="80"/>
        <item x="81"/>
        <item x="82"/>
        <item x="83"/>
        <item x="84"/>
        <item x="244"/>
        <item x="85"/>
        <item x="86"/>
        <item x="245"/>
        <item x="87"/>
        <item x="88"/>
        <item x="246"/>
        <item x="89"/>
        <item x="247"/>
        <item x="248"/>
        <item x="249"/>
        <item x="90"/>
        <item x="91"/>
        <item x="92"/>
        <item x="250"/>
        <item x="251"/>
        <item x="93"/>
        <item x="252"/>
        <item x="253"/>
        <item x="254"/>
        <item x="94"/>
        <item x="255"/>
        <item x="95"/>
        <item x="96"/>
        <item x="97"/>
        <item x="98"/>
        <item x="99"/>
        <item x="100"/>
        <item x="101"/>
        <item x="102"/>
        <item x="256"/>
        <item x="257"/>
        <item x="103"/>
        <item x="104"/>
        <item x="219"/>
        <item x="258"/>
        <item x="105"/>
        <item x="106"/>
        <item x="107"/>
        <item x="108"/>
        <item x="259"/>
        <item x="260"/>
        <item x="261"/>
        <item x="109"/>
        <item x="262"/>
        <item x="263"/>
        <item x="264"/>
        <item x="265"/>
        <item x="110"/>
        <item x="111"/>
        <item x="112"/>
        <item x="266"/>
        <item x="113"/>
        <item x="114"/>
        <item x="115"/>
        <item x="116"/>
        <item x="117"/>
        <item x="267"/>
        <item x="118"/>
        <item x="268"/>
        <item x="119"/>
        <item x="120"/>
        <item x="269"/>
        <item x="270"/>
        <item x="121"/>
        <item x="122"/>
        <item x="123"/>
        <item x="271"/>
        <item x="272"/>
        <item x="124"/>
        <item x="273"/>
        <item x="274"/>
        <item x="125"/>
        <item x="275"/>
        <item x="276"/>
        <item x="126"/>
        <item x="127"/>
        <item x="128"/>
        <item x="277"/>
        <item x="278"/>
        <item x="279"/>
        <item x="129"/>
        <item x="130"/>
        <item x="131"/>
        <item x="132"/>
        <item x="280"/>
        <item x="133"/>
        <item x="134"/>
        <item x="135"/>
        <item x="136"/>
        <item x="281"/>
        <item x="137"/>
        <item x="282"/>
        <item x="342"/>
        <item x="138"/>
        <item x="283"/>
        <item x="284"/>
        <item x="285"/>
        <item x="286"/>
        <item x="287"/>
        <item x="288"/>
        <item x="139"/>
        <item x="140"/>
        <item x="289"/>
        <item x="141"/>
        <item x="290"/>
        <item x="142"/>
        <item x="291"/>
        <item x="143"/>
        <item x="292"/>
        <item x="293"/>
        <item x="144"/>
        <item x="145"/>
        <item x="146"/>
        <item x="147"/>
        <item x="148"/>
        <item x="149"/>
        <item x="150"/>
        <item x="151"/>
        <item x="152"/>
        <item x="343"/>
        <item x="153"/>
        <item x="154"/>
        <item x="155"/>
        <item x="294"/>
        <item x="156"/>
        <item x="295"/>
        <item x="296"/>
        <item x="297"/>
        <item x="298"/>
        <item x="299"/>
        <item x="157"/>
        <item x="300"/>
        <item x="158"/>
        <item x="301"/>
        <item x="159"/>
        <item x="160"/>
        <item x="302"/>
        <item x="161"/>
        <item x="162"/>
        <item x="163"/>
        <item x="337"/>
        <item x="164"/>
        <item x="165"/>
        <item x="166"/>
        <item x="167"/>
        <item x="168"/>
        <item x="169"/>
        <item x="170"/>
        <item x="171"/>
        <item x="338"/>
        <item x="172"/>
        <item x="173"/>
        <item x="303"/>
        <item x="174"/>
        <item x="304"/>
        <item x="175"/>
        <item x="305"/>
        <item x="306"/>
        <item x="176"/>
        <item x="177"/>
        <item x="307"/>
        <item x="178"/>
        <item x="308"/>
        <item x="179"/>
        <item x="180"/>
        <item x="181"/>
        <item x="182"/>
        <item x="183"/>
        <item x="309"/>
        <item x="184"/>
        <item x="310"/>
        <item x="185"/>
        <item x="186"/>
        <item x="187"/>
        <item x="188"/>
        <item x="189"/>
        <item x="190"/>
        <item x="191"/>
        <item x="192"/>
        <item x="193"/>
        <item x="194"/>
        <item x="195"/>
        <item x="196"/>
        <item x="311"/>
        <item x="312"/>
        <item x="313"/>
        <item x="197"/>
        <item x="314"/>
        <item x="315"/>
        <item x="198"/>
        <item x="316"/>
        <item x="317"/>
        <item x="318"/>
        <item x="199"/>
        <item x="200"/>
        <item x="319"/>
        <item x="320"/>
        <item x="321"/>
        <item x="201"/>
        <item x="322"/>
        <item x="323"/>
        <item x="202"/>
        <item x="203"/>
        <item x="204"/>
        <item x="205"/>
        <item x="206"/>
        <item x="207"/>
        <item x="208"/>
        <item x="209"/>
        <item x="210"/>
        <item x="211"/>
        <item x="324"/>
        <item x="325"/>
        <item x="326"/>
        <item x="212"/>
        <item x="327"/>
        <item x="213"/>
        <item x="214"/>
        <item x="328"/>
        <item x="329"/>
        <item x="215"/>
        <item x="216"/>
        <item x="217"/>
        <item x="330"/>
        <item x="331"/>
        <item x="218"/>
        <item x="332"/>
        <item x="333"/>
        <item x="334"/>
        <item x="335"/>
        <item x="336"/>
        <item t="default"/>
      </items>
    </pivotField>
    <pivotField showAll="0"/>
    <pivotField showAll="0"/>
    <pivotField numFmtId="43" showAll="0"/>
    <pivotField dataField="1" numFmtId="4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0">
    <i>
      <x v="31"/>
    </i>
    <i>
      <x v="36"/>
    </i>
    <i>
      <x v="35"/>
    </i>
    <i>
      <x v="6"/>
    </i>
    <i>
      <x v="18"/>
    </i>
    <i>
      <x v="12"/>
    </i>
    <i>
      <x v="19"/>
    </i>
    <i>
      <x v="34"/>
    </i>
    <i>
      <x v="11"/>
    </i>
    <i>
      <x v="27"/>
    </i>
    <i>
      <x v="9"/>
    </i>
    <i>
      <x v="28"/>
    </i>
    <i>
      <x v="21"/>
    </i>
    <i>
      <x v="20"/>
    </i>
    <i>
      <x v="29"/>
    </i>
    <i>
      <x v="32"/>
    </i>
    <i>
      <x v="38"/>
    </i>
    <i>
      <x v="13"/>
    </i>
    <i>
      <x v="16"/>
    </i>
    <i>
      <x v="15"/>
    </i>
    <i>
      <x/>
    </i>
    <i>
      <x v="17"/>
    </i>
    <i>
      <x v="37"/>
    </i>
    <i>
      <x v="26"/>
    </i>
    <i>
      <x v="30"/>
    </i>
    <i>
      <x v="33"/>
    </i>
    <i>
      <x v="7"/>
    </i>
    <i>
      <x v="14"/>
    </i>
    <i>
      <x v="5"/>
    </i>
    <i>
      <x v="10"/>
    </i>
    <i>
      <x v="22"/>
    </i>
    <i>
      <x v="23"/>
    </i>
    <i>
      <x v="4"/>
    </i>
    <i>
      <x v="1"/>
    </i>
    <i>
      <x v="8"/>
    </i>
    <i>
      <x v="2"/>
    </i>
    <i>
      <x v="39"/>
    </i>
    <i>
      <x v="25"/>
    </i>
    <i>
      <x v="3"/>
    </i>
    <i t="grand">
      <x/>
    </i>
  </rowItems>
  <colItems count="1">
    <i/>
  </colItems>
  <pageFields count="1">
    <pageField fld="5" hier="-1"/>
  </pageFields>
  <dataFields count="1">
    <dataField name="Sum " fld="10" baseField="4" baseItem="0" numFmtId="164"/>
  </dataFields>
  <formats count="2">
    <format dxfId="90">
      <pivotArea type="origin" dataOnly="0" labelOnly="1" outline="0" fieldPosition="0"/>
    </format>
    <format dxfId="89">
      <pivotArea outline="0" fieldPosition="0">
        <references count="1">
          <reference field="4294967294" count="1">
            <x v="0"/>
          </reference>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CFF2A3-7328-4C8F-880B-DD1A07F56992}" name="Service Charge"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25" fieldListSortAscending="1">
  <location ref="G9:H46" firstHeaderRow="1" firstDataRow="2" firstDataCol="1"/>
  <pivotFields count="13">
    <pivotField showAll="0"/>
    <pivotField showAll="0"/>
    <pivotField showAll="0"/>
    <pivotField showAll="0">
      <items count="11">
        <item x="4"/>
        <item x="2"/>
        <item x="0"/>
        <item x="3"/>
        <item x="7"/>
        <item x="5"/>
        <item x="8"/>
        <item x="1"/>
        <item x="6"/>
        <item x="9"/>
        <item t="default"/>
      </items>
    </pivotField>
    <pivotField axis="axisRow" showAll="0">
      <items count="41">
        <item x="24"/>
        <item x="27"/>
        <item x="38"/>
        <item x="3"/>
        <item x="33"/>
        <item x="21"/>
        <item x="29"/>
        <item x="31"/>
        <item x="15"/>
        <item x="6"/>
        <item x="39"/>
        <item x="4"/>
        <item x="2"/>
        <item x="25"/>
        <item x="22"/>
        <item x="18"/>
        <item x="37"/>
        <item x="19"/>
        <item x="0"/>
        <item x="10"/>
        <item x="26"/>
        <item x="23"/>
        <item x="30"/>
        <item x="32"/>
        <item x="1"/>
        <item x="20"/>
        <item x="16"/>
        <item x="7"/>
        <item x="8"/>
        <item x="34"/>
        <item x="9"/>
        <item x="14"/>
        <item x="11"/>
        <item x="36"/>
        <item x="28"/>
        <item x="12"/>
        <item x="13"/>
        <item x="35"/>
        <item x="17"/>
        <item x="5"/>
        <item t="default"/>
      </items>
    </pivotField>
    <pivotField axis="axisCol" showAll="0" sortType="ascending">
      <items count="20">
        <item h="1" x="0"/>
        <item h="1" x="1"/>
        <item h="1" x="2"/>
        <item h="1" x="3"/>
        <item h="1" x="4"/>
        <item h="1" x="5"/>
        <item h="1" x="6"/>
        <item h="1" x="7"/>
        <item x="8"/>
        <item h="1" x="9"/>
        <item h="1" x="10"/>
        <item h="1" x="11"/>
        <item h="1" x="12"/>
        <item h="1" x="13"/>
        <item h="1" m="1" x="16"/>
        <item h="1" m="1" x="17"/>
        <item h="1" m="1" x="18"/>
        <item h="1" x="14"/>
        <item h="1" x="15"/>
        <item t="default"/>
      </items>
    </pivotField>
    <pivotField showAll="0">
      <items count="345">
        <item x="220"/>
        <item x="339"/>
        <item x="0"/>
        <item x="1"/>
        <item x="2"/>
        <item x="3"/>
        <item x="4"/>
        <item x="5"/>
        <item x="6"/>
        <item x="7"/>
        <item x="8"/>
        <item x="9"/>
        <item x="10"/>
        <item x="11"/>
        <item x="12"/>
        <item x="13"/>
        <item x="14"/>
        <item x="15"/>
        <item x="16"/>
        <item x="17"/>
        <item x="18"/>
        <item x="19"/>
        <item x="20"/>
        <item x="21"/>
        <item x="221"/>
        <item x="22"/>
        <item x="23"/>
        <item x="24"/>
        <item x="25"/>
        <item x="26"/>
        <item x="222"/>
        <item x="27"/>
        <item x="28"/>
        <item x="29"/>
        <item x="223"/>
        <item x="224"/>
        <item x="30"/>
        <item x="31"/>
        <item x="32"/>
        <item x="33"/>
        <item x="34"/>
        <item x="340"/>
        <item x="35"/>
        <item x="36"/>
        <item x="37"/>
        <item x="225"/>
        <item x="226"/>
        <item x="38"/>
        <item x="39"/>
        <item x="40"/>
        <item x="41"/>
        <item x="42"/>
        <item x="43"/>
        <item x="44"/>
        <item x="45"/>
        <item x="46"/>
        <item x="47"/>
        <item x="48"/>
        <item x="227"/>
        <item x="49"/>
        <item x="50"/>
        <item x="228"/>
        <item x="229"/>
        <item x="51"/>
        <item x="230"/>
        <item x="52"/>
        <item x="53"/>
        <item x="54"/>
        <item x="231"/>
        <item x="55"/>
        <item x="56"/>
        <item x="57"/>
        <item x="58"/>
        <item x="232"/>
        <item x="59"/>
        <item x="233"/>
        <item x="60"/>
        <item x="61"/>
        <item x="62"/>
        <item x="63"/>
        <item x="64"/>
        <item x="65"/>
        <item x="66"/>
        <item x="67"/>
        <item x="68"/>
        <item x="341"/>
        <item x="69"/>
        <item x="70"/>
        <item x="71"/>
        <item x="72"/>
        <item x="234"/>
        <item x="235"/>
        <item x="236"/>
        <item x="73"/>
        <item x="237"/>
        <item x="238"/>
        <item x="74"/>
        <item x="239"/>
        <item x="75"/>
        <item x="76"/>
        <item x="240"/>
        <item x="77"/>
        <item x="241"/>
        <item x="242"/>
        <item x="243"/>
        <item x="78"/>
        <item x="79"/>
        <item x="80"/>
        <item x="81"/>
        <item x="82"/>
        <item x="83"/>
        <item x="84"/>
        <item x="244"/>
        <item x="85"/>
        <item x="86"/>
        <item x="245"/>
        <item x="87"/>
        <item x="88"/>
        <item x="246"/>
        <item x="89"/>
        <item x="247"/>
        <item x="248"/>
        <item x="249"/>
        <item x="90"/>
        <item x="91"/>
        <item x="92"/>
        <item x="250"/>
        <item x="251"/>
        <item x="93"/>
        <item x="252"/>
        <item x="253"/>
        <item x="254"/>
        <item x="94"/>
        <item x="255"/>
        <item x="95"/>
        <item x="96"/>
        <item x="97"/>
        <item x="98"/>
        <item x="99"/>
        <item x="100"/>
        <item x="101"/>
        <item x="102"/>
        <item x="256"/>
        <item x="257"/>
        <item x="103"/>
        <item x="104"/>
        <item x="219"/>
        <item x="258"/>
        <item x="105"/>
        <item x="106"/>
        <item x="107"/>
        <item x="108"/>
        <item x="259"/>
        <item x="260"/>
        <item x="261"/>
        <item x="109"/>
        <item x="262"/>
        <item x="263"/>
        <item x="264"/>
        <item x="265"/>
        <item x="110"/>
        <item x="111"/>
        <item x="112"/>
        <item x="266"/>
        <item x="113"/>
        <item x="114"/>
        <item x="115"/>
        <item x="116"/>
        <item x="117"/>
        <item x="267"/>
        <item x="118"/>
        <item x="268"/>
        <item x="119"/>
        <item x="120"/>
        <item x="269"/>
        <item x="270"/>
        <item x="121"/>
        <item x="122"/>
        <item x="123"/>
        <item x="271"/>
        <item x="272"/>
        <item x="124"/>
        <item x="273"/>
        <item x="274"/>
        <item x="125"/>
        <item x="275"/>
        <item x="276"/>
        <item x="126"/>
        <item x="127"/>
        <item x="128"/>
        <item x="277"/>
        <item x="278"/>
        <item x="279"/>
        <item x="129"/>
        <item x="130"/>
        <item x="131"/>
        <item x="132"/>
        <item x="280"/>
        <item x="133"/>
        <item x="134"/>
        <item x="135"/>
        <item x="136"/>
        <item x="281"/>
        <item x="137"/>
        <item x="282"/>
        <item x="342"/>
        <item x="138"/>
        <item x="283"/>
        <item x="284"/>
        <item x="285"/>
        <item x="286"/>
        <item x="287"/>
        <item x="288"/>
        <item x="139"/>
        <item x="140"/>
        <item x="289"/>
        <item x="141"/>
        <item x="290"/>
        <item x="142"/>
        <item x="291"/>
        <item x="143"/>
        <item x="292"/>
        <item x="293"/>
        <item x="144"/>
        <item x="145"/>
        <item x="146"/>
        <item x="147"/>
        <item x="148"/>
        <item x="149"/>
        <item x="150"/>
        <item x="151"/>
        <item x="152"/>
        <item x="343"/>
        <item x="153"/>
        <item x="154"/>
        <item x="155"/>
        <item x="294"/>
        <item x="156"/>
        <item x="295"/>
        <item x="296"/>
        <item x="297"/>
        <item x="298"/>
        <item x="299"/>
        <item x="157"/>
        <item x="300"/>
        <item x="158"/>
        <item x="301"/>
        <item x="159"/>
        <item x="160"/>
        <item x="302"/>
        <item x="161"/>
        <item x="162"/>
        <item x="163"/>
        <item x="337"/>
        <item x="164"/>
        <item x="165"/>
        <item x="166"/>
        <item x="167"/>
        <item x="168"/>
        <item x="169"/>
        <item x="170"/>
        <item x="171"/>
        <item x="338"/>
        <item x="172"/>
        <item x="173"/>
        <item x="303"/>
        <item x="174"/>
        <item x="304"/>
        <item x="175"/>
        <item x="305"/>
        <item x="306"/>
        <item x="176"/>
        <item x="177"/>
        <item x="307"/>
        <item x="178"/>
        <item x="308"/>
        <item x="179"/>
        <item x="180"/>
        <item x="181"/>
        <item x="182"/>
        <item x="183"/>
        <item x="309"/>
        <item x="184"/>
        <item x="310"/>
        <item x="185"/>
        <item x="186"/>
        <item x="187"/>
        <item x="188"/>
        <item x="189"/>
        <item x="190"/>
        <item x="191"/>
        <item x="192"/>
        <item x="193"/>
        <item x="194"/>
        <item x="195"/>
        <item x="196"/>
        <item x="311"/>
        <item x="312"/>
        <item x="313"/>
        <item x="197"/>
        <item x="314"/>
        <item x="315"/>
        <item x="198"/>
        <item x="316"/>
        <item x="317"/>
        <item x="318"/>
        <item x="199"/>
        <item x="200"/>
        <item x="319"/>
        <item x="320"/>
        <item x="321"/>
        <item x="201"/>
        <item x="322"/>
        <item x="323"/>
        <item x="202"/>
        <item x="203"/>
        <item x="204"/>
        <item x="205"/>
        <item x="206"/>
        <item x="207"/>
        <item x="208"/>
        <item x="209"/>
        <item x="210"/>
        <item x="211"/>
        <item x="324"/>
        <item x="325"/>
        <item x="326"/>
        <item x="212"/>
        <item x="327"/>
        <item x="213"/>
        <item x="214"/>
        <item x="328"/>
        <item x="329"/>
        <item x="215"/>
        <item x="216"/>
        <item x="217"/>
        <item x="330"/>
        <item x="331"/>
        <item x="218"/>
        <item x="332"/>
        <item x="333"/>
        <item x="334"/>
        <item x="335"/>
        <item x="336"/>
        <item t="default"/>
      </items>
    </pivotField>
    <pivotField showAll="0"/>
    <pivotField showAll="0"/>
    <pivotField numFmtId="43" showAll="0"/>
    <pivotField dataField="1" numFmtId="4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6">
    <i>
      <x/>
    </i>
    <i>
      <x v="1"/>
    </i>
    <i>
      <x v="2"/>
    </i>
    <i>
      <x v="4"/>
    </i>
    <i>
      <x v="5"/>
    </i>
    <i>
      <x v="6"/>
    </i>
    <i>
      <x v="7"/>
    </i>
    <i>
      <x v="8"/>
    </i>
    <i>
      <x v="9"/>
    </i>
    <i>
      <x v="11"/>
    </i>
    <i>
      <x v="12"/>
    </i>
    <i>
      <x v="13"/>
    </i>
    <i>
      <x v="14"/>
    </i>
    <i>
      <x v="15"/>
    </i>
    <i>
      <x v="16"/>
    </i>
    <i>
      <x v="17"/>
    </i>
    <i>
      <x v="18"/>
    </i>
    <i>
      <x v="19"/>
    </i>
    <i>
      <x v="20"/>
    </i>
    <i>
      <x v="21"/>
    </i>
    <i>
      <x v="22"/>
    </i>
    <i>
      <x v="23"/>
    </i>
    <i>
      <x v="26"/>
    </i>
    <i>
      <x v="27"/>
    </i>
    <i>
      <x v="28"/>
    </i>
    <i>
      <x v="29"/>
    </i>
    <i>
      <x v="30"/>
    </i>
    <i>
      <x v="31"/>
    </i>
    <i>
      <x v="32"/>
    </i>
    <i>
      <x v="33"/>
    </i>
    <i>
      <x v="34"/>
    </i>
    <i>
      <x v="35"/>
    </i>
    <i>
      <x v="36"/>
    </i>
    <i>
      <x v="37"/>
    </i>
    <i>
      <x v="38"/>
    </i>
    <i t="grand">
      <x/>
    </i>
  </rowItems>
  <colFields count="1">
    <field x="5"/>
  </colFields>
  <colItems count="1">
    <i>
      <x v="8"/>
    </i>
  </colItems>
  <dataFields count="1">
    <dataField name="Service Charge " fld="10" baseField="4" baseItem="0" numFmtId="43"/>
  </dataFields>
  <formats count="1">
    <format dxfId="91">
      <pivotArea type="origin" dataOnly="0" labelOnly="1" outline="0" fieldPosition="0"/>
    </format>
  </formats>
  <chartFormats count="1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23"/>
          </reference>
        </references>
      </pivotArea>
    </chartFormat>
    <chartFormat chart="3" format="4">
      <pivotArea type="data" outline="0" fieldPosition="0">
        <references count="2">
          <reference field="4294967294" count="1" selected="0">
            <x v="0"/>
          </reference>
          <reference field="4" count="1" selected="0">
            <x v="21"/>
          </reference>
        </references>
      </pivotArea>
    </chartFormat>
    <chartFormat chart="3" format="5">
      <pivotArea type="data" outline="0" fieldPosition="0">
        <references count="2">
          <reference field="4294967294" count="1" selected="0">
            <x v="0"/>
          </reference>
          <reference field="4" count="1" selected="0">
            <x v="19"/>
          </reference>
        </references>
      </pivotArea>
    </chartFormat>
    <chartFormat chart="3" format="6">
      <pivotArea type="data" outline="0" fieldPosition="0">
        <references count="2">
          <reference field="4294967294" count="1" selected="0">
            <x v="0"/>
          </reference>
          <reference field="4" count="1" selected="0">
            <x v="17"/>
          </reference>
        </references>
      </pivotArea>
    </chartFormat>
    <chartFormat chart="3" format="7">
      <pivotArea type="data" outline="0" fieldPosition="0">
        <references count="2">
          <reference field="4294967294" count="1" selected="0">
            <x v="0"/>
          </reference>
          <reference field="4" count="1" selected="0">
            <x v="35"/>
          </reference>
        </references>
      </pivotArea>
    </chartFormat>
    <chartFormat chart="3" format="8">
      <pivotArea type="data" outline="0" fieldPosition="0">
        <references count="2">
          <reference field="4294967294" count="1" selected="0">
            <x v="0"/>
          </reference>
          <reference field="4" count="1" selected="0">
            <x v="38"/>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 chart="3" format="13">
      <pivotArea type="data" outline="0" fieldPosition="0">
        <references count="2">
          <reference field="4294967294" count="1" selected="0">
            <x v="0"/>
          </reference>
          <reference field="4" count="1" selected="0">
            <x v="5"/>
          </reference>
        </references>
      </pivotArea>
    </chartFormat>
    <chartFormat chart="3" format="14">
      <pivotArea type="data" outline="0" fieldPosition="0">
        <references count="2">
          <reference field="4294967294" count="1" selected="0">
            <x v="0"/>
          </reference>
          <reference field="4" count="1" selected="0">
            <x v="7"/>
          </reference>
        </references>
      </pivotArea>
    </chartFormat>
    <chartFormat chart="3" format="15">
      <pivotArea type="data" outline="0" fieldPosition="0">
        <references count="2">
          <reference field="4294967294" count="1" selected="0">
            <x v="0"/>
          </reference>
          <reference field="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7F7793-89C0-4B65-8080-813512897790}" name="Bills By Apartme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9:B49" firstHeaderRow="1" firstDataRow="1" firstDataCol="1"/>
  <pivotFields count="13">
    <pivotField showAll="0"/>
    <pivotField showAll="0"/>
    <pivotField showAll="0"/>
    <pivotField showAll="0">
      <items count="11">
        <item x="4"/>
        <item x="2"/>
        <item x="0"/>
        <item x="3"/>
        <item x="7"/>
        <item x="5"/>
        <item x="8"/>
        <item x="1"/>
        <item x="6"/>
        <item x="9"/>
        <item t="default"/>
      </items>
    </pivotField>
    <pivotField axis="axisRow" showAll="0" sortType="descending">
      <items count="41">
        <item x="5"/>
        <item x="17"/>
        <item x="35"/>
        <item x="13"/>
        <item x="12"/>
        <item x="28"/>
        <item x="36"/>
        <item x="11"/>
        <item x="14"/>
        <item x="9"/>
        <item x="34"/>
        <item x="8"/>
        <item x="7"/>
        <item x="16"/>
        <item x="20"/>
        <item h="1" x="1"/>
        <item x="32"/>
        <item x="30"/>
        <item x="23"/>
        <item x="26"/>
        <item x="10"/>
        <item x="0"/>
        <item x="19"/>
        <item x="37"/>
        <item x="18"/>
        <item x="22"/>
        <item x="25"/>
        <item x="2"/>
        <item x="4"/>
        <item x="39"/>
        <item x="6"/>
        <item x="15"/>
        <item x="31"/>
        <item x="29"/>
        <item x="21"/>
        <item x="33"/>
        <item x="3"/>
        <item x="38"/>
        <item x="27"/>
        <item x="24"/>
        <item t="default"/>
      </items>
    </pivotField>
    <pivotField showAll="0"/>
    <pivotField showAll="0">
      <items count="345">
        <item x="220"/>
        <item x="339"/>
        <item x="0"/>
        <item x="1"/>
        <item x="2"/>
        <item x="3"/>
        <item x="4"/>
        <item x="5"/>
        <item x="6"/>
        <item x="7"/>
        <item x="8"/>
        <item x="9"/>
        <item x="10"/>
        <item x="11"/>
        <item x="12"/>
        <item x="13"/>
        <item x="14"/>
        <item x="15"/>
        <item x="16"/>
        <item x="17"/>
        <item x="18"/>
        <item x="19"/>
        <item x="20"/>
        <item x="21"/>
        <item x="221"/>
        <item x="22"/>
        <item x="23"/>
        <item x="24"/>
        <item x="25"/>
        <item x="26"/>
        <item x="222"/>
        <item x="27"/>
        <item x="28"/>
        <item x="29"/>
        <item x="223"/>
        <item x="224"/>
        <item x="30"/>
        <item x="31"/>
        <item x="32"/>
        <item x="33"/>
        <item x="34"/>
        <item x="340"/>
        <item x="35"/>
        <item x="36"/>
        <item x="37"/>
        <item x="225"/>
        <item x="226"/>
        <item x="38"/>
        <item x="39"/>
        <item x="40"/>
        <item x="41"/>
        <item x="42"/>
        <item x="43"/>
        <item x="44"/>
        <item x="45"/>
        <item x="46"/>
        <item x="47"/>
        <item x="48"/>
        <item x="227"/>
        <item x="49"/>
        <item x="50"/>
        <item x="228"/>
        <item x="229"/>
        <item x="51"/>
        <item x="230"/>
        <item x="52"/>
        <item x="53"/>
        <item x="54"/>
        <item x="231"/>
        <item x="55"/>
        <item x="56"/>
        <item x="57"/>
        <item x="58"/>
        <item x="232"/>
        <item x="59"/>
        <item x="233"/>
        <item x="60"/>
        <item x="61"/>
        <item x="62"/>
        <item x="63"/>
        <item x="64"/>
        <item x="65"/>
        <item x="66"/>
        <item x="67"/>
        <item x="68"/>
        <item x="341"/>
        <item x="69"/>
        <item x="70"/>
        <item x="71"/>
        <item x="72"/>
        <item x="234"/>
        <item x="235"/>
        <item x="236"/>
        <item x="73"/>
        <item x="237"/>
        <item x="238"/>
        <item x="74"/>
        <item x="239"/>
        <item x="75"/>
        <item x="76"/>
        <item x="240"/>
        <item x="77"/>
        <item x="241"/>
        <item x="242"/>
        <item x="243"/>
        <item x="78"/>
        <item x="79"/>
        <item x="80"/>
        <item x="81"/>
        <item x="82"/>
        <item x="83"/>
        <item x="84"/>
        <item x="244"/>
        <item x="85"/>
        <item x="86"/>
        <item x="245"/>
        <item x="87"/>
        <item x="88"/>
        <item x="246"/>
        <item x="89"/>
        <item x="247"/>
        <item x="248"/>
        <item x="249"/>
        <item x="90"/>
        <item x="91"/>
        <item x="92"/>
        <item x="250"/>
        <item x="251"/>
        <item x="93"/>
        <item x="252"/>
        <item x="253"/>
        <item x="254"/>
        <item x="94"/>
        <item x="255"/>
        <item x="95"/>
        <item x="96"/>
        <item x="97"/>
        <item x="98"/>
        <item x="99"/>
        <item x="100"/>
        <item x="101"/>
        <item x="102"/>
        <item x="256"/>
        <item x="257"/>
        <item x="103"/>
        <item x="104"/>
        <item x="219"/>
        <item x="258"/>
        <item x="105"/>
        <item x="106"/>
        <item x="107"/>
        <item x="108"/>
        <item x="259"/>
        <item x="260"/>
        <item x="261"/>
        <item x="109"/>
        <item x="262"/>
        <item x="263"/>
        <item x="264"/>
        <item x="265"/>
        <item x="110"/>
        <item x="111"/>
        <item x="112"/>
        <item x="266"/>
        <item x="113"/>
        <item x="114"/>
        <item x="115"/>
        <item x="116"/>
        <item x="117"/>
        <item x="267"/>
        <item x="118"/>
        <item x="268"/>
        <item x="119"/>
        <item x="120"/>
        <item x="269"/>
        <item x="270"/>
        <item x="121"/>
        <item x="122"/>
        <item x="123"/>
        <item x="271"/>
        <item x="272"/>
        <item x="124"/>
        <item x="273"/>
        <item x="274"/>
        <item x="125"/>
        <item x="275"/>
        <item x="276"/>
        <item x="126"/>
        <item x="127"/>
        <item x="128"/>
        <item x="277"/>
        <item x="278"/>
        <item x="279"/>
        <item x="129"/>
        <item x="130"/>
        <item x="131"/>
        <item x="132"/>
        <item x="280"/>
        <item x="133"/>
        <item x="134"/>
        <item x="135"/>
        <item x="136"/>
        <item x="281"/>
        <item x="137"/>
        <item x="282"/>
        <item x="342"/>
        <item x="138"/>
        <item x="283"/>
        <item x="284"/>
        <item x="285"/>
        <item x="286"/>
        <item x="287"/>
        <item x="288"/>
        <item x="139"/>
        <item x="140"/>
        <item x="289"/>
        <item x="141"/>
        <item x="290"/>
        <item x="142"/>
        <item x="291"/>
        <item x="143"/>
        <item x="292"/>
        <item x="293"/>
        <item x="144"/>
        <item x="145"/>
        <item x="146"/>
        <item x="147"/>
        <item x="148"/>
        <item x="149"/>
        <item x="150"/>
        <item x="151"/>
        <item x="152"/>
        <item x="343"/>
        <item x="153"/>
        <item x="154"/>
        <item x="155"/>
        <item x="294"/>
        <item x="156"/>
        <item x="295"/>
        <item x="296"/>
        <item x="297"/>
        <item x="298"/>
        <item x="299"/>
        <item x="157"/>
        <item x="300"/>
        <item x="158"/>
        <item x="301"/>
        <item x="159"/>
        <item x="160"/>
        <item x="302"/>
        <item x="161"/>
        <item x="162"/>
        <item x="163"/>
        <item x="337"/>
        <item x="164"/>
        <item x="165"/>
        <item x="166"/>
        <item x="167"/>
        <item x="168"/>
        <item x="169"/>
        <item x="170"/>
        <item x="171"/>
        <item x="338"/>
        <item x="172"/>
        <item x="173"/>
        <item x="303"/>
        <item x="174"/>
        <item x="304"/>
        <item x="175"/>
        <item x="305"/>
        <item x="306"/>
        <item x="176"/>
        <item x="177"/>
        <item x="307"/>
        <item x="178"/>
        <item x="308"/>
        <item x="179"/>
        <item x="180"/>
        <item x="181"/>
        <item x="182"/>
        <item x="183"/>
        <item x="309"/>
        <item x="184"/>
        <item x="310"/>
        <item x="185"/>
        <item x="186"/>
        <item x="187"/>
        <item x="188"/>
        <item x="189"/>
        <item x="190"/>
        <item x="191"/>
        <item x="192"/>
        <item x="193"/>
        <item x="194"/>
        <item x="195"/>
        <item x="196"/>
        <item x="311"/>
        <item x="312"/>
        <item x="313"/>
        <item x="197"/>
        <item x="314"/>
        <item x="315"/>
        <item x="198"/>
        <item x="316"/>
        <item x="317"/>
        <item x="318"/>
        <item x="199"/>
        <item x="200"/>
        <item x="319"/>
        <item x="320"/>
        <item x="321"/>
        <item x="201"/>
        <item x="322"/>
        <item x="323"/>
        <item x="202"/>
        <item x="203"/>
        <item x="204"/>
        <item x="205"/>
        <item x="206"/>
        <item x="207"/>
        <item x="208"/>
        <item x="209"/>
        <item x="210"/>
        <item x="211"/>
        <item x="324"/>
        <item x="325"/>
        <item x="326"/>
        <item x="212"/>
        <item x="327"/>
        <item x="213"/>
        <item x="214"/>
        <item x="328"/>
        <item x="329"/>
        <item x="215"/>
        <item x="216"/>
        <item x="217"/>
        <item x="330"/>
        <item x="331"/>
        <item x="218"/>
        <item x="332"/>
        <item x="333"/>
        <item x="334"/>
        <item x="335"/>
        <item x="336"/>
        <item t="default"/>
      </items>
    </pivotField>
    <pivotField showAll="0"/>
    <pivotField showAll="0"/>
    <pivotField numFmtId="43" showAll="0"/>
    <pivotField dataField="1" numFmtId="4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0">
    <i>
      <x/>
    </i>
    <i>
      <x v="1"/>
    </i>
    <i>
      <x v="2"/>
    </i>
    <i>
      <x v="3"/>
    </i>
    <i>
      <x v="4"/>
    </i>
    <i>
      <x v="5"/>
    </i>
    <i>
      <x v="6"/>
    </i>
    <i>
      <x v="7"/>
    </i>
    <i>
      <x v="8"/>
    </i>
    <i>
      <x v="9"/>
    </i>
    <i>
      <x v="10"/>
    </i>
    <i>
      <x v="11"/>
    </i>
    <i>
      <x v="12"/>
    </i>
    <i>
      <x v="13"/>
    </i>
    <i>
      <x v="14"/>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All Service Bills" fld="10" baseField="4" baseItem="0" numFmtId="43"/>
  </dataFields>
  <formats count="2">
    <format dxfId="93">
      <pivotArea dataOnly="0" labelOnly="1" outline="0" axis="axisValues" fieldPosition="0"/>
    </format>
    <format dxfId="92">
      <pivotArea field="4" type="button" dataOnly="0" labelOnly="1" outline="0" axis="axisRow"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339C34-6482-48D9-BBB0-7C70B0BE4903}" name="Water Payment"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10" fieldListSortAscending="1">
  <location ref="M9:O48" firstHeaderRow="1" firstDataRow="2" firstDataCol="1"/>
  <pivotFields count="13">
    <pivotField showAll="0"/>
    <pivotField showAll="0"/>
    <pivotField showAll="0"/>
    <pivotField showAll="0">
      <items count="11">
        <item x="4"/>
        <item x="2"/>
        <item x="0"/>
        <item x="3"/>
        <item x="7"/>
        <item x="5"/>
        <item x="8"/>
        <item x="1"/>
        <item x="6"/>
        <item x="9"/>
        <item t="default"/>
      </items>
    </pivotField>
    <pivotField axis="axisRow" showAll="0">
      <items count="41">
        <item x="24"/>
        <item x="27"/>
        <item x="38"/>
        <item x="3"/>
        <item x="33"/>
        <item x="21"/>
        <item x="29"/>
        <item x="31"/>
        <item x="15"/>
        <item x="6"/>
        <item x="39"/>
        <item x="4"/>
        <item x="2"/>
        <item x="25"/>
        <item x="22"/>
        <item x="18"/>
        <item x="37"/>
        <item x="19"/>
        <item x="0"/>
        <item x="10"/>
        <item x="26"/>
        <item x="23"/>
        <item x="30"/>
        <item x="32"/>
        <item x="1"/>
        <item x="20"/>
        <item x="16"/>
        <item x="7"/>
        <item x="8"/>
        <item x="34"/>
        <item x="9"/>
        <item x="14"/>
        <item x="11"/>
        <item x="36"/>
        <item x="28"/>
        <item x="12"/>
        <item x="13"/>
        <item x="35"/>
        <item x="17"/>
        <item x="5"/>
        <item t="default"/>
      </items>
    </pivotField>
    <pivotField axis="axisCol" showAll="0">
      <items count="20">
        <item h="1" x="0"/>
        <item h="1" x="1"/>
        <item h="1" x="2"/>
        <item h="1" x="3"/>
        <item h="1" x="4"/>
        <item h="1" x="5"/>
        <item h="1" x="6"/>
        <item h="1" x="7"/>
        <item h="1" x="8"/>
        <item h="1" x="9"/>
        <item h="1" x="10"/>
        <item h="1" x="11"/>
        <item h="1" m="1" x="16"/>
        <item h="1" m="1" x="17"/>
        <item h="1" m="1" x="18"/>
        <item x="14"/>
        <item x="15"/>
        <item h="1" x="12"/>
        <item h="1" x="13"/>
        <item t="default"/>
      </items>
    </pivotField>
    <pivotField showAll="0">
      <items count="345">
        <item x="220"/>
        <item x="339"/>
        <item x="0"/>
        <item x="1"/>
        <item x="2"/>
        <item x="3"/>
        <item x="4"/>
        <item x="5"/>
        <item x="6"/>
        <item x="7"/>
        <item x="8"/>
        <item x="9"/>
        <item x="10"/>
        <item x="11"/>
        <item x="12"/>
        <item x="13"/>
        <item x="14"/>
        <item x="15"/>
        <item x="16"/>
        <item x="17"/>
        <item x="18"/>
        <item x="19"/>
        <item x="20"/>
        <item x="21"/>
        <item x="221"/>
        <item x="22"/>
        <item x="23"/>
        <item x="24"/>
        <item x="25"/>
        <item x="26"/>
        <item x="222"/>
        <item x="27"/>
        <item x="28"/>
        <item x="29"/>
        <item x="223"/>
        <item x="224"/>
        <item x="30"/>
        <item x="31"/>
        <item x="32"/>
        <item x="33"/>
        <item x="34"/>
        <item x="340"/>
        <item x="35"/>
        <item x="36"/>
        <item x="37"/>
        <item x="225"/>
        <item x="226"/>
        <item x="38"/>
        <item x="39"/>
        <item x="40"/>
        <item x="41"/>
        <item x="42"/>
        <item x="43"/>
        <item x="44"/>
        <item x="45"/>
        <item x="46"/>
        <item x="47"/>
        <item x="48"/>
        <item x="227"/>
        <item x="49"/>
        <item x="50"/>
        <item x="228"/>
        <item x="229"/>
        <item x="51"/>
        <item x="230"/>
        <item x="52"/>
        <item x="53"/>
        <item x="54"/>
        <item x="231"/>
        <item x="55"/>
        <item x="56"/>
        <item x="57"/>
        <item x="58"/>
        <item x="232"/>
        <item x="59"/>
        <item x="233"/>
        <item x="60"/>
        <item x="61"/>
        <item x="62"/>
        <item x="63"/>
        <item x="64"/>
        <item x="65"/>
        <item x="66"/>
        <item x="67"/>
        <item x="68"/>
        <item x="341"/>
        <item x="69"/>
        <item x="70"/>
        <item x="71"/>
        <item x="72"/>
        <item x="234"/>
        <item x="235"/>
        <item x="236"/>
        <item x="73"/>
        <item x="237"/>
        <item x="238"/>
        <item x="74"/>
        <item x="239"/>
        <item x="75"/>
        <item x="76"/>
        <item x="240"/>
        <item x="77"/>
        <item x="241"/>
        <item x="242"/>
        <item x="243"/>
        <item x="78"/>
        <item x="79"/>
        <item x="80"/>
        <item x="81"/>
        <item x="82"/>
        <item x="83"/>
        <item x="84"/>
        <item x="244"/>
        <item x="85"/>
        <item x="86"/>
        <item x="245"/>
        <item x="87"/>
        <item x="88"/>
        <item x="246"/>
        <item x="89"/>
        <item x="247"/>
        <item x="248"/>
        <item x="249"/>
        <item x="90"/>
        <item x="91"/>
        <item x="92"/>
        <item x="250"/>
        <item x="251"/>
        <item x="93"/>
        <item x="252"/>
        <item x="253"/>
        <item x="254"/>
        <item x="94"/>
        <item x="255"/>
        <item x="95"/>
        <item x="96"/>
        <item x="97"/>
        <item x="98"/>
        <item x="99"/>
        <item x="100"/>
        <item x="101"/>
        <item x="102"/>
        <item x="256"/>
        <item x="257"/>
        <item x="103"/>
        <item x="104"/>
        <item x="219"/>
        <item x="258"/>
        <item x="105"/>
        <item x="106"/>
        <item x="107"/>
        <item x="108"/>
        <item x="259"/>
        <item x="260"/>
        <item x="261"/>
        <item x="109"/>
        <item x="262"/>
        <item x="263"/>
        <item x="264"/>
        <item x="265"/>
        <item x="110"/>
        <item x="111"/>
        <item x="112"/>
        <item x="266"/>
        <item x="113"/>
        <item x="114"/>
        <item x="115"/>
        <item x="116"/>
        <item x="117"/>
        <item x="267"/>
        <item x="118"/>
        <item x="268"/>
        <item x="119"/>
        <item x="120"/>
        <item x="269"/>
        <item x="270"/>
        <item x="121"/>
        <item x="122"/>
        <item x="123"/>
        <item x="271"/>
        <item x="272"/>
        <item x="124"/>
        <item x="273"/>
        <item x="274"/>
        <item x="125"/>
        <item x="275"/>
        <item x="276"/>
        <item x="126"/>
        <item x="127"/>
        <item x="128"/>
        <item x="277"/>
        <item x="278"/>
        <item x="279"/>
        <item x="129"/>
        <item x="130"/>
        <item x="131"/>
        <item x="132"/>
        <item x="280"/>
        <item x="133"/>
        <item x="134"/>
        <item x="135"/>
        <item x="136"/>
        <item x="281"/>
        <item x="137"/>
        <item x="282"/>
        <item x="342"/>
        <item x="138"/>
        <item x="283"/>
        <item x="284"/>
        <item x="285"/>
        <item x="286"/>
        <item x="287"/>
        <item x="288"/>
        <item x="139"/>
        <item x="140"/>
        <item x="289"/>
        <item x="141"/>
        <item x="290"/>
        <item x="142"/>
        <item x="291"/>
        <item x="143"/>
        <item x="292"/>
        <item x="293"/>
        <item x="144"/>
        <item x="145"/>
        <item x="146"/>
        <item x="147"/>
        <item x="148"/>
        <item x="149"/>
        <item x="150"/>
        <item x="151"/>
        <item x="152"/>
        <item x="343"/>
        <item x="153"/>
        <item x="154"/>
        <item x="155"/>
        <item x="294"/>
        <item x="156"/>
        <item x="295"/>
        <item x="296"/>
        <item x="297"/>
        <item x="298"/>
        <item x="299"/>
        <item x="157"/>
        <item x="300"/>
        <item x="158"/>
        <item x="301"/>
        <item x="159"/>
        <item x="160"/>
        <item x="302"/>
        <item x="161"/>
        <item x="162"/>
        <item x="163"/>
        <item x="337"/>
        <item x="164"/>
        <item x="165"/>
        <item x="166"/>
        <item x="167"/>
        <item x="168"/>
        <item x="169"/>
        <item x="170"/>
        <item x="171"/>
        <item x="338"/>
        <item x="172"/>
        <item x="173"/>
        <item x="303"/>
        <item x="174"/>
        <item x="304"/>
        <item x="175"/>
        <item x="305"/>
        <item x="306"/>
        <item x="176"/>
        <item x="177"/>
        <item x="307"/>
        <item x="178"/>
        <item x="308"/>
        <item x="179"/>
        <item x="180"/>
        <item x="181"/>
        <item x="182"/>
        <item x="183"/>
        <item x="309"/>
        <item x="184"/>
        <item x="310"/>
        <item x="185"/>
        <item x="186"/>
        <item x="187"/>
        <item x="188"/>
        <item x="189"/>
        <item x="190"/>
        <item x="191"/>
        <item x="192"/>
        <item x="193"/>
        <item x="194"/>
        <item x="195"/>
        <item x="196"/>
        <item x="311"/>
        <item x="312"/>
        <item x="313"/>
        <item x="197"/>
        <item x="314"/>
        <item x="315"/>
        <item x="198"/>
        <item x="316"/>
        <item x="317"/>
        <item x="318"/>
        <item x="199"/>
        <item x="200"/>
        <item x="319"/>
        <item x="320"/>
        <item x="321"/>
        <item x="201"/>
        <item x="322"/>
        <item x="323"/>
        <item x="202"/>
        <item x="203"/>
        <item x="204"/>
        <item x="205"/>
        <item x="206"/>
        <item x="207"/>
        <item x="208"/>
        <item x="209"/>
        <item x="210"/>
        <item x="211"/>
        <item x="324"/>
        <item x="325"/>
        <item x="326"/>
        <item x="212"/>
        <item x="327"/>
        <item x="213"/>
        <item x="214"/>
        <item x="328"/>
        <item x="329"/>
        <item x="215"/>
        <item x="216"/>
        <item x="217"/>
        <item x="330"/>
        <item x="331"/>
        <item x="218"/>
        <item x="332"/>
        <item x="333"/>
        <item x="334"/>
        <item x="335"/>
        <item x="336"/>
        <item t="default"/>
      </items>
    </pivotField>
    <pivotField showAll="0"/>
    <pivotField showAll="0"/>
    <pivotField numFmtId="43" showAll="0"/>
    <pivotField dataField="1" numFmtId="4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8">
    <i>
      <x/>
    </i>
    <i>
      <x v="1"/>
    </i>
    <i>
      <x v="2"/>
    </i>
    <i>
      <x v="3"/>
    </i>
    <i>
      <x v="4"/>
    </i>
    <i>
      <x v="5"/>
    </i>
    <i>
      <x v="6"/>
    </i>
    <i>
      <x v="8"/>
    </i>
    <i>
      <x v="9"/>
    </i>
    <i>
      <x v="10"/>
    </i>
    <i>
      <x v="11"/>
    </i>
    <i>
      <x v="12"/>
    </i>
    <i>
      <x v="13"/>
    </i>
    <i>
      <x v="14"/>
    </i>
    <i>
      <x v="15"/>
    </i>
    <i>
      <x v="16"/>
    </i>
    <i>
      <x v="17"/>
    </i>
    <i>
      <x v="18"/>
    </i>
    <i>
      <x v="19"/>
    </i>
    <i>
      <x v="20"/>
    </i>
    <i>
      <x v="21"/>
    </i>
    <i>
      <x v="22"/>
    </i>
    <i>
      <x v="23"/>
    </i>
    <i>
      <x v="24"/>
    </i>
    <i>
      <x v="26"/>
    </i>
    <i>
      <x v="27"/>
    </i>
    <i>
      <x v="28"/>
    </i>
    <i>
      <x v="29"/>
    </i>
    <i>
      <x v="30"/>
    </i>
    <i>
      <x v="31"/>
    </i>
    <i>
      <x v="32"/>
    </i>
    <i>
      <x v="33"/>
    </i>
    <i>
      <x v="34"/>
    </i>
    <i>
      <x v="35"/>
    </i>
    <i>
      <x v="36"/>
    </i>
    <i>
      <x v="37"/>
    </i>
    <i>
      <x v="38"/>
    </i>
    <i t="grand">
      <x/>
    </i>
  </rowItems>
  <colFields count="1">
    <field x="5"/>
  </colFields>
  <colItems count="2">
    <i>
      <x v="15"/>
    </i>
    <i>
      <x v="16"/>
    </i>
  </colItems>
  <dataFields count="1">
    <dataField name="Water Bill " fld="10" baseField="4" baseItem="4" numFmtId="43"/>
  </dataFields>
  <formats count="3">
    <format dxfId="96">
      <pivotArea type="origin" dataOnly="0" labelOnly="1" outline="0" fieldPosition="0"/>
    </format>
    <format dxfId="95">
      <pivotArea dataOnly="0" labelOnly="1" fieldPosition="0">
        <references count="1">
          <reference field="5" count="1">
            <x v="16"/>
          </reference>
        </references>
      </pivotArea>
    </format>
    <format dxfId="94">
      <pivotArea field="4" type="button" dataOnly="0" labelOnly="1" outline="0" axis="axisRow" fieldPosition="0"/>
    </format>
  </formats>
  <chartFormats count="12">
    <chartFormat chart="0" format="0" series="1">
      <pivotArea type="data" outline="0" fieldPosition="0">
        <references count="2">
          <reference field="4294967294" count="1" selected="0">
            <x v="0"/>
          </reference>
          <reference field="5" count="1" selected="0">
            <x v="15"/>
          </reference>
        </references>
      </pivotArea>
    </chartFormat>
    <chartFormat chart="0" format="1" series="1">
      <pivotArea type="data" outline="0" fieldPosition="0">
        <references count="2">
          <reference field="4294967294" count="1" selected="0">
            <x v="0"/>
          </reference>
          <reference field="5" count="1" selected="0">
            <x v="16"/>
          </reference>
        </references>
      </pivotArea>
    </chartFormat>
    <chartFormat chart="3" format="4" series="1">
      <pivotArea type="data" outline="0" fieldPosition="0">
        <references count="2">
          <reference field="4294967294" count="1" selected="0">
            <x v="0"/>
          </reference>
          <reference field="5" count="1" selected="0">
            <x v="15"/>
          </reference>
        </references>
      </pivotArea>
    </chartFormat>
    <chartFormat chart="3" format="5" series="1">
      <pivotArea type="data" outline="0" fieldPosition="0">
        <references count="2">
          <reference field="4294967294" count="1" selected="0">
            <x v="0"/>
          </reference>
          <reference field="5" count="1" selected="0">
            <x v="16"/>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7">
      <pivotArea type="data" outline="0" fieldPosition="0">
        <references count="3">
          <reference field="4294967294" count="1" selected="0">
            <x v="0"/>
          </reference>
          <reference field="4" count="1" selected="0">
            <x v="12"/>
          </reference>
          <reference field="5" count="1" selected="0">
            <x v="15"/>
          </reference>
        </references>
      </pivotArea>
    </chartFormat>
    <chartFormat chart="3" format="8">
      <pivotArea type="data" outline="0" fieldPosition="0">
        <references count="3">
          <reference field="4294967294" count="1" selected="0">
            <x v="0"/>
          </reference>
          <reference field="4" count="1" selected="0">
            <x v="15"/>
          </reference>
          <reference field="5" count="1" selected="0">
            <x v="15"/>
          </reference>
        </references>
      </pivotArea>
    </chartFormat>
    <chartFormat chart="3" format="9">
      <pivotArea type="data" outline="0" fieldPosition="0">
        <references count="3">
          <reference field="4294967294" count="1" selected="0">
            <x v="0"/>
          </reference>
          <reference field="4" count="1" selected="0">
            <x v="9"/>
          </reference>
          <reference field="5" count="1" selected="0">
            <x v="15"/>
          </reference>
        </references>
      </pivotArea>
    </chartFormat>
    <chartFormat chart="3" format="10">
      <pivotArea type="data" outline="0" fieldPosition="0">
        <references count="3">
          <reference field="4294967294" count="1" selected="0">
            <x v="0"/>
          </reference>
          <reference field="4" count="1" selected="0">
            <x v="3"/>
          </reference>
          <reference field="5" count="1" selected="0">
            <x v="15"/>
          </reference>
        </references>
      </pivotArea>
    </chartFormat>
    <chartFormat chart="3" format="11">
      <pivotArea type="data" outline="0" fieldPosition="0">
        <references count="3">
          <reference field="4294967294" count="1" selected="0">
            <x v="0"/>
          </reference>
          <reference field="4" count="1" selected="0">
            <x v="13"/>
          </reference>
          <reference field="5" count="1" selected="0">
            <x v="15"/>
          </reference>
        </references>
      </pivotArea>
    </chartFormat>
    <chartFormat chart="3" format="12">
      <pivotArea type="data" outline="0" fieldPosition="0">
        <references count="3">
          <reference field="4294967294" count="1" selected="0">
            <x v="0"/>
          </reference>
          <reference field="4" count="1" selected="0">
            <x v="18"/>
          </reference>
          <reference field="5" count="1" selected="0">
            <x v="15"/>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F1C50F1-2FF4-41D3-BE27-006ED30266A5}" sourceName="Block">
  <pivotTables>
    <pivotTable tabId="4" name="Service Charge"/>
    <pivotTable tabId="4" name="Bills By Apartment"/>
    <pivotTable tabId="4" name="Office &amp;Common Area"/>
    <pivotTable tabId="4" name="Electricity Recharge"/>
    <pivotTable tabId="4" name="Fixed Charge"/>
    <pivotTable tabId="4" name="Water Payment"/>
    <pivotTable tabId="4" name="Access Fee"/>
    <pivotTable tabId="4" name="Sum_Dashboard"/>
  </pivotTables>
  <data>
    <tabular pivotCacheId="2145129161">
      <items count="10">
        <i x="4" s="1"/>
        <i x="2" s="1"/>
        <i x="0" s="1"/>
        <i x="3" s="1"/>
        <i x="7" s="1"/>
        <i x="5" s="1"/>
        <i x="8" s="1"/>
        <i x="1" s="1"/>
        <i x="6"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artment_ID" xr10:uid="{EE2F5501-2087-4A21-8117-E4FD9735942B}" sourceName="Apartment ID">
  <data>
    <tabular pivotCacheId="2145129161">
      <items count="40">
        <i x="24"/>
        <i x="27"/>
        <i x="38"/>
        <i x="3"/>
        <i x="33"/>
        <i x="21"/>
        <i x="29"/>
        <i x="31"/>
        <i x="15"/>
        <i x="6"/>
        <i x="39"/>
        <i x="4"/>
        <i x="2"/>
        <i x="25"/>
        <i x="22"/>
        <i x="18"/>
        <i x="37"/>
        <i x="19"/>
        <i x="0"/>
        <i x="10"/>
        <i x="26"/>
        <i x="23"/>
        <i x="30"/>
        <i x="32"/>
        <i x="1"/>
        <i x="20"/>
        <i x="16"/>
        <i x="7"/>
        <i x="8"/>
        <i x="34"/>
        <i x="9"/>
        <i x="14"/>
        <i x="11"/>
        <i x="36"/>
        <i x="28" s="1"/>
        <i x="12"/>
        <i x="13"/>
        <i x="35"/>
        <i x="17"/>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artment ID" xr10:uid="{1B7AAC38-508C-4DD9-875F-98F3BCAE7FFE}" cache="Slicer_Apartment_ID" caption="Apartment ID" columnCount="10" style="SlicerStyleOther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B1D20948-34DA-4BCA-BAF7-74AA90C28EB1}" cache="Slicer_Block" caption="Block" columnCount="3" style="SlicerStyleLigh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13042D-06C3-4D14-B643-1FD40EFFC0A9}" name="Estate_bills" displayName="Estate_bills" ref="A3:K2514" totalsRowCount="1" headerRowDxfId="102">
  <autoFilter ref="A3:K2513" xr:uid="{D713042D-06C3-4D14-B643-1FD40EFFC0A9}"/>
  <sortState xmlns:xlrd2="http://schemas.microsoft.com/office/spreadsheetml/2017/richdata2" ref="A4:K2513">
    <sortCondition ref="F3:F2513"/>
  </sortState>
  <tableColumns count="11">
    <tableColumn id="1" xr3:uid="{9C887A4C-173E-440F-86E8-6C36CB357FAA}" name="Order ID" totalsRowLabel="Total"/>
    <tableColumn id="2" xr3:uid="{DA123DDE-A18B-4335-9E3E-2CA0FC5AEA40}" name="Full Name"/>
    <tableColumn id="3" xr3:uid="{DE0EE72B-142A-4CB7-8455-19E26C502274}" name="Unit Type"/>
    <tableColumn id="4" xr3:uid="{50186C1F-BC72-4638-BA38-D6C1042084EC}" name="Block"/>
    <tableColumn id="5" xr3:uid="{C5F4B54C-30A7-496A-B1C5-A8A24D924073}" name="Apartment ID"/>
    <tableColumn id="6" xr3:uid="{54679670-85B8-4F58-954B-4D24F3EFFDF9}" name="Bill"/>
    <tableColumn id="7" xr3:uid="{4D9ABA01-8527-47B0-8FF2-9DFD5E134569}" name="Date" dataDxfId="101"/>
    <tableColumn id="8" xr3:uid="{189085A1-F156-442D-89B5-021C6485590D}" name="Token"/>
    <tableColumn id="9" xr3:uid="{780565D3-069D-4A08-93E4-DA0EC841A7D8}" name="Unit"/>
    <tableColumn id="10" xr3:uid="{8AE6BBE5-409B-4E72-90AC-E0DF829769BA}" name="Unit Price" dataDxfId="100" totalsRowDxfId="99" dataCellStyle="Comma"/>
    <tableColumn id="11" xr3:uid="{3CA9C867-F059-44AF-8FB0-C49750BA13D9}" name="Total Price" totalsRowFunction="sum" dataDxfId="98" totalsRowDxfId="97" dataCellStyle="Comma"/>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40E46E3-F528-409F-A314-66F9AE8C24EF}" sourceName="Date">
  <pivotTables>
    <pivotTable tabId="4" name="Electricity Recharge"/>
    <pivotTable tabId="4" name="Office &amp;Common Area"/>
    <pivotTable tabId="4" name="Service Charge"/>
    <pivotTable tabId="4" name="Fixed Charge"/>
    <pivotTable tabId="4" name="Water Payment"/>
    <pivotTable tabId="4" name="Access Fee"/>
    <pivotTable tabId="4" name="Sum_Dashboard"/>
    <pivotTable tabId="4" name="Bills By Apartment"/>
  </pivotTables>
  <state minimalRefreshVersion="6" lastRefreshVersion="6" pivotCacheId="214512916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A54438C-AF58-4411-87B9-091B0861A823}" cache="NativeTimeline_Date" caption="Date" level="2" selectionLevel="2" scrollPosition="2024-01-01T00:00:00" style="TimeSlicerStyleDark3"/>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8B57-DD62-45C7-8954-A8977E85A566}">
  <dimension ref="A1:Y2511"/>
  <sheetViews>
    <sheetView zoomScaleNormal="100" workbookViewId="0"/>
  </sheetViews>
  <sheetFormatPr defaultRowHeight="15" x14ac:dyDescent="0.25"/>
  <cols>
    <col min="11" max="11" width="21.5703125" customWidth="1"/>
    <col min="15" max="15" width="12.140625" customWidth="1"/>
    <col min="18" max="18" width="10.85546875" customWidth="1"/>
    <col min="22" max="22" width="15.28515625" customWidth="1"/>
  </cols>
  <sheetData>
    <row r="1" spans="1:20" x14ac:dyDescent="0.25">
      <c r="A1" t="s">
        <v>0</v>
      </c>
      <c r="B1" t="s">
        <v>1</v>
      </c>
      <c r="C1" t="s">
        <v>4357</v>
      </c>
      <c r="D1" t="s">
        <v>4356</v>
      </c>
      <c r="E1" t="s">
        <v>2</v>
      </c>
      <c r="F1" t="s">
        <v>3</v>
      </c>
      <c r="G1" t="s">
        <v>4</v>
      </c>
      <c r="H1" t="s">
        <v>5</v>
      </c>
      <c r="I1" t="s">
        <v>4355</v>
      </c>
      <c r="J1" t="s">
        <v>4354</v>
      </c>
      <c r="K1" t="s">
        <v>6</v>
      </c>
      <c r="L1" t="s">
        <v>7</v>
      </c>
      <c r="M1" t="s">
        <v>8</v>
      </c>
      <c r="N1" t="s">
        <v>4353</v>
      </c>
      <c r="O1" t="s">
        <v>4352</v>
      </c>
      <c r="P1" t="s">
        <v>9</v>
      </c>
      <c r="Q1" t="s">
        <v>10</v>
      </c>
      <c r="R1" t="s">
        <v>11</v>
      </c>
      <c r="S1" t="s">
        <v>12</v>
      </c>
      <c r="T1" t="s">
        <v>13</v>
      </c>
    </row>
    <row r="2" spans="1:20" x14ac:dyDescent="0.25">
      <c r="A2" t="s">
        <v>14</v>
      </c>
      <c r="B2" t="s">
        <v>2696</v>
      </c>
      <c r="C2" t="s">
        <v>3300</v>
      </c>
      <c r="D2" t="s">
        <v>3299</v>
      </c>
      <c r="E2">
        <v>47300070555</v>
      </c>
      <c r="F2" t="s">
        <v>35</v>
      </c>
      <c r="G2" t="s">
        <v>35</v>
      </c>
      <c r="H2" t="s">
        <v>116</v>
      </c>
      <c r="K2" t="s">
        <v>4229</v>
      </c>
      <c r="L2" t="s">
        <v>19</v>
      </c>
      <c r="M2" t="s">
        <v>63</v>
      </c>
      <c r="N2" s="2">
        <v>45292</v>
      </c>
      <c r="O2" s="2">
        <v>45322</v>
      </c>
      <c r="P2">
        <v>200</v>
      </c>
      <c r="Q2">
        <v>200</v>
      </c>
      <c r="R2" t="s">
        <v>4228</v>
      </c>
      <c r="S2" t="s">
        <v>2697</v>
      </c>
      <c r="T2">
        <v>1</v>
      </c>
    </row>
    <row r="3" spans="1:20" x14ac:dyDescent="0.25">
      <c r="A3" t="s">
        <v>14</v>
      </c>
      <c r="B3" t="s">
        <v>2695</v>
      </c>
      <c r="C3" t="s">
        <v>4364</v>
      </c>
      <c r="D3" t="s">
        <v>4358</v>
      </c>
      <c r="E3">
        <v>47300070704</v>
      </c>
      <c r="F3" t="s">
        <v>16</v>
      </c>
      <c r="G3" t="s">
        <v>28</v>
      </c>
      <c r="H3" t="s">
        <v>146</v>
      </c>
      <c r="K3" t="s">
        <v>2838</v>
      </c>
      <c r="L3" t="s">
        <v>47</v>
      </c>
      <c r="N3" s="2">
        <v>45292</v>
      </c>
      <c r="O3" s="2">
        <v>45322</v>
      </c>
      <c r="P3">
        <v>111308.86</v>
      </c>
      <c r="Q3">
        <v>111308.86</v>
      </c>
      <c r="R3" t="s">
        <v>2837</v>
      </c>
    </row>
    <row r="4" spans="1:20" x14ac:dyDescent="0.25">
      <c r="A4" t="s">
        <v>14</v>
      </c>
      <c r="B4" t="s">
        <v>2693</v>
      </c>
      <c r="C4" t="s">
        <v>4365</v>
      </c>
      <c r="D4" t="s">
        <v>4366</v>
      </c>
      <c r="E4">
        <v>47300025708</v>
      </c>
      <c r="F4" t="s">
        <v>35</v>
      </c>
      <c r="G4" t="s">
        <v>36</v>
      </c>
      <c r="H4" t="s">
        <v>4360</v>
      </c>
      <c r="K4" t="s">
        <v>4229</v>
      </c>
      <c r="L4" t="s">
        <v>19</v>
      </c>
      <c r="M4" t="s">
        <v>63</v>
      </c>
      <c r="N4" s="2">
        <v>45292</v>
      </c>
      <c r="O4" s="2">
        <v>45322</v>
      </c>
      <c r="P4">
        <v>50000</v>
      </c>
      <c r="Q4">
        <v>50000</v>
      </c>
      <c r="R4" t="s">
        <v>2891</v>
      </c>
      <c r="S4" t="s">
        <v>2694</v>
      </c>
      <c r="T4">
        <v>263</v>
      </c>
    </row>
    <row r="5" spans="1:20" x14ac:dyDescent="0.25">
      <c r="A5" t="s">
        <v>14</v>
      </c>
      <c r="B5" t="s">
        <v>2693</v>
      </c>
      <c r="C5" t="s">
        <v>4367</v>
      </c>
      <c r="D5" t="s">
        <v>4368</v>
      </c>
      <c r="E5">
        <v>47300025708</v>
      </c>
      <c r="F5" t="s">
        <v>35</v>
      </c>
      <c r="G5" t="s">
        <v>36</v>
      </c>
      <c r="H5" t="s">
        <v>4360</v>
      </c>
      <c r="K5" t="s">
        <v>3294</v>
      </c>
      <c r="L5" t="s">
        <v>19</v>
      </c>
      <c r="M5" t="s">
        <v>46</v>
      </c>
      <c r="N5" s="2">
        <v>45292</v>
      </c>
      <c r="O5" s="2">
        <v>45322</v>
      </c>
      <c r="P5">
        <v>500</v>
      </c>
      <c r="Q5">
        <v>500</v>
      </c>
      <c r="R5" t="s">
        <v>2891</v>
      </c>
    </row>
    <row r="6" spans="1:20" x14ac:dyDescent="0.25">
      <c r="A6" t="s">
        <v>14</v>
      </c>
      <c r="B6" t="s">
        <v>2693</v>
      </c>
      <c r="C6" t="s">
        <v>4369</v>
      </c>
      <c r="D6" t="s">
        <v>4370</v>
      </c>
      <c r="E6">
        <v>47300025708</v>
      </c>
      <c r="F6" t="s">
        <v>35</v>
      </c>
      <c r="G6" t="s">
        <v>36</v>
      </c>
      <c r="H6" t="s">
        <v>4360</v>
      </c>
      <c r="K6" t="s">
        <v>2892</v>
      </c>
      <c r="L6" t="s">
        <v>19</v>
      </c>
      <c r="M6" t="s">
        <v>46</v>
      </c>
      <c r="N6" s="2">
        <v>45292</v>
      </c>
      <c r="O6" s="2">
        <v>45322</v>
      </c>
      <c r="P6">
        <v>10000</v>
      </c>
      <c r="Q6">
        <v>10000</v>
      </c>
      <c r="R6" t="s">
        <v>2891</v>
      </c>
    </row>
    <row r="7" spans="1:20" x14ac:dyDescent="0.25">
      <c r="A7" t="s">
        <v>14</v>
      </c>
      <c r="B7" t="s">
        <v>2691</v>
      </c>
      <c r="C7" t="s">
        <v>4371</v>
      </c>
      <c r="D7" t="s">
        <v>4368</v>
      </c>
      <c r="E7">
        <v>47300086445</v>
      </c>
      <c r="F7" t="s">
        <v>16</v>
      </c>
      <c r="G7" t="s">
        <v>28</v>
      </c>
      <c r="H7" t="s">
        <v>187</v>
      </c>
      <c r="I7" t="s">
        <v>2777</v>
      </c>
      <c r="J7" t="s">
        <v>2776</v>
      </c>
      <c r="K7" t="s">
        <v>4229</v>
      </c>
      <c r="L7" t="s">
        <v>19</v>
      </c>
      <c r="M7" t="s">
        <v>63</v>
      </c>
      <c r="N7" s="2">
        <v>45292</v>
      </c>
      <c r="O7" s="2">
        <v>45322</v>
      </c>
      <c r="P7">
        <v>25000</v>
      </c>
      <c r="Q7">
        <v>25000</v>
      </c>
      <c r="R7" t="s">
        <v>3295</v>
      </c>
      <c r="S7" t="s">
        <v>2692</v>
      </c>
      <c r="T7">
        <v>131.5</v>
      </c>
    </row>
    <row r="8" spans="1:20" x14ac:dyDescent="0.25">
      <c r="A8" t="s">
        <v>14</v>
      </c>
      <c r="B8" t="s">
        <v>2691</v>
      </c>
      <c r="C8" t="s">
        <v>4365</v>
      </c>
      <c r="D8" t="s">
        <v>4366</v>
      </c>
      <c r="E8">
        <v>47300086445</v>
      </c>
      <c r="F8" t="s">
        <v>16</v>
      </c>
      <c r="G8" t="s">
        <v>28</v>
      </c>
      <c r="H8" t="s">
        <v>187</v>
      </c>
      <c r="I8" t="s">
        <v>2777</v>
      </c>
      <c r="J8" t="s">
        <v>2776</v>
      </c>
      <c r="K8" t="s">
        <v>3294</v>
      </c>
      <c r="L8" t="s">
        <v>19</v>
      </c>
      <c r="M8" t="s">
        <v>46</v>
      </c>
      <c r="N8" s="2">
        <v>45292</v>
      </c>
      <c r="O8" s="2">
        <v>45322</v>
      </c>
      <c r="P8">
        <v>500</v>
      </c>
      <c r="Q8">
        <v>500</v>
      </c>
      <c r="R8" t="s">
        <v>3295</v>
      </c>
    </row>
    <row r="9" spans="1:20" x14ac:dyDescent="0.25">
      <c r="A9" t="s">
        <v>14</v>
      </c>
      <c r="B9" t="s">
        <v>2689</v>
      </c>
      <c r="C9" t="s">
        <v>4367</v>
      </c>
      <c r="D9" t="s">
        <v>4368</v>
      </c>
      <c r="E9">
        <v>47300026094</v>
      </c>
      <c r="F9" t="s">
        <v>35</v>
      </c>
      <c r="G9" t="s">
        <v>36</v>
      </c>
      <c r="H9" t="s">
        <v>4359</v>
      </c>
      <c r="K9" t="s">
        <v>4229</v>
      </c>
      <c r="L9" t="s">
        <v>19</v>
      </c>
      <c r="M9" t="s">
        <v>63</v>
      </c>
      <c r="N9" s="2">
        <v>45292</v>
      </c>
      <c r="O9" s="2">
        <v>45322</v>
      </c>
      <c r="P9">
        <v>100000</v>
      </c>
      <c r="Q9">
        <v>100000</v>
      </c>
      <c r="R9" t="s">
        <v>3296</v>
      </c>
      <c r="S9" t="s">
        <v>2690</v>
      </c>
      <c r="T9">
        <v>526.29999999999995</v>
      </c>
    </row>
    <row r="10" spans="1:20" x14ac:dyDescent="0.25">
      <c r="A10" t="s">
        <v>14</v>
      </c>
      <c r="B10" t="s">
        <v>2689</v>
      </c>
      <c r="C10" t="s">
        <v>4369</v>
      </c>
      <c r="D10" t="s">
        <v>4370</v>
      </c>
      <c r="E10">
        <v>47300026094</v>
      </c>
      <c r="F10" t="s">
        <v>35</v>
      </c>
      <c r="G10" t="s">
        <v>36</v>
      </c>
      <c r="H10" t="s">
        <v>4359</v>
      </c>
      <c r="K10" t="s">
        <v>3294</v>
      </c>
      <c r="L10" t="s">
        <v>19</v>
      </c>
      <c r="M10" t="s">
        <v>46</v>
      </c>
      <c r="N10" s="2">
        <v>45292</v>
      </c>
      <c r="O10" s="2">
        <v>45322</v>
      </c>
      <c r="P10">
        <v>500</v>
      </c>
      <c r="Q10">
        <v>500</v>
      </c>
      <c r="R10" t="s">
        <v>3296</v>
      </c>
    </row>
    <row r="11" spans="1:20" x14ac:dyDescent="0.25">
      <c r="A11" t="s">
        <v>14</v>
      </c>
      <c r="B11" t="s">
        <v>2687</v>
      </c>
      <c r="C11" t="s">
        <v>4371</v>
      </c>
      <c r="D11" t="s">
        <v>4368</v>
      </c>
      <c r="E11">
        <v>47300070563</v>
      </c>
      <c r="F11" t="s">
        <v>16</v>
      </c>
      <c r="G11" t="s">
        <v>28</v>
      </c>
      <c r="H11" t="s">
        <v>359</v>
      </c>
      <c r="K11" t="s">
        <v>4229</v>
      </c>
      <c r="L11" t="s">
        <v>19</v>
      </c>
      <c r="M11" t="s">
        <v>63</v>
      </c>
      <c r="N11" s="2">
        <v>45292</v>
      </c>
      <c r="O11" s="2">
        <v>45322</v>
      </c>
      <c r="P11">
        <v>40000</v>
      </c>
      <c r="Q11">
        <v>40000</v>
      </c>
      <c r="R11" t="s">
        <v>2894</v>
      </c>
      <c r="S11" t="s">
        <v>2688</v>
      </c>
      <c r="T11">
        <v>210.5</v>
      </c>
    </row>
    <row r="12" spans="1:20" x14ac:dyDescent="0.25">
      <c r="A12" t="s">
        <v>14</v>
      </c>
      <c r="B12" t="s">
        <v>2687</v>
      </c>
      <c r="C12" t="s">
        <v>4365</v>
      </c>
      <c r="D12" t="s">
        <v>4366</v>
      </c>
      <c r="E12">
        <v>47300070563</v>
      </c>
      <c r="F12" t="s">
        <v>16</v>
      </c>
      <c r="G12" t="s">
        <v>28</v>
      </c>
      <c r="H12" t="s">
        <v>359</v>
      </c>
      <c r="K12" t="s">
        <v>3294</v>
      </c>
      <c r="L12" t="s">
        <v>19</v>
      </c>
      <c r="M12" t="s">
        <v>46</v>
      </c>
      <c r="N12" s="2">
        <v>45292</v>
      </c>
      <c r="O12" s="2">
        <v>45322</v>
      </c>
      <c r="P12">
        <v>500</v>
      </c>
      <c r="Q12">
        <v>500</v>
      </c>
      <c r="R12" t="s">
        <v>2894</v>
      </c>
    </row>
    <row r="13" spans="1:20" x14ac:dyDescent="0.25">
      <c r="A13" t="s">
        <v>14</v>
      </c>
      <c r="B13" t="s">
        <v>2687</v>
      </c>
      <c r="C13" t="s">
        <v>4365</v>
      </c>
      <c r="D13" t="s">
        <v>4366</v>
      </c>
      <c r="E13">
        <v>47300070563</v>
      </c>
      <c r="F13" t="s">
        <v>16</v>
      </c>
      <c r="G13" t="s">
        <v>28</v>
      </c>
      <c r="H13" t="s">
        <v>359</v>
      </c>
      <c r="K13" t="s">
        <v>3197</v>
      </c>
      <c r="L13" t="s">
        <v>19</v>
      </c>
      <c r="M13" t="s">
        <v>46</v>
      </c>
      <c r="N13" s="2">
        <v>45292</v>
      </c>
      <c r="O13" s="2">
        <v>45322</v>
      </c>
      <c r="P13">
        <v>145500</v>
      </c>
      <c r="Q13">
        <v>145500</v>
      </c>
    </row>
    <row r="14" spans="1:20" x14ac:dyDescent="0.25">
      <c r="A14" t="s">
        <v>14</v>
      </c>
      <c r="B14" t="s">
        <v>2687</v>
      </c>
      <c r="C14" t="s">
        <v>4371</v>
      </c>
      <c r="D14" t="s">
        <v>4368</v>
      </c>
      <c r="E14">
        <v>47300070563</v>
      </c>
      <c r="F14" t="s">
        <v>16</v>
      </c>
      <c r="G14" t="s">
        <v>28</v>
      </c>
      <c r="H14" t="s">
        <v>359</v>
      </c>
      <c r="K14" t="s">
        <v>2892</v>
      </c>
      <c r="L14" t="s">
        <v>19</v>
      </c>
      <c r="M14" t="s">
        <v>46</v>
      </c>
      <c r="N14" s="2"/>
      <c r="O14" s="2"/>
      <c r="Q14">
        <v>10000</v>
      </c>
      <c r="R14" t="s">
        <v>2894</v>
      </c>
    </row>
    <row r="15" spans="1:20" x14ac:dyDescent="0.25">
      <c r="A15" t="s">
        <v>14</v>
      </c>
      <c r="B15" t="s">
        <v>2685</v>
      </c>
      <c r="C15" t="s">
        <v>4372</v>
      </c>
      <c r="D15" t="s">
        <v>4373</v>
      </c>
      <c r="E15">
        <v>47300070795</v>
      </c>
      <c r="F15" t="s">
        <v>16</v>
      </c>
      <c r="G15" t="s">
        <v>87</v>
      </c>
      <c r="H15" t="s">
        <v>88</v>
      </c>
      <c r="K15" t="s">
        <v>4229</v>
      </c>
      <c r="L15" t="s">
        <v>19</v>
      </c>
      <c r="M15" t="s">
        <v>63</v>
      </c>
      <c r="N15" s="2">
        <v>45292</v>
      </c>
      <c r="O15" s="2">
        <v>45322</v>
      </c>
      <c r="P15">
        <v>75000</v>
      </c>
      <c r="Q15">
        <v>75000</v>
      </c>
      <c r="R15" t="s">
        <v>2895</v>
      </c>
      <c r="S15" t="s">
        <v>2686</v>
      </c>
      <c r="T15">
        <v>394.7</v>
      </c>
    </row>
    <row r="16" spans="1:20" x14ac:dyDescent="0.25">
      <c r="A16" t="s">
        <v>14</v>
      </c>
      <c r="B16" t="s">
        <v>2685</v>
      </c>
      <c r="C16" t="s">
        <v>4374</v>
      </c>
      <c r="D16" t="s">
        <v>4375</v>
      </c>
      <c r="E16">
        <v>47300070795</v>
      </c>
      <c r="F16" t="s">
        <v>16</v>
      </c>
      <c r="G16" t="s">
        <v>87</v>
      </c>
      <c r="H16" t="s">
        <v>88</v>
      </c>
      <c r="K16" t="s">
        <v>3294</v>
      </c>
      <c r="L16" t="s">
        <v>19</v>
      </c>
      <c r="M16" t="s">
        <v>46</v>
      </c>
      <c r="N16" s="2">
        <v>45292</v>
      </c>
      <c r="O16" s="2">
        <v>45322</v>
      </c>
      <c r="P16">
        <v>500</v>
      </c>
      <c r="Q16">
        <v>500</v>
      </c>
      <c r="R16" t="s">
        <v>2895</v>
      </c>
    </row>
    <row r="17" spans="1:20" x14ac:dyDescent="0.25">
      <c r="A17" t="s">
        <v>14</v>
      </c>
      <c r="B17" t="s">
        <v>2685</v>
      </c>
      <c r="C17" t="s">
        <v>4374</v>
      </c>
      <c r="D17" t="s">
        <v>4375</v>
      </c>
      <c r="E17">
        <v>47300070795</v>
      </c>
      <c r="F17" t="s">
        <v>16</v>
      </c>
      <c r="G17" t="s">
        <v>87</v>
      </c>
      <c r="H17" t="s">
        <v>88</v>
      </c>
      <c r="K17" t="s">
        <v>3197</v>
      </c>
      <c r="L17" t="s">
        <v>19</v>
      </c>
      <c r="M17" t="s">
        <v>46</v>
      </c>
      <c r="N17" s="2">
        <v>45292</v>
      </c>
      <c r="O17" s="2">
        <v>45322</v>
      </c>
      <c r="P17">
        <v>145500</v>
      </c>
      <c r="Q17">
        <v>145500</v>
      </c>
      <c r="R17" t="s">
        <v>2895</v>
      </c>
    </row>
    <row r="18" spans="1:20" x14ac:dyDescent="0.25">
      <c r="A18" t="s">
        <v>14</v>
      </c>
      <c r="B18" t="s">
        <v>2685</v>
      </c>
      <c r="C18" t="s">
        <v>4374</v>
      </c>
      <c r="D18" t="s">
        <v>4375</v>
      </c>
      <c r="E18">
        <v>47300070795</v>
      </c>
      <c r="F18" t="s">
        <v>16</v>
      </c>
      <c r="G18" t="s">
        <v>87</v>
      </c>
      <c r="H18" t="s">
        <v>88</v>
      </c>
      <c r="K18" t="s">
        <v>2892</v>
      </c>
      <c r="L18" t="s">
        <v>19</v>
      </c>
      <c r="M18" t="s">
        <v>46</v>
      </c>
      <c r="N18" s="2">
        <v>45292</v>
      </c>
      <c r="O18" s="2">
        <v>45322</v>
      </c>
      <c r="P18">
        <v>10000</v>
      </c>
      <c r="Q18">
        <v>10000</v>
      </c>
      <c r="R18" t="s">
        <v>2895</v>
      </c>
    </row>
    <row r="19" spans="1:20" x14ac:dyDescent="0.25">
      <c r="A19" t="s">
        <v>14</v>
      </c>
      <c r="B19" t="s">
        <v>2684</v>
      </c>
      <c r="C19" t="s">
        <v>4374</v>
      </c>
      <c r="D19" t="s">
        <v>4375</v>
      </c>
      <c r="E19">
        <v>47300046282</v>
      </c>
      <c r="F19" t="s">
        <v>16</v>
      </c>
      <c r="G19" t="s">
        <v>17</v>
      </c>
      <c r="H19" t="s">
        <v>746</v>
      </c>
      <c r="K19" t="s">
        <v>3294</v>
      </c>
      <c r="L19" t="s">
        <v>19</v>
      </c>
      <c r="M19" t="s">
        <v>46</v>
      </c>
      <c r="N19" s="2">
        <v>45292</v>
      </c>
      <c r="O19" s="2">
        <v>45322</v>
      </c>
      <c r="P19">
        <v>500</v>
      </c>
      <c r="Q19">
        <v>500</v>
      </c>
      <c r="R19" t="s">
        <v>3297</v>
      </c>
    </row>
    <row r="20" spans="1:20" x14ac:dyDescent="0.25">
      <c r="A20" t="s">
        <v>14</v>
      </c>
      <c r="B20" t="s">
        <v>2682</v>
      </c>
      <c r="C20" t="s">
        <v>3300</v>
      </c>
      <c r="D20" t="s">
        <v>3299</v>
      </c>
      <c r="E20">
        <v>47300070837</v>
      </c>
      <c r="F20" t="s">
        <v>16</v>
      </c>
      <c r="G20" t="s">
        <v>23</v>
      </c>
      <c r="H20" t="s">
        <v>165</v>
      </c>
      <c r="K20" t="s">
        <v>4229</v>
      </c>
      <c r="L20" t="s">
        <v>19</v>
      </c>
      <c r="M20" t="s">
        <v>63</v>
      </c>
      <c r="N20" s="2">
        <v>45292</v>
      </c>
      <c r="O20" s="2">
        <v>45322</v>
      </c>
      <c r="P20">
        <v>80000</v>
      </c>
      <c r="Q20">
        <v>80000</v>
      </c>
      <c r="R20" t="s">
        <v>2896</v>
      </c>
      <c r="S20" t="s">
        <v>2683</v>
      </c>
      <c r="T20">
        <v>421</v>
      </c>
    </row>
    <row r="21" spans="1:20" x14ac:dyDescent="0.25">
      <c r="A21" t="s">
        <v>14</v>
      </c>
      <c r="B21" t="s">
        <v>2682</v>
      </c>
      <c r="C21" t="s">
        <v>2927</v>
      </c>
      <c r="D21" t="s">
        <v>4375</v>
      </c>
      <c r="E21">
        <v>47300070837</v>
      </c>
      <c r="F21" t="s">
        <v>16</v>
      </c>
      <c r="G21" t="s">
        <v>23</v>
      </c>
      <c r="H21" t="s">
        <v>165</v>
      </c>
      <c r="K21" t="s">
        <v>3294</v>
      </c>
      <c r="L21" t="s">
        <v>19</v>
      </c>
      <c r="M21" t="s">
        <v>46</v>
      </c>
      <c r="N21" s="2">
        <v>45292</v>
      </c>
      <c r="O21" s="2">
        <v>45322</v>
      </c>
      <c r="P21">
        <v>500</v>
      </c>
      <c r="Q21">
        <v>500</v>
      </c>
      <c r="R21" t="s">
        <v>2896</v>
      </c>
    </row>
    <row r="22" spans="1:20" x14ac:dyDescent="0.25">
      <c r="A22" t="s">
        <v>14</v>
      </c>
      <c r="B22" t="s">
        <v>2682</v>
      </c>
      <c r="C22" t="s">
        <v>2927</v>
      </c>
      <c r="D22" t="s">
        <v>4375</v>
      </c>
      <c r="E22">
        <v>47300070837</v>
      </c>
      <c r="F22" t="s">
        <v>16</v>
      </c>
      <c r="G22" t="s">
        <v>23</v>
      </c>
      <c r="H22" t="s">
        <v>165</v>
      </c>
      <c r="K22" t="s">
        <v>3197</v>
      </c>
      <c r="L22" t="s">
        <v>19</v>
      </c>
      <c r="M22" t="s">
        <v>46</v>
      </c>
      <c r="N22" s="2">
        <v>45292</v>
      </c>
      <c r="O22" s="2">
        <v>45322</v>
      </c>
      <c r="P22">
        <v>145500</v>
      </c>
      <c r="Q22">
        <v>145500</v>
      </c>
      <c r="R22" t="s">
        <v>2896</v>
      </c>
    </row>
    <row r="23" spans="1:20" x14ac:dyDescent="0.25">
      <c r="A23" t="s">
        <v>14</v>
      </c>
      <c r="B23" t="s">
        <v>2682</v>
      </c>
      <c r="C23" t="s">
        <v>3300</v>
      </c>
      <c r="D23" t="s">
        <v>3299</v>
      </c>
      <c r="E23">
        <v>47300070837</v>
      </c>
      <c r="F23" t="s">
        <v>16</v>
      </c>
      <c r="G23" t="s">
        <v>23</v>
      </c>
      <c r="H23" t="s">
        <v>165</v>
      </c>
      <c r="K23" t="s">
        <v>2892</v>
      </c>
      <c r="L23" t="s">
        <v>19</v>
      </c>
      <c r="M23" t="s">
        <v>46</v>
      </c>
      <c r="N23" s="2">
        <v>45292</v>
      </c>
      <c r="O23" s="2">
        <v>45473</v>
      </c>
      <c r="P23">
        <v>10000</v>
      </c>
      <c r="Q23">
        <v>60000</v>
      </c>
      <c r="R23" t="s">
        <v>2896</v>
      </c>
    </row>
    <row r="24" spans="1:20" x14ac:dyDescent="0.25">
      <c r="A24" t="s">
        <v>14</v>
      </c>
      <c r="B24" t="s">
        <v>2681</v>
      </c>
      <c r="C24" t="s">
        <v>2927</v>
      </c>
      <c r="D24" t="s">
        <v>4375</v>
      </c>
      <c r="E24">
        <v>47300070555</v>
      </c>
      <c r="F24" t="s">
        <v>35</v>
      </c>
      <c r="G24" t="s">
        <v>35</v>
      </c>
      <c r="H24" t="s">
        <v>116</v>
      </c>
      <c r="K24" t="s">
        <v>3294</v>
      </c>
      <c r="L24" t="s">
        <v>19</v>
      </c>
      <c r="M24" t="s">
        <v>46</v>
      </c>
      <c r="N24" s="2">
        <v>45292</v>
      </c>
      <c r="O24" s="2">
        <v>45322</v>
      </c>
      <c r="P24">
        <v>500</v>
      </c>
      <c r="Q24">
        <v>500</v>
      </c>
      <c r="R24" t="s">
        <v>3298</v>
      </c>
    </row>
    <row r="25" spans="1:20" x14ac:dyDescent="0.25">
      <c r="A25" t="s">
        <v>14</v>
      </c>
      <c r="B25" t="s">
        <v>2679</v>
      </c>
      <c r="C25" t="s">
        <v>2927</v>
      </c>
      <c r="D25" t="s">
        <v>4375</v>
      </c>
      <c r="E25">
        <v>47300070555</v>
      </c>
      <c r="F25" t="s">
        <v>35</v>
      </c>
      <c r="G25" t="s">
        <v>35</v>
      </c>
      <c r="H25" t="s">
        <v>116</v>
      </c>
      <c r="K25" t="s">
        <v>3557</v>
      </c>
      <c r="L25" t="s">
        <v>19</v>
      </c>
      <c r="M25" t="s">
        <v>20</v>
      </c>
      <c r="P25">
        <v>20000</v>
      </c>
      <c r="Q25">
        <v>20000</v>
      </c>
      <c r="R25" t="s">
        <v>3556</v>
      </c>
      <c r="S25" t="s">
        <v>2680</v>
      </c>
      <c r="T25">
        <v>105.3</v>
      </c>
    </row>
    <row r="26" spans="1:20" x14ac:dyDescent="0.25">
      <c r="A26" t="s">
        <v>14</v>
      </c>
      <c r="B26" t="s">
        <v>2678</v>
      </c>
      <c r="C26" t="s">
        <v>4376</v>
      </c>
      <c r="D26" t="s">
        <v>4377</v>
      </c>
      <c r="E26">
        <v>47300046399</v>
      </c>
      <c r="F26" t="s">
        <v>16</v>
      </c>
      <c r="G26" t="s">
        <v>28</v>
      </c>
      <c r="H26" t="s">
        <v>122</v>
      </c>
      <c r="K26" t="s">
        <v>2859</v>
      </c>
      <c r="L26" t="s">
        <v>47</v>
      </c>
      <c r="N26" s="2">
        <v>45309</v>
      </c>
      <c r="O26" s="2">
        <v>45310</v>
      </c>
      <c r="P26">
        <v>150000</v>
      </c>
      <c r="Q26">
        <v>150000</v>
      </c>
      <c r="R26" t="s">
        <v>2858</v>
      </c>
    </row>
    <row r="27" spans="1:20" x14ac:dyDescent="0.25">
      <c r="A27" t="s">
        <v>14</v>
      </c>
      <c r="B27" t="s">
        <v>2676</v>
      </c>
      <c r="C27" t="s">
        <v>4378</v>
      </c>
      <c r="D27" t="s">
        <v>4379</v>
      </c>
      <c r="E27">
        <v>47300070571</v>
      </c>
      <c r="F27" t="s">
        <v>42</v>
      </c>
      <c r="G27" t="s">
        <v>28</v>
      </c>
      <c r="H27" t="s">
        <v>72</v>
      </c>
      <c r="K27" t="s">
        <v>4229</v>
      </c>
      <c r="L27" t="s">
        <v>19</v>
      </c>
      <c r="M27" t="s">
        <v>63</v>
      </c>
      <c r="N27" s="2">
        <v>45292</v>
      </c>
      <c r="O27" s="2">
        <v>45322</v>
      </c>
      <c r="P27">
        <v>50000</v>
      </c>
      <c r="Q27">
        <v>50000</v>
      </c>
      <c r="R27" t="s">
        <v>3301</v>
      </c>
      <c r="S27" t="s">
        <v>2677</v>
      </c>
      <c r="T27">
        <v>263.10000000000002</v>
      </c>
    </row>
    <row r="28" spans="1:20" x14ac:dyDescent="0.25">
      <c r="A28" t="s">
        <v>14</v>
      </c>
      <c r="B28" t="s">
        <v>2676</v>
      </c>
      <c r="C28" t="s">
        <v>4380</v>
      </c>
      <c r="D28" t="s">
        <v>4381</v>
      </c>
      <c r="E28">
        <v>47300070571</v>
      </c>
      <c r="F28" t="s">
        <v>42</v>
      </c>
      <c r="G28" t="s">
        <v>28</v>
      </c>
      <c r="H28" t="s">
        <v>72</v>
      </c>
      <c r="K28" t="s">
        <v>3294</v>
      </c>
      <c r="L28" t="s">
        <v>19</v>
      </c>
      <c r="M28" t="s">
        <v>46</v>
      </c>
      <c r="N28" s="2">
        <v>45292</v>
      </c>
      <c r="O28" s="2">
        <v>45322</v>
      </c>
      <c r="P28">
        <v>500</v>
      </c>
      <c r="Q28">
        <v>500</v>
      </c>
      <c r="R28" t="s">
        <v>3301</v>
      </c>
    </row>
    <row r="29" spans="1:20" x14ac:dyDescent="0.25">
      <c r="A29" t="s">
        <v>14</v>
      </c>
      <c r="B29" t="s">
        <v>2674</v>
      </c>
      <c r="C29" t="s">
        <v>4382</v>
      </c>
      <c r="D29" t="s">
        <v>4383</v>
      </c>
      <c r="E29">
        <v>47300046761</v>
      </c>
      <c r="F29" t="s">
        <v>42</v>
      </c>
      <c r="G29" t="s">
        <v>28</v>
      </c>
      <c r="H29" t="s">
        <v>43</v>
      </c>
      <c r="K29" t="s">
        <v>4229</v>
      </c>
      <c r="L29" t="s">
        <v>19</v>
      </c>
      <c r="M29" t="s">
        <v>63</v>
      </c>
      <c r="N29" s="2">
        <v>45292</v>
      </c>
      <c r="O29" s="2">
        <v>45322</v>
      </c>
      <c r="P29">
        <v>50000</v>
      </c>
      <c r="Q29">
        <v>50000</v>
      </c>
      <c r="R29" t="s">
        <v>3302</v>
      </c>
      <c r="S29" t="s">
        <v>2675</v>
      </c>
      <c r="T29">
        <v>263.10000000000002</v>
      </c>
    </row>
    <row r="30" spans="1:20" x14ac:dyDescent="0.25">
      <c r="A30" t="s">
        <v>14</v>
      </c>
      <c r="B30" t="s">
        <v>2674</v>
      </c>
      <c r="C30" t="s">
        <v>4384</v>
      </c>
      <c r="D30" t="s">
        <v>4385</v>
      </c>
      <c r="E30">
        <v>47300046761</v>
      </c>
      <c r="F30" t="s">
        <v>42</v>
      </c>
      <c r="G30" t="s">
        <v>28</v>
      </c>
      <c r="H30" t="s">
        <v>43</v>
      </c>
      <c r="K30" t="s">
        <v>3294</v>
      </c>
      <c r="L30" t="s">
        <v>19</v>
      </c>
      <c r="M30" t="s">
        <v>46</v>
      </c>
      <c r="N30" s="2">
        <v>45292</v>
      </c>
      <c r="O30" s="2">
        <v>45322</v>
      </c>
      <c r="P30">
        <v>500</v>
      </c>
      <c r="Q30">
        <v>500</v>
      </c>
      <c r="R30" t="s">
        <v>3302</v>
      </c>
    </row>
    <row r="31" spans="1:20" x14ac:dyDescent="0.25">
      <c r="A31" t="s">
        <v>14</v>
      </c>
      <c r="B31" t="s">
        <v>2672</v>
      </c>
      <c r="C31" t="s">
        <v>4386</v>
      </c>
      <c r="D31" t="s">
        <v>4368</v>
      </c>
      <c r="E31">
        <v>47300025690</v>
      </c>
      <c r="F31" t="s">
        <v>35</v>
      </c>
      <c r="G31" t="s">
        <v>36</v>
      </c>
      <c r="H31" t="s">
        <v>37</v>
      </c>
      <c r="K31" t="s">
        <v>4229</v>
      </c>
      <c r="L31" t="s">
        <v>19</v>
      </c>
      <c r="M31" t="s">
        <v>63</v>
      </c>
      <c r="N31" s="2">
        <v>45292</v>
      </c>
      <c r="O31" s="2">
        <v>45322</v>
      </c>
      <c r="P31">
        <v>50000</v>
      </c>
      <c r="Q31">
        <v>50000</v>
      </c>
      <c r="R31" t="s">
        <v>3303</v>
      </c>
      <c r="S31" t="s">
        <v>2673</v>
      </c>
      <c r="T31">
        <v>263.2</v>
      </c>
    </row>
    <row r="32" spans="1:20" x14ac:dyDescent="0.25">
      <c r="A32" t="s">
        <v>14</v>
      </c>
      <c r="B32" t="s">
        <v>2672</v>
      </c>
      <c r="C32" t="s">
        <v>4387</v>
      </c>
      <c r="D32" t="s">
        <v>4388</v>
      </c>
      <c r="E32">
        <v>47300025690</v>
      </c>
      <c r="F32" t="s">
        <v>35</v>
      </c>
      <c r="G32" t="s">
        <v>36</v>
      </c>
      <c r="H32" t="s">
        <v>37</v>
      </c>
      <c r="K32" t="s">
        <v>3294</v>
      </c>
      <c r="L32" t="s">
        <v>19</v>
      </c>
      <c r="M32" t="s">
        <v>46</v>
      </c>
      <c r="N32" s="2">
        <v>45292</v>
      </c>
      <c r="O32" s="2">
        <v>45322</v>
      </c>
      <c r="P32">
        <v>500</v>
      </c>
      <c r="Q32">
        <v>500</v>
      </c>
      <c r="R32" t="s">
        <v>3303</v>
      </c>
    </row>
    <row r="33" spans="1:20" x14ac:dyDescent="0.25">
      <c r="A33" t="s">
        <v>14</v>
      </c>
      <c r="B33" t="s">
        <v>2670</v>
      </c>
      <c r="C33" t="s">
        <v>4389</v>
      </c>
      <c r="D33" t="s">
        <v>4390</v>
      </c>
      <c r="E33">
        <v>47300025708</v>
      </c>
      <c r="F33" t="s">
        <v>35</v>
      </c>
      <c r="G33" t="s">
        <v>36</v>
      </c>
      <c r="H33" t="s">
        <v>4360</v>
      </c>
      <c r="K33" t="s">
        <v>3557</v>
      </c>
      <c r="L33" t="s">
        <v>19</v>
      </c>
      <c r="M33" t="s">
        <v>20</v>
      </c>
      <c r="P33">
        <v>500</v>
      </c>
      <c r="Q33">
        <v>500</v>
      </c>
      <c r="R33" t="s">
        <v>3558</v>
      </c>
      <c r="S33" t="s">
        <v>2671</v>
      </c>
      <c r="T33">
        <v>2.6</v>
      </c>
    </row>
    <row r="34" spans="1:20" x14ac:dyDescent="0.25">
      <c r="A34" t="s">
        <v>14</v>
      </c>
      <c r="B34" t="s">
        <v>2669</v>
      </c>
      <c r="C34" t="s">
        <v>4376</v>
      </c>
      <c r="D34" t="s">
        <v>4377</v>
      </c>
      <c r="E34">
        <v>47300046647</v>
      </c>
      <c r="F34" t="s">
        <v>16</v>
      </c>
      <c r="G34" t="s">
        <v>87</v>
      </c>
      <c r="H34" t="s">
        <v>100</v>
      </c>
      <c r="K34" t="s">
        <v>3294</v>
      </c>
      <c r="L34" t="s">
        <v>19</v>
      </c>
      <c r="M34" t="s">
        <v>46</v>
      </c>
      <c r="N34" s="2">
        <v>45292</v>
      </c>
      <c r="O34" s="2">
        <v>45322</v>
      </c>
      <c r="P34">
        <v>500</v>
      </c>
      <c r="Q34">
        <v>500</v>
      </c>
      <c r="R34" t="s">
        <v>3306</v>
      </c>
    </row>
    <row r="35" spans="1:20" x14ac:dyDescent="0.25">
      <c r="A35" t="s">
        <v>14</v>
      </c>
      <c r="B35" t="s">
        <v>2667</v>
      </c>
      <c r="C35" t="s">
        <v>4378</v>
      </c>
      <c r="D35" t="s">
        <v>4379</v>
      </c>
      <c r="E35">
        <v>47300046647</v>
      </c>
      <c r="F35" t="s">
        <v>16</v>
      </c>
      <c r="G35" t="s">
        <v>87</v>
      </c>
      <c r="H35" t="s">
        <v>100</v>
      </c>
      <c r="K35" t="s">
        <v>4229</v>
      </c>
      <c r="L35" t="s">
        <v>19</v>
      </c>
      <c r="M35" t="s">
        <v>63</v>
      </c>
      <c r="N35" s="2">
        <v>45292</v>
      </c>
      <c r="O35" s="2">
        <v>45322</v>
      </c>
      <c r="P35">
        <v>90000</v>
      </c>
      <c r="Q35">
        <v>90000</v>
      </c>
      <c r="R35" t="s">
        <v>4230</v>
      </c>
      <c r="S35" t="s">
        <v>2668</v>
      </c>
      <c r="T35">
        <v>473.6</v>
      </c>
    </row>
    <row r="36" spans="1:20" x14ac:dyDescent="0.25">
      <c r="A36" t="s">
        <v>14</v>
      </c>
      <c r="B36" t="s">
        <v>2665</v>
      </c>
      <c r="C36" t="s">
        <v>4382</v>
      </c>
      <c r="D36" t="s">
        <v>4383</v>
      </c>
      <c r="E36">
        <v>47300047066</v>
      </c>
      <c r="F36" t="s">
        <v>16</v>
      </c>
      <c r="G36" t="s">
        <v>28</v>
      </c>
      <c r="H36" t="s">
        <v>57</v>
      </c>
      <c r="K36" t="s">
        <v>4229</v>
      </c>
      <c r="L36" t="s">
        <v>19</v>
      </c>
      <c r="M36" t="s">
        <v>63</v>
      </c>
      <c r="N36" s="2">
        <v>45292</v>
      </c>
      <c r="O36" s="2">
        <v>45322</v>
      </c>
      <c r="P36">
        <v>50000</v>
      </c>
      <c r="Q36">
        <v>50000</v>
      </c>
      <c r="R36" t="s">
        <v>3307</v>
      </c>
      <c r="S36" t="s">
        <v>2666</v>
      </c>
      <c r="T36">
        <v>263.10000000000002</v>
      </c>
    </row>
    <row r="37" spans="1:20" x14ac:dyDescent="0.25">
      <c r="A37" t="s">
        <v>14</v>
      </c>
      <c r="B37" t="s">
        <v>2665</v>
      </c>
      <c r="C37" t="s">
        <v>4384</v>
      </c>
      <c r="D37" t="s">
        <v>4385</v>
      </c>
      <c r="E37">
        <v>47300047066</v>
      </c>
      <c r="F37" t="s">
        <v>16</v>
      </c>
      <c r="G37" t="s">
        <v>28</v>
      </c>
      <c r="H37" t="s">
        <v>57</v>
      </c>
      <c r="K37" t="s">
        <v>3294</v>
      </c>
      <c r="L37" t="s">
        <v>19</v>
      </c>
      <c r="M37" t="s">
        <v>46</v>
      </c>
      <c r="N37" s="2">
        <v>45292</v>
      </c>
      <c r="O37" s="2">
        <v>45322</v>
      </c>
      <c r="P37">
        <v>500</v>
      </c>
      <c r="Q37">
        <v>500</v>
      </c>
      <c r="R37" t="s">
        <v>3307</v>
      </c>
    </row>
    <row r="38" spans="1:20" x14ac:dyDescent="0.25">
      <c r="A38" t="s">
        <v>14</v>
      </c>
      <c r="B38" t="s">
        <v>2664</v>
      </c>
      <c r="C38" t="s">
        <v>4386</v>
      </c>
      <c r="D38" t="s">
        <v>4368</v>
      </c>
      <c r="E38">
        <v>47300046605</v>
      </c>
      <c r="F38" t="s">
        <v>16</v>
      </c>
      <c r="G38" t="s">
        <v>17</v>
      </c>
      <c r="H38" t="s">
        <v>49</v>
      </c>
      <c r="K38" t="s">
        <v>3294</v>
      </c>
      <c r="L38" t="s">
        <v>19</v>
      </c>
      <c r="M38" t="s">
        <v>46</v>
      </c>
      <c r="N38" s="2">
        <v>45292</v>
      </c>
      <c r="O38" s="2">
        <v>45322</v>
      </c>
      <c r="P38">
        <v>500</v>
      </c>
      <c r="Q38">
        <v>500</v>
      </c>
      <c r="R38" t="s">
        <v>3308</v>
      </c>
    </row>
    <row r="39" spans="1:20" x14ac:dyDescent="0.25">
      <c r="A39" t="s">
        <v>14</v>
      </c>
      <c r="B39" t="s">
        <v>2662</v>
      </c>
      <c r="C39" t="s">
        <v>4387</v>
      </c>
      <c r="D39" t="s">
        <v>4388</v>
      </c>
      <c r="E39">
        <v>47300046399</v>
      </c>
      <c r="F39" t="s">
        <v>16</v>
      </c>
      <c r="G39" t="s">
        <v>28</v>
      </c>
      <c r="H39" t="s">
        <v>122</v>
      </c>
      <c r="K39" t="s">
        <v>4229</v>
      </c>
      <c r="L39" t="s">
        <v>19</v>
      </c>
      <c r="M39" t="s">
        <v>63</v>
      </c>
      <c r="N39" s="2">
        <v>45292</v>
      </c>
      <c r="O39" s="2">
        <v>45322</v>
      </c>
      <c r="P39">
        <v>20000</v>
      </c>
      <c r="Q39">
        <v>20000</v>
      </c>
      <c r="R39" t="s">
        <v>3309</v>
      </c>
      <c r="S39" t="s">
        <v>2663</v>
      </c>
      <c r="T39">
        <v>105.2</v>
      </c>
    </row>
    <row r="40" spans="1:20" x14ac:dyDescent="0.25">
      <c r="A40" t="s">
        <v>14</v>
      </c>
      <c r="B40" t="s">
        <v>2662</v>
      </c>
      <c r="C40" t="s">
        <v>4389</v>
      </c>
      <c r="D40" t="s">
        <v>4390</v>
      </c>
      <c r="E40">
        <v>47300046399</v>
      </c>
      <c r="F40" t="s">
        <v>16</v>
      </c>
      <c r="G40" t="s">
        <v>28</v>
      </c>
      <c r="H40" t="s">
        <v>122</v>
      </c>
      <c r="K40" t="s">
        <v>3294</v>
      </c>
      <c r="L40" t="s">
        <v>19</v>
      </c>
      <c r="M40" t="s">
        <v>46</v>
      </c>
      <c r="N40" s="2">
        <v>45292</v>
      </c>
      <c r="O40" s="2">
        <v>45322</v>
      </c>
      <c r="P40">
        <v>500</v>
      </c>
      <c r="Q40">
        <v>500</v>
      </c>
      <c r="R40" t="s">
        <v>3309</v>
      </c>
    </row>
    <row r="41" spans="1:20" x14ac:dyDescent="0.25">
      <c r="A41" t="s">
        <v>14</v>
      </c>
      <c r="B41" t="s">
        <v>2660</v>
      </c>
      <c r="C41" t="s">
        <v>4371</v>
      </c>
      <c r="D41" t="s">
        <v>4368</v>
      </c>
      <c r="E41">
        <v>47300046720</v>
      </c>
      <c r="F41" t="s">
        <v>16</v>
      </c>
      <c r="G41" t="s">
        <v>28</v>
      </c>
      <c r="H41" t="s">
        <v>143</v>
      </c>
      <c r="K41" t="s">
        <v>4229</v>
      </c>
      <c r="L41" t="s">
        <v>19</v>
      </c>
      <c r="M41" t="s">
        <v>63</v>
      </c>
      <c r="N41" s="2">
        <v>45292</v>
      </c>
      <c r="O41" s="2">
        <v>45322</v>
      </c>
      <c r="P41">
        <v>25000</v>
      </c>
      <c r="Q41">
        <v>25000</v>
      </c>
      <c r="R41" t="s">
        <v>3310</v>
      </c>
      <c r="S41" t="s">
        <v>2661</v>
      </c>
      <c r="T41">
        <v>131.5</v>
      </c>
    </row>
    <row r="42" spans="1:20" x14ac:dyDescent="0.25">
      <c r="A42" t="s">
        <v>14</v>
      </c>
      <c r="B42" t="s">
        <v>2660</v>
      </c>
      <c r="C42" t="s">
        <v>4378</v>
      </c>
      <c r="D42" t="s">
        <v>4379</v>
      </c>
      <c r="E42">
        <v>47300046720</v>
      </c>
      <c r="F42" t="s">
        <v>16</v>
      </c>
      <c r="G42" t="s">
        <v>28</v>
      </c>
      <c r="H42" t="s">
        <v>143</v>
      </c>
      <c r="K42" t="s">
        <v>3294</v>
      </c>
      <c r="L42" t="s">
        <v>19</v>
      </c>
      <c r="M42" t="s">
        <v>46</v>
      </c>
      <c r="N42" s="2">
        <v>45292</v>
      </c>
      <c r="O42" s="2">
        <v>45322</v>
      </c>
      <c r="P42">
        <v>500</v>
      </c>
      <c r="Q42">
        <v>500</v>
      </c>
      <c r="R42" t="s">
        <v>3310</v>
      </c>
    </row>
    <row r="43" spans="1:20" x14ac:dyDescent="0.25">
      <c r="A43" t="s">
        <v>14</v>
      </c>
      <c r="B43" t="s">
        <v>2659</v>
      </c>
      <c r="C43" t="s">
        <v>4384</v>
      </c>
      <c r="D43" t="s">
        <v>4391</v>
      </c>
      <c r="E43">
        <v>47300046977</v>
      </c>
      <c r="F43" t="s">
        <v>16</v>
      </c>
      <c r="G43" t="s">
        <v>17</v>
      </c>
      <c r="H43" t="s">
        <v>175</v>
      </c>
      <c r="K43" t="s">
        <v>3197</v>
      </c>
      <c r="L43" t="s">
        <v>19</v>
      </c>
      <c r="M43" t="s">
        <v>46</v>
      </c>
      <c r="N43" s="2">
        <v>45292</v>
      </c>
      <c r="O43" s="2">
        <v>45322</v>
      </c>
      <c r="P43">
        <v>145500</v>
      </c>
      <c r="Q43">
        <v>145500</v>
      </c>
      <c r="R43" t="s">
        <v>3198</v>
      </c>
    </row>
    <row r="44" spans="1:20" x14ac:dyDescent="0.25">
      <c r="A44" t="s">
        <v>14</v>
      </c>
      <c r="B44" t="s">
        <v>2658</v>
      </c>
      <c r="C44" t="s">
        <v>4392</v>
      </c>
      <c r="D44" t="s">
        <v>4393</v>
      </c>
      <c r="E44">
        <v>47300046241</v>
      </c>
      <c r="F44" t="s">
        <v>16</v>
      </c>
      <c r="G44" t="s">
        <v>23</v>
      </c>
      <c r="H44" t="s">
        <v>24</v>
      </c>
      <c r="I44" t="s">
        <v>2754</v>
      </c>
      <c r="J44">
        <v>0</v>
      </c>
      <c r="K44" t="s">
        <v>2755</v>
      </c>
      <c r="L44" t="s">
        <v>47</v>
      </c>
      <c r="N44" s="2">
        <v>45310</v>
      </c>
      <c r="O44" s="2">
        <v>45316</v>
      </c>
      <c r="P44">
        <v>47500</v>
      </c>
      <c r="Q44">
        <v>47500</v>
      </c>
      <c r="R44" t="s">
        <v>2752</v>
      </c>
    </row>
    <row r="45" spans="1:20" x14ac:dyDescent="0.25">
      <c r="A45" t="s">
        <v>14</v>
      </c>
      <c r="B45" t="s">
        <v>2658</v>
      </c>
      <c r="C45" t="s">
        <v>4384</v>
      </c>
      <c r="D45" t="s">
        <v>4379</v>
      </c>
      <c r="E45">
        <v>47300046241</v>
      </c>
      <c r="F45" t="s">
        <v>16</v>
      </c>
      <c r="G45" t="s">
        <v>23</v>
      </c>
      <c r="H45" t="s">
        <v>24</v>
      </c>
      <c r="I45" t="s">
        <v>2754</v>
      </c>
      <c r="J45">
        <v>0</v>
      </c>
      <c r="K45" t="s">
        <v>2753</v>
      </c>
      <c r="L45" t="s">
        <v>47</v>
      </c>
      <c r="N45" s="2">
        <v>45310</v>
      </c>
      <c r="O45" s="2">
        <v>45316</v>
      </c>
      <c r="P45">
        <v>4750</v>
      </c>
      <c r="Q45">
        <v>4750</v>
      </c>
      <c r="R45" t="s">
        <v>2752</v>
      </c>
    </row>
    <row r="46" spans="1:20" x14ac:dyDescent="0.25">
      <c r="A46" t="s">
        <v>14</v>
      </c>
      <c r="B46" t="s">
        <v>2657</v>
      </c>
      <c r="C46" t="s">
        <v>4384</v>
      </c>
      <c r="D46" t="s">
        <v>4391</v>
      </c>
      <c r="E46">
        <v>47300046977</v>
      </c>
      <c r="F46" t="s">
        <v>16</v>
      </c>
      <c r="G46" t="s">
        <v>17</v>
      </c>
      <c r="H46" t="s">
        <v>175</v>
      </c>
      <c r="K46" t="s">
        <v>3294</v>
      </c>
      <c r="L46" t="s">
        <v>19</v>
      </c>
      <c r="M46" t="s">
        <v>46</v>
      </c>
      <c r="N46" s="2">
        <v>45292</v>
      </c>
      <c r="O46" s="2">
        <v>45322</v>
      </c>
      <c r="P46">
        <v>500</v>
      </c>
      <c r="Q46">
        <v>500</v>
      </c>
      <c r="R46" t="s">
        <v>2897</v>
      </c>
    </row>
    <row r="47" spans="1:20" x14ac:dyDescent="0.25">
      <c r="A47" t="s">
        <v>14</v>
      </c>
      <c r="B47" t="s">
        <v>2657</v>
      </c>
      <c r="C47" t="s">
        <v>4392</v>
      </c>
      <c r="D47" t="s">
        <v>4393</v>
      </c>
      <c r="E47">
        <v>47300046977</v>
      </c>
      <c r="F47" t="s">
        <v>16</v>
      </c>
      <c r="G47" t="s">
        <v>17</v>
      </c>
      <c r="H47" t="s">
        <v>175</v>
      </c>
      <c r="K47" t="s">
        <v>2892</v>
      </c>
      <c r="L47" t="s">
        <v>19</v>
      </c>
      <c r="M47" t="s">
        <v>46</v>
      </c>
      <c r="N47" s="2">
        <v>45292</v>
      </c>
      <c r="O47" s="2">
        <v>45322</v>
      </c>
      <c r="P47">
        <v>10000</v>
      </c>
      <c r="Q47">
        <v>10000</v>
      </c>
      <c r="R47" t="s">
        <v>2897</v>
      </c>
    </row>
    <row r="48" spans="1:20" x14ac:dyDescent="0.25">
      <c r="A48" t="s">
        <v>14</v>
      </c>
      <c r="B48" t="s">
        <v>2655</v>
      </c>
      <c r="C48" t="s">
        <v>4384</v>
      </c>
      <c r="D48" t="s">
        <v>4379</v>
      </c>
      <c r="E48">
        <v>47300070480</v>
      </c>
      <c r="F48" t="s">
        <v>16</v>
      </c>
      <c r="G48" t="s">
        <v>28</v>
      </c>
      <c r="H48" t="s">
        <v>184</v>
      </c>
      <c r="K48" t="s">
        <v>4229</v>
      </c>
      <c r="L48" t="s">
        <v>19</v>
      </c>
      <c r="M48" t="s">
        <v>63</v>
      </c>
      <c r="N48" s="2">
        <v>45292</v>
      </c>
      <c r="O48" s="2">
        <v>45322</v>
      </c>
      <c r="P48">
        <v>30000</v>
      </c>
      <c r="Q48">
        <v>30000</v>
      </c>
      <c r="R48" t="s">
        <v>3311</v>
      </c>
      <c r="S48" t="s">
        <v>2656</v>
      </c>
      <c r="T48">
        <v>157.80000000000001</v>
      </c>
    </row>
    <row r="49" spans="1:20" x14ac:dyDescent="0.25">
      <c r="A49" t="s">
        <v>14</v>
      </c>
      <c r="B49" t="s">
        <v>2655</v>
      </c>
      <c r="C49" t="s">
        <v>4392</v>
      </c>
      <c r="D49" t="s">
        <v>4393</v>
      </c>
      <c r="E49">
        <v>47300070480</v>
      </c>
      <c r="F49" t="s">
        <v>16</v>
      </c>
      <c r="G49" t="s">
        <v>28</v>
      </c>
      <c r="H49" t="s">
        <v>184</v>
      </c>
      <c r="K49" t="s">
        <v>3294</v>
      </c>
      <c r="L49" t="s">
        <v>19</v>
      </c>
      <c r="M49" t="s">
        <v>46</v>
      </c>
      <c r="N49" s="2">
        <v>45292</v>
      </c>
      <c r="O49" s="2">
        <v>45322</v>
      </c>
      <c r="P49">
        <v>500</v>
      </c>
      <c r="Q49">
        <v>500</v>
      </c>
      <c r="R49" t="s">
        <v>3311</v>
      </c>
    </row>
    <row r="50" spans="1:20" x14ac:dyDescent="0.25">
      <c r="A50" t="s">
        <v>14</v>
      </c>
      <c r="B50" t="s">
        <v>2653</v>
      </c>
      <c r="C50" t="s">
        <v>4392</v>
      </c>
      <c r="D50" t="s">
        <v>4393</v>
      </c>
      <c r="E50">
        <v>47300070688</v>
      </c>
      <c r="F50" t="s">
        <v>16</v>
      </c>
      <c r="G50" t="s">
        <v>17</v>
      </c>
      <c r="H50" t="s">
        <v>149</v>
      </c>
      <c r="K50" t="s">
        <v>4229</v>
      </c>
      <c r="L50" t="s">
        <v>19</v>
      </c>
      <c r="M50" t="s">
        <v>63</v>
      </c>
      <c r="N50" s="2">
        <v>45292</v>
      </c>
      <c r="O50" s="2">
        <v>45322</v>
      </c>
      <c r="P50">
        <v>50000</v>
      </c>
      <c r="Q50">
        <v>50000</v>
      </c>
      <c r="R50" t="s">
        <v>2898</v>
      </c>
      <c r="S50" t="s">
        <v>2654</v>
      </c>
      <c r="T50">
        <v>263.10000000000002</v>
      </c>
    </row>
    <row r="51" spans="1:20" x14ac:dyDescent="0.25">
      <c r="A51" t="s">
        <v>14</v>
      </c>
      <c r="B51" t="s">
        <v>2653</v>
      </c>
      <c r="C51" t="s">
        <v>4384</v>
      </c>
      <c r="D51" t="s">
        <v>4391</v>
      </c>
      <c r="E51">
        <v>47300070688</v>
      </c>
      <c r="F51" t="s">
        <v>16</v>
      </c>
      <c r="G51" t="s">
        <v>17</v>
      </c>
      <c r="H51" t="s">
        <v>149</v>
      </c>
      <c r="K51" t="s">
        <v>3294</v>
      </c>
      <c r="L51" t="s">
        <v>19</v>
      </c>
      <c r="M51" t="s">
        <v>46</v>
      </c>
      <c r="N51" s="2">
        <v>45292</v>
      </c>
      <c r="O51" s="2">
        <v>45322</v>
      </c>
      <c r="P51">
        <v>500</v>
      </c>
      <c r="Q51">
        <v>500</v>
      </c>
      <c r="R51" t="s">
        <v>2898</v>
      </c>
    </row>
    <row r="52" spans="1:20" x14ac:dyDescent="0.25">
      <c r="A52" t="s">
        <v>14</v>
      </c>
      <c r="B52" t="s">
        <v>2653</v>
      </c>
      <c r="C52" t="s">
        <v>4394</v>
      </c>
      <c r="D52" t="s">
        <v>4395</v>
      </c>
      <c r="E52">
        <v>47300070688</v>
      </c>
      <c r="F52" t="s">
        <v>16</v>
      </c>
      <c r="G52" t="s">
        <v>17</v>
      </c>
      <c r="H52" t="s">
        <v>149</v>
      </c>
      <c r="K52" t="s">
        <v>3197</v>
      </c>
      <c r="L52" t="s">
        <v>19</v>
      </c>
      <c r="M52" t="s">
        <v>46</v>
      </c>
      <c r="N52" s="2">
        <v>45292</v>
      </c>
      <c r="O52" s="2">
        <v>45322</v>
      </c>
      <c r="P52">
        <v>145500</v>
      </c>
      <c r="Q52">
        <v>145500</v>
      </c>
      <c r="R52" t="s">
        <v>2898</v>
      </c>
    </row>
    <row r="53" spans="1:20" x14ac:dyDescent="0.25">
      <c r="A53" t="s">
        <v>14</v>
      </c>
      <c r="B53" t="s">
        <v>2653</v>
      </c>
      <c r="C53" t="s">
        <v>4394</v>
      </c>
      <c r="D53" t="s">
        <v>4395</v>
      </c>
      <c r="E53">
        <v>47300070688</v>
      </c>
      <c r="F53" t="s">
        <v>16</v>
      </c>
      <c r="G53" t="s">
        <v>17</v>
      </c>
      <c r="H53" t="s">
        <v>149</v>
      </c>
      <c r="K53" t="s">
        <v>2892</v>
      </c>
      <c r="L53" t="s">
        <v>19</v>
      </c>
      <c r="M53" t="s">
        <v>46</v>
      </c>
      <c r="N53" s="2">
        <v>45292</v>
      </c>
      <c r="O53" s="2">
        <v>45322</v>
      </c>
      <c r="P53">
        <v>10000</v>
      </c>
      <c r="Q53">
        <v>10000</v>
      </c>
      <c r="R53" t="s">
        <v>2898</v>
      </c>
    </row>
    <row r="54" spans="1:20" x14ac:dyDescent="0.25">
      <c r="A54" t="s">
        <v>14</v>
      </c>
      <c r="B54" t="s">
        <v>2651</v>
      </c>
      <c r="C54" t="s">
        <v>4396</v>
      </c>
      <c r="D54" t="s">
        <v>4397</v>
      </c>
      <c r="E54">
        <v>47300046662</v>
      </c>
      <c r="F54" t="s">
        <v>16</v>
      </c>
      <c r="G54" t="s">
        <v>28</v>
      </c>
      <c r="H54" t="s">
        <v>129</v>
      </c>
      <c r="K54" t="s">
        <v>4229</v>
      </c>
      <c r="L54" t="s">
        <v>19</v>
      </c>
      <c r="M54" t="s">
        <v>63</v>
      </c>
      <c r="N54" s="2">
        <v>45292</v>
      </c>
      <c r="O54" s="2">
        <v>45322</v>
      </c>
      <c r="P54">
        <v>25000</v>
      </c>
      <c r="Q54">
        <v>25000</v>
      </c>
      <c r="R54" t="s">
        <v>3312</v>
      </c>
      <c r="S54" t="s">
        <v>2652</v>
      </c>
      <c r="T54">
        <v>131.5</v>
      </c>
    </row>
    <row r="55" spans="1:20" x14ac:dyDescent="0.25">
      <c r="A55" t="s">
        <v>14</v>
      </c>
      <c r="B55" t="s">
        <v>2651</v>
      </c>
      <c r="C55" t="s">
        <v>4396</v>
      </c>
      <c r="D55" t="s">
        <v>4397</v>
      </c>
      <c r="E55">
        <v>47300046662</v>
      </c>
      <c r="F55" t="s">
        <v>16</v>
      </c>
      <c r="G55" t="s">
        <v>28</v>
      </c>
      <c r="H55" t="s">
        <v>129</v>
      </c>
      <c r="K55" t="s">
        <v>3294</v>
      </c>
      <c r="L55" t="s">
        <v>19</v>
      </c>
      <c r="M55" t="s">
        <v>46</v>
      </c>
      <c r="N55" s="2">
        <v>45292</v>
      </c>
      <c r="O55" s="2">
        <v>45322</v>
      </c>
      <c r="P55">
        <v>500</v>
      </c>
      <c r="Q55">
        <v>500</v>
      </c>
      <c r="R55" t="s">
        <v>3312</v>
      </c>
    </row>
    <row r="56" spans="1:20" x14ac:dyDescent="0.25">
      <c r="A56" t="s">
        <v>14</v>
      </c>
      <c r="B56" t="s">
        <v>2650</v>
      </c>
      <c r="C56" t="s">
        <v>4398</v>
      </c>
      <c r="D56" t="s">
        <v>4399</v>
      </c>
      <c r="E56">
        <v>47300070845</v>
      </c>
      <c r="F56" t="s">
        <v>16</v>
      </c>
      <c r="G56" t="s">
        <v>23</v>
      </c>
      <c r="H56" t="s">
        <v>157</v>
      </c>
      <c r="K56" t="s">
        <v>3294</v>
      </c>
      <c r="L56" t="s">
        <v>19</v>
      </c>
      <c r="M56" t="s">
        <v>46</v>
      </c>
      <c r="N56" s="2">
        <v>45292</v>
      </c>
      <c r="O56" s="2">
        <v>45322</v>
      </c>
      <c r="P56">
        <v>500</v>
      </c>
      <c r="Q56">
        <v>500</v>
      </c>
      <c r="R56" t="s">
        <v>2899</v>
      </c>
    </row>
    <row r="57" spans="1:20" x14ac:dyDescent="0.25">
      <c r="A57" t="s">
        <v>14</v>
      </c>
      <c r="B57" t="s">
        <v>2650</v>
      </c>
      <c r="C57" t="s">
        <v>4400</v>
      </c>
      <c r="D57" t="s">
        <v>4401</v>
      </c>
      <c r="E57">
        <v>47300070845</v>
      </c>
      <c r="F57" t="s">
        <v>16</v>
      </c>
      <c r="G57" t="s">
        <v>23</v>
      </c>
      <c r="H57" t="s">
        <v>157</v>
      </c>
      <c r="K57" t="s">
        <v>2892</v>
      </c>
      <c r="L57" t="s">
        <v>19</v>
      </c>
      <c r="M57" t="s">
        <v>46</v>
      </c>
      <c r="N57" s="2">
        <v>45292</v>
      </c>
      <c r="O57" s="2">
        <v>45322</v>
      </c>
      <c r="P57">
        <v>10000</v>
      </c>
      <c r="Q57">
        <v>10000</v>
      </c>
      <c r="R57" t="s">
        <v>2899</v>
      </c>
    </row>
    <row r="58" spans="1:20" x14ac:dyDescent="0.25">
      <c r="A58" t="s">
        <v>14</v>
      </c>
      <c r="B58" t="s">
        <v>2649</v>
      </c>
      <c r="C58" t="s">
        <v>4402</v>
      </c>
      <c r="D58" t="s">
        <v>4403</v>
      </c>
      <c r="E58">
        <v>47300046282</v>
      </c>
      <c r="F58" t="s">
        <v>16</v>
      </c>
      <c r="G58" t="s">
        <v>17</v>
      </c>
      <c r="H58" t="s">
        <v>746</v>
      </c>
      <c r="K58" t="s">
        <v>2892</v>
      </c>
      <c r="L58" t="s">
        <v>19</v>
      </c>
      <c r="M58" t="s">
        <v>46</v>
      </c>
      <c r="N58" s="2">
        <v>45292</v>
      </c>
      <c r="O58" s="2">
        <v>45322</v>
      </c>
      <c r="P58">
        <v>10000</v>
      </c>
      <c r="Q58">
        <v>10000</v>
      </c>
      <c r="R58" t="s">
        <v>2900</v>
      </c>
    </row>
    <row r="59" spans="1:20" x14ac:dyDescent="0.25">
      <c r="A59" t="s">
        <v>14</v>
      </c>
      <c r="B59" t="s">
        <v>2648</v>
      </c>
      <c r="C59" t="s">
        <v>4398</v>
      </c>
      <c r="D59" t="s">
        <v>4399</v>
      </c>
      <c r="E59">
        <v>47300046399</v>
      </c>
      <c r="F59" t="s">
        <v>16</v>
      </c>
      <c r="G59" t="s">
        <v>28</v>
      </c>
      <c r="H59" t="s">
        <v>122</v>
      </c>
      <c r="K59" t="s">
        <v>3496</v>
      </c>
      <c r="L59" t="s">
        <v>47</v>
      </c>
      <c r="N59" s="2">
        <v>45311</v>
      </c>
      <c r="O59" s="2">
        <v>45322</v>
      </c>
      <c r="P59">
        <v>2662.52</v>
      </c>
      <c r="Q59">
        <v>2662.52</v>
      </c>
      <c r="R59" t="s">
        <v>3495</v>
      </c>
    </row>
    <row r="60" spans="1:20" x14ac:dyDescent="0.25">
      <c r="A60" t="s">
        <v>14</v>
      </c>
      <c r="B60" t="s">
        <v>2647</v>
      </c>
      <c r="C60" t="s">
        <v>4400</v>
      </c>
      <c r="D60" t="s">
        <v>4401</v>
      </c>
      <c r="E60">
        <v>47300070688</v>
      </c>
      <c r="F60" t="s">
        <v>16</v>
      </c>
      <c r="G60" t="s">
        <v>17</v>
      </c>
      <c r="H60" t="s">
        <v>149</v>
      </c>
      <c r="K60" t="s">
        <v>2892</v>
      </c>
      <c r="L60" t="s">
        <v>19</v>
      </c>
      <c r="M60" t="s">
        <v>46</v>
      </c>
      <c r="N60" s="2">
        <v>45292</v>
      </c>
      <c r="O60" s="2">
        <v>45322</v>
      </c>
      <c r="P60">
        <v>10000</v>
      </c>
      <c r="Q60">
        <v>10000</v>
      </c>
      <c r="R60" t="s">
        <v>2901</v>
      </c>
    </row>
    <row r="61" spans="1:20" x14ac:dyDescent="0.25">
      <c r="A61" t="s">
        <v>14</v>
      </c>
      <c r="B61" t="s">
        <v>2645</v>
      </c>
      <c r="C61" t="s">
        <v>4371</v>
      </c>
      <c r="D61" t="s">
        <v>4368</v>
      </c>
      <c r="E61">
        <v>47300070688</v>
      </c>
      <c r="F61" t="s">
        <v>16</v>
      </c>
      <c r="G61" t="s">
        <v>17</v>
      </c>
      <c r="H61" t="s">
        <v>149</v>
      </c>
      <c r="K61" t="s">
        <v>3557</v>
      </c>
      <c r="L61" t="s">
        <v>19</v>
      </c>
      <c r="M61" t="s">
        <v>20</v>
      </c>
      <c r="P61">
        <v>80000</v>
      </c>
      <c r="Q61">
        <v>80000</v>
      </c>
      <c r="R61" t="s">
        <v>3559</v>
      </c>
      <c r="S61" t="s">
        <v>2646</v>
      </c>
      <c r="T61">
        <v>421.1</v>
      </c>
    </row>
    <row r="62" spans="1:20" x14ac:dyDescent="0.25">
      <c r="A62" t="s">
        <v>14</v>
      </c>
      <c r="B62" t="s">
        <v>2644</v>
      </c>
      <c r="C62" t="s">
        <v>4369</v>
      </c>
      <c r="D62" t="s">
        <v>4370</v>
      </c>
      <c r="E62">
        <v>47300086445</v>
      </c>
      <c r="F62" t="s">
        <v>16</v>
      </c>
      <c r="G62" t="s">
        <v>28</v>
      </c>
      <c r="H62" t="s">
        <v>187</v>
      </c>
      <c r="I62" t="s">
        <v>2777</v>
      </c>
      <c r="J62" t="s">
        <v>2776</v>
      </c>
      <c r="K62" t="s">
        <v>2892</v>
      </c>
      <c r="L62" t="s">
        <v>19</v>
      </c>
      <c r="M62" t="s">
        <v>46</v>
      </c>
      <c r="N62" s="2">
        <v>45292</v>
      </c>
      <c r="O62" s="2">
        <v>45322</v>
      </c>
      <c r="P62">
        <v>10000</v>
      </c>
      <c r="Q62">
        <v>10000</v>
      </c>
      <c r="R62" t="s">
        <v>2902</v>
      </c>
    </row>
    <row r="63" spans="1:20" x14ac:dyDescent="0.25">
      <c r="A63" t="s">
        <v>14</v>
      </c>
      <c r="B63" t="s">
        <v>2642</v>
      </c>
      <c r="C63" t="s">
        <v>4392</v>
      </c>
      <c r="D63" t="s">
        <v>4393</v>
      </c>
      <c r="E63">
        <v>47300086445</v>
      </c>
      <c r="F63" t="s">
        <v>16</v>
      </c>
      <c r="G63" t="s">
        <v>28</v>
      </c>
      <c r="H63" t="s">
        <v>187</v>
      </c>
      <c r="I63" t="s">
        <v>2777</v>
      </c>
      <c r="J63" t="s">
        <v>2776</v>
      </c>
      <c r="K63" t="s">
        <v>3557</v>
      </c>
      <c r="L63" t="s">
        <v>19</v>
      </c>
      <c r="M63" t="s">
        <v>20</v>
      </c>
      <c r="P63">
        <v>27000</v>
      </c>
      <c r="Q63">
        <v>27000</v>
      </c>
      <c r="R63" t="s">
        <v>3560</v>
      </c>
      <c r="S63" t="s">
        <v>2643</v>
      </c>
      <c r="T63">
        <v>142.1</v>
      </c>
    </row>
    <row r="64" spans="1:20" x14ac:dyDescent="0.25">
      <c r="A64" t="s">
        <v>14</v>
      </c>
      <c r="B64" t="s">
        <v>2640</v>
      </c>
      <c r="C64" t="s">
        <v>4378</v>
      </c>
      <c r="D64" t="s">
        <v>4379</v>
      </c>
      <c r="E64">
        <v>47300025708</v>
      </c>
      <c r="F64" t="s">
        <v>35</v>
      </c>
      <c r="G64" t="s">
        <v>36</v>
      </c>
      <c r="H64" t="s">
        <v>4360</v>
      </c>
      <c r="K64" t="s">
        <v>3557</v>
      </c>
      <c r="L64" t="s">
        <v>19</v>
      </c>
      <c r="M64" t="s">
        <v>20</v>
      </c>
      <c r="P64">
        <v>50000</v>
      </c>
      <c r="Q64">
        <v>50000</v>
      </c>
      <c r="R64" t="s">
        <v>3561</v>
      </c>
      <c r="S64" t="s">
        <v>2641</v>
      </c>
      <c r="T64">
        <v>263.10000000000002</v>
      </c>
    </row>
    <row r="65" spans="1:24" x14ac:dyDescent="0.25">
      <c r="A65" t="s">
        <v>14</v>
      </c>
      <c r="B65" t="s">
        <v>2638</v>
      </c>
      <c r="C65" t="s">
        <v>4398</v>
      </c>
      <c r="D65" t="s">
        <v>4399</v>
      </c>
      <c r="E65">
        <v>47300070522</v>
      </c>
      <c r="F65" t="s">
        <v>16</v>
      </c>
      <c r="G65" t="s">
        <v>17</v>
      </c>
      <c r="H65" t="s">
        <v>18</v>
      </c>
      <c r="K65" t="s">
        <v>4229</v>
      </c>
      <c r="L65" t="s">
        <v>19</v>
      </c>
      <c r="M65" t="s">
        <v>63</v>
      </c>
      <c r="N65" s="2">
        <v>45292</v>
      </c>
      <c r="O65" s="2">
        <v>45322</v>
      </c>
      <c r="P65">
        <v>50000</v>
      </c>
      <c r="Q65">
        <v>50000</v>
      </c>
      <c r="R65" t="s">
        <v>2903</v>
      </c>
      <c r="S65" t="s">
        <v>2639</v>
      </c>
      <c r="T65">
        <v>263.10000000000002</v>
      </c>
    </row>
    <row r="66" spans="1:24" x14ac:dyDescent="0.25">
      <c r="A66" t="s">
        <v>14</v>
      </c>
      <c r="B66" t="s">
        <v>2638</v>
      </c>
      <c r="C66" t="s">
        <v>4398</v>
      </c>
      <c r="D66" t="s">
        <v>4399</v>
      </c>
      <c r="E66">
        <v>47300070522</v>
      </c>
      <c r="F66" t="s">
        <v>16</v>
      </c>
      <c r="G66" t="s">
        <v>17</v>
      </c>
      <c r="H66" t="s">
        <v>18</v>
      </c>
      <c r="K66" t="s">
        <v>3294</v>
      </c>
      <c r="L66" t="s">
        <v>19</v>
      </c>
      <c r="M66" t="s">
        <v>46</v>
      </c>
      <c r="N66" s="2">
        <v>45292</v>
      </c>
      <c r="O66" s="2">
        <v>45322</v>
      </c>
      <c r="P66">
        <v>500</v>
      </c>
      <c r="Q66">
        <v>500</v>
      </c>
      <c r="R66" t="s">
        <v>2903</v>
      </c>
    </row>
    <row r="67" spans="1:24" x14ac:dyDescent="0.25">
      <c r="A67" t="s">
        <v>14</v>
      </c>
      <c r="B67" t="s">
        <v>2638</v>
      </c>
      <c r="C67" t="s">
        <v>4400</v>
      </c>
      <c r="D67" t="s">
        <v>4401</v>
      </c>
      <c r="E67">
        <v>47300070522</v>
      </c>
      <c r="F67" t="s">
        <v>16</v>
      </c>
      <c r="G67" t="s">
        <v>17</v>
      </c>
      <c r="H67" t="s">
        <v>18</v>
      </c>
      <c r="K67" t="s">
        <v>2892</v>
      </c>
      <c r="L67" t="s">
        <v>19</v>
      </c>
      <c r="M67" t="s">
        <v>46</v>
      </c>
      <c r="N67" s="2">
        <v>45292</v>
      </c>
      <c r="O67" s="2">
        <v>45322</v>
      </c>
      <c r="P67">
        <v>10000</v>
      </c>
      <c r="Q67">
        <v>10000</v>
      </c>
      <c r="R67" t="s">
        <v>2903</v>
      </c>
    </row>
    <row r="68" spans="1:24" x14ac:dyDescent="0.25">
      <c r="A68" t="s">
        <v>14</v>
      </c>
      <c r="B68" t="s">
        <v>2636</v>
      </c>
      <c r="C68" t="s">
        <v>4369</v>
      </c>
      <c r="D68" t="s">
        <v>4370</v>
      </c>
      <c r="E68">
        <v>47300046779</v>
      </c>
      <c r="F68" t="s">
        <v>42</v>
      </c>
      <c r="G68" t="s">
        <v>28</v>
      </c>
      <c r="H68" t="s">
        <v>199</v>
      </c>
      <c r="K68" t="s">
        <v>4229</v>
      </c>
      <c r="L68" t="s">
        <v>19</v>
      </c>
      <c r="M68" t="s">
        <v>63</v>
      </c>
      <c r="N68" s="2">
        <v>45292</v>
      </c>
      <c r="O68" s="2">
        <v>45322</v>
      </c>
      <c r="P68">
        <v>100000</v>
      </c>
      <c r="Q68">
        <v>100000</v>
      </c>
      <c r="R68" t="s">
        <v>2904</v>
      </c>
      <c r="S68" t="s">
        <v>2637</v>
      </c>
      <c r="T68">
        <v>526.29999999999995</v>
      </c>
    </row>
    <row r="69" spans="1:24" x14ac:dyDescent="0.25">
      <c r="A69" t="s">
        <v>14</v>
      </c>
      <c r="B69" t="s">
        <v>2636</v>
      </c>
      <c r="C69" t="s">
        <v>4392</v>
      </c>
      <c r="D69" t="s">
        <v>4393</v>
      </c>
      <c r="E69">
        <v>47300046779</v>
      </c>
      <c r="F69" t="s">
        <v>42</v>
      </c>
      <c r="G69" t="s">
        <v>28</v>
      </c>
      <c r="H69" t="s">
        <v>199</v>
      </c>
      <c r="K69" t="s">
        <v>3294</v>
      </c>
      <c r="L69" t="s">
        <v>19</v>
      </c>
      <c r="M69" t="s">
        <v>46</v>
      </c>
      <c r="N69" s="2">
        <v>45292</v>
      </c>
      <c r="O69" s="2">
        <v>45322</v>
      </c>
      <c r="P69">
        <v>500</v>
      </c>
      <c r="Q69">
        <v>500</v>
      </c>
      <c r="R69" t="s">
        <v>2904</v>
      </c>
    </row>
    <row r="70" spans="1:24" x14ac:dyDescent="0.25">
      <c r="A70" t="s">
        <v>14</v>
      </c>
      <c r="B70" t="s">
        <v>2636</v>
      </c>
      <c r="C70" t="s">
        <v>4372</v>
      </c>
      <c r="D70" t="s">
        <v>4373</v>
      </c>
      <c r="E70">
        <v>47300046779</v>
      </c>
      <c r="F70" t="s">
        <v>42</v>
      </c>
      <c r="G70" t="s">
        <v>28</v>
      </c>
      <c r="H70" t="s">
        <v>199</v>
      </c>
      <c r="K70" t="s">
        <v>3197</v>
      </c>
      <c r="L70" t="s">
        <v>19</v>
      </c>
      <c r="M70" t="s">
        <v>46</v>
      </c>
      <c r="N70" s="2">
        <v>45292</v>
      </c>
      <c r="O70" s="2">
        <v>45322</v>
      </c>
      <c r="P70">
        <v>145500</v>
      </c>
      <c r="Q70">
        <v>145500</v>
      </c>
      <c r="R70" t="s">
        <v>2904</v>
      </c>
    </row>
    <row r="71" spans="1:24" x14ac:dyDescent="0.25">
      <c r="A71" t="s">
        <v>14</v>
      </c>
      <c r="B71" t="s">
        <v>2636</v>
      </c>
      <c r="C71" t="s">
        <v>4402</v>
      </c>
      <c r="D71" t="s">
        <v>4403</v>
      </c>
      <c r="E71">
        <v>47300046779</v>
      </c>
      <c r="F71" t="s">
        <v>42</v>
      </c>
      <c r="G71" t="s">
        <v>28</v>
      </c>
      <c r="H71" t="s">
        <v>199</v>
      </c>
      <c r="K71" t="s">
        <v>2892</v>
      </c>
      <c r="L71" t="s">
        <v>19</v>
      </c>
      <c r="M71" t="s">
        <v>46</v>
      </c>
      <c r="N71" s="2">
        <v>45292</v>
      </c>
      <c r="O71" s="2">
        <v>45322</v>
      </c>
      <c r="P71">
        <v>10000</v>
      </c>
      <c r="Q71">
        <v>10000</v>
      </c>
      <c r="R71" t="s">
        <v>2904</v>
      </c>
    </row>
    <row r="72" spans="1:24" x14ac:dyDescent="0.25">
      <c r="A72" t="s">
        <v>14</v>
      </c>
      <c r="B72" t="s">
        <v>2634</v>
      </c>
      <c r="C72" t="s">
        <v>4404</v>
      </c>
      <c r="D72" t="s">
        <v>2893</v>
      </c>
      <c r="E72">
        <v>47300070605</v>
      </c>
      <c r="F72" t="s">
        <v>16</v>
      </c>
      <c r="G72" t="s">
        <v>28</v>
      </c>
      <c r="H72" t="s">
        <v>178</v>
      </c>
      <c r="K72" t="s">
        <v>4229</v>
      </c>
      <c r="L72" t="s">
        <v>19</v>
      </c>
      <c r="M72" t="s">
        <v>63</v>
      </c>
      <c r="N72" s="2">
        <v>45292</v>
      </c>
      <c r="O72" s="2">
        <v>45322</v>
      </c>
      <c r="P72">
        <v>20000</v>
      </c>
      <c r="Q72">
        <v>20000</v>
      </c>
      <c r="R72" t="s">
        <v>2905</v>
      </c>
      <c r="S72" t="s">
        <v>2635</v>
      </c>
      <c r="T72">
        <v>105.2</v>
      </c>
      <c r="X72" t="s">
        <v>3275</v>
      </c>
    </row>
    <row r="73" spans="1:24" x14ac:dyDescent="0.25">
      <c r="A73" t="s">
        <v>14</v>
      </c>
      <c r="B73" t="s">
        <v>2634</v>
      </c>
      <c r="C73" t="s">
        <v>4365</v>
      </c>
      <c r="D73" t="s">
        <v>4403</v>
      </c>
      <c r="E73">
        <v>47300070605</v>
      </c>
      <c r="F73" t="s">
        <v>16</v>
      </c>
      <c r="G73" t="s">
        <v>28</v>
      </c>
      <c r="H73" t="s">
        <v>178</v>
      </c>
      <c r="K73" t="s">
        <v>3294</v>
      </c>
      <c r="L73" t="s">
        <v>19</v>
      </c>
      <c r="M73" t="s">
        <v>46</v>
      </c>
      <c r="N73" s="2">
        <v>45292</v>
      </c>
      <c r="O73" s="2">
        <v>45322</v>
      </c>
      <c r="P73">
        <v>500</v>
      </c>
      <c r="Q73">
        <v>500</v>
      </c>
      <c r="R73" t="s">
        <v>2905</v>
      </c>
    </row>
    <row r="74" spans="1:24" x14ac:dyDescent="0.25">
      <c r="A74" t="s">
        <v>14</v>
      </c>
      <c r="B74" t="s">
        <v>2634</v>
      </c>
      <c r="C74" t="s">
        <v>4405</v>
      </c>
      <c r="D74" t="s">
        <v>4390</v>
      </c>
      <c r="E74">
        <v>47300070605</v>
      </c>
      <c r="F74" t="s">
        <v>16</v>
      </c>
      <c r="G74" t="s">
        <v>28</v>
      </c>
      <c r="H74" t="s">
        <v>178</v>
      </c>
      <c r="K74" t="s">
        <v>3197</v>
      </c>
      <c r="L74" t="s">
        <v>19</v>
      </c>
      <c r="M74" t="s">
        <v>46</v>
      </c>
      <c r="N74" s="2">
        <v>45292</v>
      </c>
      <c r="O74" s="2">
        <v>45322</v>
      </c>
      <c r="P74">
        <v>145500</v>
      </c>
      <c r="Q74">
        <v>145500</v>
      </c>
      <c r="R74" t="s">
        <v>2905</v>
      </c>
    </row>
    <row r="75" spans="1:24" x14ac:dyDescent="0.25">
      <c r="A75" t="s">
        <v>14</v>
      </c>
      <c r="B75" t="s">
        <v>2634</v>
      </c>
      <c r="C75" t="s">
        <v>4404</v>
      </c>
      <c r="D75" t="s">
        <v>2893</v>
      </c>
      <c r="E75">
        <v>47300070605</v>
      </c>
      <c r="F75" t="s">
        <v>16</v>
      </c>
      <c r="G75" t="s">
        <v>28</v>
      </c>
      <c r="H75" t="s">
        <v>178</v>
      </c>
      <c r="K75" t="s">
        <v>2892</v>
      </c>
      <c r="L75" t="s">
        <v>19</v>
      </c>
      <c r="M75" t="s">
        <v>46</v>
      </c>
      <c r="N75" s="2">
        <v>45292</v>
      </c>
      <c r="O75" s="2">
        <v>45322</v>
      </c>
      <c r="P75">
        <v>10000</v>
      </c>
      <c r="Q75">
        <v>10000</v>
      </c>
      <c r="R75" t="s">
        <v>2905</v>
      </c>
      <c r="X75" t="s">
        <v>3275</v>
      </c>
    </row>
    <row r="76" spans="1:24" x14ac:dyDescent="0.25">
      <c r="A76" t="s">
        <v>14</v>
      </c>
      <c r="B76" t="s">
        <v>2632</v>
      </c>
      <c r="C76" t="s">
        <v>4365</v>
      </c>
      <c r="D76" t="s">
        <v>4403</v>
      </c>
      <c r="E76">
        <v>47300070654</v>
      </c>
      <c r="F76" t="s">
        <v>16</v>
      </c>
      <c r="G76" t="s">
        <v>28</v>
      </c>
      <c r="H76" t="s">
        <v>217</v>
      </c>
      <c r="K76" t="s">
        <v>4229</v>
      </c>
      <c r="L76" t="s">
        <v>19</v>
      </c>
      <c r="M76" t="s">
        <v>63</v>
      </c>
      <c r="N76" s="2">
        <v>45292</v>
      </c>
      <c r="O76" s="2">
        <v>45322</v>
      </c>
      <c r="P76">
        <v>20000</v>
      </c>
      <c r="Q76">
        <v>20000</v>
      </c>
      <c r="R76" t="s">
        <v>3313</v>
      </c>
      <c r="S76" t="s">
        <v>2633</v>
      </c>
      <c r="T76">
        <v>105.2</v>
      </c>
    </row>
    <row r="77" spans="1:24" x14ac:dyDescent="0.25">
      <c r="A77" t="s">
        <v>14</v>
      </c>
      <c r="B77" t="s">
        <v>2632</v>
      </c>
      <c r="C77" t="s">
        <v>4405</v>
      </c>
      <c r="D77" t="s">
        <v>4390</v>
      </c>
      <c r="E77">
        <v>47300070654</v>
      </c>
      <c r="F77" t="s">
        <v>16</v>
      </c>
      <c r="G77" t="s">
        <v>28</v>
      </c>
      <c r="H77" t="s">
        <v>217</v>
      </c>
      <c r="K77" t="s">
        <v>3294</v>
      </c>
      <c r="L77" t="s">
        <v>19</v>
      </c>
      <c r="M77" t="s">
        <v>46</v>
      </c>
      <c r="N77" s="2">
        <v>45292</v>
      </c>
      <c r="O77" s="2">
        <v>45322</v>
      </c>
      <c r="P77">
        <v>500</v>
      </c>
      <c r="Q77">
        <v>500</v>
      </c>
      <c r="R77" t="s">
        <v>3313</v>
      </c>
    </row>
    <row r="78" spans="1:24" x14ac:dyDescent="0.25">
      <c r="A78" t="s">
        <v>14</v>
      </c>
      <c r="B78" t="s">
        <v>2630</v>
      </c>
      <c r="C78" t="s">
        <v>3300</v>
      </c>
      <c r="D78" t="s">
        <v>3299</v>
      </c>
      <c r="E78">
        <v>47300088367</v>
      </c>
      <c r="F78" t="s">
        <v>35</v>
      </c>
      <c r="G78" t="s">
        <v>36</v>
      </c>
      <c r="H78" t="s">
        <v>654</v>
      </c>
      <c r="K78" t="s">
        <v>4229</v>
      </c>
      <c r="L78" t="s">
        <v>19</v>
      </c>
      <c r="M78" t="s">
        <v>63</v>
      </c>
      <c r="N78" s="2">
        <v>45292</v>
      </c>
      <c r="O78" s="2">
        <v>45322</v>
      </c>
      <c r="P78">
        <v>13000</v>
      </c>
      <c r="Q78">
        <v>13000</v>
      </c>
      <c r="R78" t="s">
        <v>3314</v>
      </c>
      <c r="S78" t="s">
        <v>2631</v>
      </c>
      <c r="T78">
        <v>68.5</v>
      </c>
    </row>
    <row r="79" spans="1:24" x14ac:dyDescent="0.25">
      <c r="A79" t="s">
        <v>14</v>
      </c>
      <c r="B79" t="s">
        <v>2630</v>
      </c>
      <c r="C79" t="s">
        <v>4405</v>
      </c>
      <c r="D79" t="s">
        <v>4390</v>
      </c>
      <c r="E79">
        <v>47300088367</v>
      </c>
      <c r="F79" t="s">
        <v>35</v>
      </c>
      <c r="G79" t="s">
        <v>36</v>
      </c>
      <c r="H79" t="s">
        <v>654</v>
      </c>
      <c r="K79" t="s">
        <v>3294</v>
      </c>
      <c r="L79" t="s">
        <v>19</v>
      </c>
      <c r="M79" t="s">
        <v>46</v>
      </c>
      <c r="N79" s="2">
        <v>45292</v>
      </c>
      <c r="O79" s="2">
        <v>45322</v>
      </c>
      <c r="P79">
        <v>500</v>
      </c>
      <c r="Q79">
        <v>500</v>
      </c>
      <c r="R79" t="s">
        <v>3314</v>
      </c>
    </row>
    <row r="80" spans="1:24" x14ac:dyDescent="0.25">
      <c r="A80" t="s">
        <v>14</v>
      </c>
      <c r="B80" t="s">
        <v>2628</v>
      </c>
      <c r="C80" t="s">
        <v>4405</v>
      </c>
      <c r="D80" t="s">
        <v>4390</v>
      </c>
      <c r="E80">
        <v>47300070555</v>
      </c>
      <c r="F80" t="s">
        <v>35</v>
      </c>
      <c r="G80" t="s">
        <v>35</v>
      </c>
      <c r="H80" t="s">
        <v>116</v>
      </c>
      <c r="K80" t="s">
        <v>3557</v>
      </c>
      <c r="L80" t="s">
        <v>19</v>
      </c>
      <c r="M80" t="s">
        <v>20</v>
      </c>
      <c r="P80">
        <v>20000</v>
      </c>
      <c r="Q80">
        <v>20000</v>
      </c>
      <c r="R80" t="s">
        <v>3562</v>
      </c>
      <c r="S80" t="s">
        <v>2629</v>
      </c>
      <c r="T80">
        <v>105.3</v>
      </c>
    </row>
    <row r="81" spans="1:20" x14ac:dyDescent="0.25">
      <c r="A81" t="s">
        <v>14</v>
      </c>
      <c r="B81" t="s">
        <v>2626</v>
      </c>
      <c r="C81" t="s">
        <v>4406</v>
      </c>
      <c r="D81" t="s">
        <v>4394</v>
      </c>
      <c r="E81">
        <v>47300046688</v>
      </c>
      <c r="F81" t="s">
        <v>16</v>
      </c>
      <c r="G81" t="s">
        <v>17</v>
      </c>
      <c r="H81" t="s">
        <v>154</v>
      </c>
      <c r="K81" t="s">
        <v>4229</v>
      </c>
      <c r="L81" t="s">
        <v>19</v>
      </c>
      <c r="M81" t="s">
        <v>63</v>
      </c>
      <c r="N81" s="2">
        <v>45292</v>
      </c>
      <c r="O81" s="2">
        <v>45322</v>
      </c>
      <c r="P81">
        <v>20000</v>
      </c>
      <c r="Q81">
        <v>20000</v>
      </c>
      <c r="R81" t="s">
        <v>3315</v>
      </c>
      <c r="S81" t="s">
        <v>2627</v>
      </c>
      <c r="T81">
        <v>105.2</v>
      </c>
    </row>
    <row r="82" spans="1:20" x14ac:dyDescent="0.25">
      <c r="A82" t="s">
        <v>14</v>
      </c>
      <c r="B82" t="s">
        <v>2626</v>
      </c>
      <c r="C82" t="s">
        <v>4406</v>
      </c>
      <c r="D82" t="s">
        <v>4394</v>
      </c>
      <c r="E82">
        <v>47300046688</v>
      </c>
      <c r="F82" t="s">
        <v>16</v>
      </c>
      <c r="G82" t="s">
        <v>17</v>
      </c>
      <c r="H82" t="s">
        <v>154</v>
      </c>
      <c r="K82" t="s">
        <v>3294</v>
      </c>
      <c r="L82" t="s">
        <v>19</v>
      </c>
      <c r="M82" t="s">
        <v>46</v>
      </c>
      <c r="N82" s="2">
        <v>45292</v>
      </c>
      <c r="O82" s="2">
        <v>45322</v>
      </c>
      <c r="P82">
        <v>500</v>
      </c>
      <c r="Q82">
        <v>500</v>
      </c>
      <c r="R82" t="s">
        <v>3315</v>
      </c>
    </row>
    <row r="83" spans="1:20" x14ac:dyDescent="0.25">
      <c r="A83" t="s">
        <v>14</v>
      </c>
      <c r="B83" t="s">
        <v>2625</v>
      </c>
      <c r="C83" t="s">
        <v>4376</v>
      </c>
      <c r="D83" t="s">
        <v>4377</v>
      </c>
      <c r="E83">
        <v>47300046720</v>
      </c>
      <c r="F83" t="s">
        <v>16</v>
      </c>
      <c r="G83" t="s">
        <v>28</v>
      </c>
      <c r="H83" t="s">
        <v>143</v>
      </c>
      <c r="K83" t="s">
        <v>2892</v>
      </c>
      <c r="L83" t="s">
        <v>19</v>
      </c>
      <c r="M83" t="s">
        <v>46</v>
      </c>
      <c r="N83" s="2">
        <v>45292</v>
      </c>
      <c r="O83" s="2">
        <v>45322</v>
      </c>
      <c r="P83">
        <v>10000</v>
      </c>
      <c r="Q83">
        <v>10000</v>
      </c>
      <c r="R83" t="s">
        <v>2906</v>
      </c>
    </row>
    <row r="84" spans="1:20" x14ac:dyDescent="0.25">
      <c r="A84" t="s">
        <v>14</v>
      </c>
      <c r="B84" t="s">
        <v>2623</v>
      </c>
      <c r="C84" t="s">
        <v>4402</v>
      </c>
      <c r="D84" t="s">
        <v>4379</v>
      </c>
      <c r="E84">
        <v>47300070597</v>
      </c>
      <c r="F84" t="s">
        <v>16</v>
      </c>
      <c r="G84" t="s">
        <v>28</v>
      </c>
      <c r="H84" t="s">
        <v>77</v>
      </c>
      <c r="K84" t="s">
        <v>4229</v>
      </c>
      <c r="L84" t="s">
        <v>19</v>
      </c>
      <c r="M84" t="s">
        <v>63</v>
      </c>
      <c r="N84" s="2">
        <v>45292</v>
      </c>
      <c r="O84" s="2">
        <v>45322</v>
      </c>
      <c r="P84">
        <v>40000</v>
      </c>
      <c r="Q84">
        <v>40000</v>
      </c>
      <c r="R84" t="s">
        <v>2907</v>
      </c>
      <c r="S84" t="s">
        <v>2624</v>
      </c>
      <c r="T84">
        <v>210.5</v>
      </c>
    </row>
    <row r="85" spans="1:20" x14ac:dyDescent="0.25">
      <c r="A85" t="s">
        <v>14</v>
      </c>
      <c r="B85" t="s">
        <v>2623</v>
      </c>
      <c r="C85" t="s">
        <v>4402</v>
      </c>
      <c r="D85" t="s">
        <v>4379</v>
      </c>
      <c r="E85">
        <v>47300070597</v>
      </c>
      <c r="F85" t="s">
        <v>16</v>
      </c>
      <c r="G85" t="s">
        <v>28</v>
      </c>
      <c r="H85" t="s">
        <v>77</v>
      </c>
      <c r="K85" t="s">
        <v>3294</v>
      </c>
      <c r="L85" t="s">
        <v>19</v>
      </c>
      <c r="M85" t="s">
        <v>46</v>
      </c>
      <c r="N85" s="2">
        <v>45292</v>
      </c>
      <c r="O85" s="2">
        <v>45322</v>
      </c>
      <c r="P85">
        <v>500</v>
      </c>
      <c r="Q85">
        <v>500</v>
      </c>
      <c r="R85" t="s">
        <v>2907</v>
      </c>
    </row>
    <row r="86" spans="1:20" x14ac:dyDescent="0.25">
      <c r="A86" t="s">
        <v>14</v>
      </c>
      <c r="B86" t="s">
        <v>2623</v>
      </c>
      <c r="C86" t="s">
        <v>4402</v>
      </c>
      <c r="D86" t="s">
        <v>4379</v>
      </c>
      <c r="E86">
        <v>47300070597</v>
      </c>
      <c r="F86" t="s">
        <v>16</v>
      </c>
      <c r="G86" t="s">
        <v>28</v>
      </c>
      <c r="H86" t="s">
        <v>77</v>
      </c>
      <c r="K86" t="s">
        <v>3197</v>
      </c>
      <c r="L86" t="s">
        <v>19</v>
      </c>
      <c r="M86" t="s">
        <v>46</v>
      </c>
      <c r="N86" s="2">
        <v>45292</v>
      </c>
      <c r="O86" s="2">
        <v>45322</v>
      </c>
      <c r="P86">
        <v>145500</v>
      </c>
      <c r="Q86">
        <v>145500</v>
      </c>
      <c r="R86" t="s">
        <v>2907</v>
      </c>
    </row>
    <row r="87" spans="1:20" x14ac:dyDescent="0.25">
      <c r="A87" t="s">
        <v>14</v>
      </c>
      <c r="B87" t="s">
        <v>2623</v>
      </c>
      <c r="C87" t="s">
        <v>4402</v>
      </c>
      <c r="D87" t="s">
        <v>4379</v>
      </c>
      <c r="E87">
        <v>47300070597</v>
      </c>
      <c r="F87" t="s">
        <v>16</v>
      </c>
      <c r="G87" t="s">
        <v>28</v>
      </c>
      <c r="H87" t="s">
        <v>77</v>
      </c>
      <c r="K87" t="s">
        <v>2892</v>
      </c>
      <c r="L87" t="s">
        <v>19</v>
      </c>
      <c r="M87" t="s">
        <v>46</v>
      </c>
      <c r="N87" s="2">
        <v>45292</v>
      </c>
      <c r="O87" s="2">
        <v>45322</v>
      </c>
      <c r="P87">
        <v>10000</v>
      </c>
      <c r="Q87">
        <v>10000</v>
      </c>
      <c r="R87" t="s">
        <v>2907</v>
      </c>
    </row>
    <row r="88" spans="1:20" x14ac:dyDescent="0.25">
      <c r="A88" t="s">
        <v>14</v>
      </c>
      <c r="B88" t="s">
        <v>2621</v>
      </c>
      <c r="C88" t="s">
        <v>4376</v>
      </c>
      <c r="D88" t="s">
        <v>4407</v>
      </c>
      <c r="E88">
        <v>47300070589</v>
      </c>
      <c r="F88" t="s">
        <v>16</v>
      </c>
      <c r="G88" t="s">
        <v>28</v>
      </c>
      <c r="H88" t="s">
        <v>221</v>
      </c>
      <c r="K88" t="s">
        <v>4349</v>
      </c>
      <c r="L88" t="s">
        <v>47</v>
      </c>
      <c r="N88" s="2">
        <v>45292</v>
      </c>
      <c r="O88" s="2">
        <v>45322</v>
      </c>
      <c r="P88">
        <v>113000</v>
      </c>
      <c r="Q88">
        <v>113000</v>
      </c>
      <c r="R88" t="s">
        <v>2908</v>
      </c>
    </row>
    <row r="89" spans="1:20" x14ac:dyDescent="0.25">
      <c r="A89" t="s">
        <v>14</v>
      </c>
      <c r="B89" t="s">
        <v>2621</v>
      </c>
      <c r="C89" t="s">
        <v>4376</v>
      </c>
      <c r="D89" t="s">
        <v>4407</v>
      </c>
      <c r="E89">
        <v>47300070589</v>
      </c>
      <c r="F89" t="s">
        <v>16</v>
      </c>
      <c r="G89" t="s">
        <v>28</v>
      </c>
      <c r="H89" t="s">
        <v>221</v>
      </c>
      <c r="K89" t="s">
        <v>4229</v>
      </c>
      <c r="L89" t="s">
        <v>19</v>
      </c>
      <c r="M89" t="s">
        <v>63</v>
      </c>
      <c r="N89" s="2">
        <v>45292</v>
      </c>
      <c r="O89" s="2">
        <v>45322</v>
      </c>
      <c r="P89">
        <v>60000</v>
      </c>
      <c r="Q89">
        <v>60000</v>
      </c>
      <c r="R89" t="s">
        <v>2908</v>
      </c>
      <c r="S89" t="s">
        <v>2622</v>
      </c>
      <c r="T89">
        <v>315.7</v>
      </c>
    </row>
    <row r="90" spans="1:20" x14ac:dyDescent="0.25">
      <c r="A90" t="s">
        <v>14</v>
      </c>
      <c r="B90" t="s">
        <v>2621</v>
      </c>
      <c r="C90" t="s">
        <v>4376</v>
      </c>
      <c r="D90" t="s">
        <v>4407</v>
      </c>
      <c r="E90">
        <v>47300070589</v>
      </c>
      <c r="F90" t="s">
        <v>16</v>
      </c>
      <c r="G90" t="s">
        <v>28</v>
      </c>
      <c r="H90" t="s">
        <v>221</v>
      </c>
      <c r="K90" t="s">
        <v>3498</v>
      </c>
      <c r="L90" t="s">
        <v>47</v>
      </c>
      <c r="N90" s="2">
        <v>45311</v>
      </c>
      <c r="O90" s="2">
        <v>45322</v>
      </c>
      <c r="P90">
        <v>7013.73</v>
      </c>
      <c r="Q90">
        <v>7013.73</v>
      </c>
      <c r="R90" t="s">
        <v>2908</v>
      </c>
    </row>
    <row r="91" spans="1:20" x14ac:dyDescent="0.25">
      <c r="A91" t="s">
        <v>14</v>
      </c>
      <c r="B91" t="s">
        <v>2621</v>
      </c>
      <c r="C91" t="s">
        <v>4376</v>
      </c>
      <c r="D91" t="s">
        <v>4407</v>
      </c>
      <c r="E91">
        <v>47300070589</v>
      </c>
      <c r="F91" t="s">
        <v>16</v>
      </c>
      <c r="G91" t="s">
        <v>28</v>
      </c>
      <c r="H91" t="s">
        <v>221</v>
      </c>
      <c r="K91" t="s">
        <v>3294</v>
      </c>
      <c r="L91" t="s">
        <v>19</v>
      </c>
      <c r="M91" t="s">
        <v>46</v>
      </c>
      <c r="N91" s="2">
        <v>45292</v>
      </c>
      <c r="O91" s="2">
        <v>45322</v>
      </c>
      <c r="P91">
        <v>500</v>
      </c>
      <c r="Q91">
        <v>500</v>
      </c>
      <c r="R91" t="s">
        <v>2908</v>
      </c>
    </row>
    <row r="92" spans="1:20" x14ac:dyDescent="0.25">
      <c r="A92" t="s">
        <v>14</v>
      </c>
      <c r="B92" t="s">
        <v>2621</v>
      </c>
      <c r="C92" t="s">
        <v>4376</v>
      </c>
      <c r="D92" t="s">
        <v>4407</v>
      </c>
      <c r="E92">
        <v>47300070589</v>
      </c>
      <c r="F92" t="s">
        <v>16</v>
      </c>
      <c r="G92" t="s">
        <v>28</v>
      </c>
      <c r="H92" t="s">
        <v>221</v>
      </c>
      <c r="K92" t="s">
        <v>3197</v>
      </c>
      <c r="L92" t="s">
        <v>19</v>
      </c>
      <c r="M92" t="s">
        <v>46</v>
      </c>
      <c r="N92" s="2">
        <v>45292</v>
      </c>
      <c r="O92" s="2">
        <v>45322</v>
      </c>
      <c r="P92">
        <v>145500</v>
      </c>
      <c r="Q92">
        <v>145500</v>
      </c>
      <c r="R92" t="s">
        <v>2908</v>
      </c>
    </row>
    <row r="93" spans="1:20" x14ac:dyDescent="0.25">
      <c r="A93" t="s">
        <v>14</v>
      </c>
      <c r="B93" t="s">
        <v>2621</v>
      </c>
      <c r="C93" t="s">
        <v>4376</v>
      </c>
      <c r="D93" t="s">
        <v>4407</v>
      </c>
      <c r="E93">
        <v>47300070589</v>
      </c>
      <c r="F93" t="s">
        <v>16</v>
      </c>
      <c r="G93" t="s">
        <v>28</v>
      </c>
      <c r="H93" t="s">
        <v>221</v>
      </c>
      <c r="K93" t="s">
        <v>2892</v>
      </c>
      <c r="L93" t="s">
        <v>19</v>
      </c>
      <c r="M93" t="s">
        <v>46</v>
      </c>
      <c r="N93" s="2">
        <v>45292</v>
      </c>
      <c r="O93" s="2">
        <v>45322</v>
      </c>
      <c r="P93">
        <v>10000</v>
      </c>
      <c r="Q93">
        <v>10000</v>
      </c>
      <c r="R93" t="s">
        <v>2908</v>
      </c>
    </row>
    <row r="94" spans="1:20" x14ac:dyDescent="0.25">
      <c r="A94" t="s">
        <v>14</v>
      </c>
      <c r="B94" t="s">
        <v>2619</v>
      </c>
      <c r="C94" t="s">
        <v>4394</v>
      </c>
      <c r="D94" t="s">
        <v>4395</v>
      </c>
      <c r="E94">
        <v>47300046241</v>
      </c>
      <c r="F94" t="s">
        <v>16</v>
      </c>
      <c r="G94" t="s">
        <v>23</v>
      </c>
      <c r="H94" t="s">
        <v>24</v>
      </c>
      <c r="I94" t="s">
        <v>2754</v>
      </c>
      <c r="J94">
        <v>0</v>
      </c>
      <c r="K94" t="s">
        <v>4229</v>
      </c>
      <c r="L94" t="s">
        <v>19</v>
      </c>
      <c r="M94" t="s">
        <v>63</v>
      </c>
      <c r="N94" s="2">
        <v>45292</v>
      </c>
      <c r="O94" s="2">
        <v>45322</v>
      </c>
      <c r="P94">
        <v>10000</v>
      </c>
      <c r="Q94">
        <v>10000</v>
      </c>
      <c r="R94" t="s">
        <v>2909</v>
      </c>
      <c r="S94" t="s">
        <v>2620</v>
      </c>
      <c r="T94">
        <v>52.6</v>
      </c>
    </row>
    <row r="95" spans="1:20" x14ac:dyDescent="0.25">
      <c r="A95" t="s">
        <v>14</v>
      </c>
      <c r="B95" t="s">
        <v>2619</v>
      </c>
      <c r="C95" t="s">
        <v>4384</v>
      </c>
      <c r="D95" t="s">
        <v>4391</v>
      </c>
      <c r="E95">
        <v>47300046241</v>
      </c>
      <c r="F95" t="s">
        <v>16</v>
      </c>
      <c r="G95" t="s">
        <v>23</v>
      </c>
      <c r="H95" t="s">
        <v>24</v>
      </c>
      <c r="I95" t="s">
        <v>2754</v>
      </c>
      <c r="J95">
        <v>0</v>
      </c>
      <c r="K95" t="s">
        <v>3294</v>
      </c>
      <c r="L95" t="s">
        <v>19</v>
      </c>
      <c r="M95" t="s">
        <v>46</v>
      </c>
      <c r="N95" s="2">
        <v>45292</v>
      </c>
      <c r="O95" s="2">
        <v>45322</v>
      </c>
      <c r="P95">
        <v>500</v>
      </c>
      <c r="Q95">
        <v>500</v>
      </c>
      <c r="R95" t="s">
        <v>2909</v>
      </c>
    </row>
    <row r="96" spans="1:20" x14ac:dyDescent="0.25">
      <c r="A96" t="s">
        <v>14</v>
      </c>
      <c r="B96" t="s">
        <v>2619</v>
      </c>
      <c r="C96" t="s">
        <v>4394</v>
      </c>
      <c r="D96" t="s">
        <v>4395</v>
      </c>
      <c r="E96">
        <v>47300046241</v>
      </c>
      <c r="F96" t="s">
        <v>16</v>
      </c>
      <c r="G96" t="s">
        <v>23</v>
      </c>
      <c r="H96" t="s">
        <v>24</v>
      </c>
      <c r="I96" t="s">
        <v>2754</v>
      </c>
      <c r="J96">
        <v>0</v>
      </c>
      <c r="K96" t="s">
        <v>3197</v>
      </c>
      <c r="L96" t="s">
        <v>19</v>
      </c>
      <c r="M96" t="s">
        <v>46</v>
      </c>
      <c r="N96" s="2">
        <v>45292</v>
      </c>
      <c r="O96" s="2">
        <v>45322</v>
      </c>
      <c r="P96">
        <v>145500</v>
      </c>
      <c r="Q96">
        <v>145500</v>
      </c>
      <c r="R96" t="s">
        <v>2909</v>
      </c>
    </row>
    <row r="97" spans="1:20" x14ac:dyDescent="0.25">
      <c r="A97" t="s">
        <v>14</v>
      </c>
      <c r="B97" t="s">
        <v>2619</v>
      </c>
      <c r="C97" t="s">
        <v>4394</v>
      </c>
      <c r="D97" t="s">
        <v>4395</v>
      </c>
      <c r="E97">
        <v>47300046241</v>
      </c>
      <c r="F97" t="s">
        <v>16</v>
      </c>
      <c r="G97" t="s">
        <v>23</v>
      </c>
      <c r="H97" t="s">
        <v>24</v>
      </c>
      <c r="I97" t="s">
        <v>2754</v>
      </c>
      <c r="J97">
        <v>0</v>
      </c>
      <c r="K97" t="s">
        <v>2892</v>
      </c>
      <c r="L97" t="s">
        <v>19</v>
      </c>
      <c r="M97" t="s">
        <v>46</v>
      </c>
      <c r="N97" s="2">
        <v>45292</v>
      </c>
      <c r="O97" s="2">
        <v>45322</v>
      </c>
      <c r="P97">
        <v>10000</v>
      </c>
      <c r="Q97">
        <v>10000</v>
      </c>
      <c r="R97" t="s">
        <v>2909</v>
      </c>
    </row>
    <row r="98" spans="1:20" x14ac:dyDescent="0.25">
      <c r="A98" t="s">
        <v>14</v>
      </c>
      <c r="B98" t="s">
        <v>2617</v>
      </c>
      <c r="C98" t="s">
        <v>4394</v>
      </c>
      <c r="D98" t="s">
        <v>4395</v>
      </c>
      <c r="E98">
        <v>47300046977</v>
      </c>
      <c r="F98" t="s">
        <v>16</v>
      </c>
      <c r="G98" t="s">
        <v>17</v>
      </c>
      <c r="H98" t="s">
        <v>175</v>
      </c>
      <c r="K98" t="s">
        <v>4229</v>
      </c>
      <c r="L98" t="s">
        <v>19</v>
      </c>
      <c r="M98" t="s">
        <v>63</v>
      </c>
      <c r="N98" s="2">
        <v>45292</v>
      </c>
      <c r="O98" s="2">
        <v>45322</v>
      </c>
      <c r="P98">
        <v>80000</v>
      </c>
      <c r="Q98">
        <v>80000</v>
      </c>
      <c r="R98" t="s">
        <v>4231</v>
      </c>
      <c r="S98" t="s">
        <v>2618</v>
      </c>
      <c r="T98">
        <v>421</v>
      </c>
    </row>
    <row r="99" spans="1:20" x14ac:dyDescent="0.25">
      <c r="A99" t="s">
        <v>14</v>
      </c>
      <c r="B99" t="s">
        <v>2616</v>
      </c>
      <c r="C99" t="s">
        <v>4408</v>
      </c>
      <c r="D99" t="s">
        <v>4407</v>
      </c>
      <c r="E99">
        <v>47300070753</v>
      </c>
      <c r="F99" t="s">
        <v>16</v>
      </c>
      <c r="G99" t="s">
        <v>17</v>
      </c>
      <c r="H99" t="s">
        <v>82</v>
      </c>
      <c r="K99" t="s">
        <v>3294</v>
      </c>
      <c r="L99" t="s">
        <v>19</v>
      </c>
      <c r="M99" t="s">
        <v>46</v>
      </c>
      <c r="N99" s="2">
        <v>45292</v>
      </c>
      <c r="O99" s="2">
        <v>45322</v>
      </c>
      <c r="P99">
        <v>500</v>
      </c>
      <c r="Q99">
        <v>500</v>
      </c>
      <c r="R99" t="s">
        <v>3316</v>
      </c>
    </row>
    <row r="100" spans="1:20" x14ac:dyDescent="0.25">
      <c r="A100" t="s">
        <v>14</v>
      </c>
      <c r="B100" t="s">
        <v>2614</v>
      </c>
      <c r="C100" t="s">
        <v>4409</v>
      </c>
      <c r="D100" t="s">
        <v>4410</v>
      </c>
      <c r="E100">
        <v>47300070555</v>
      </c>
      <c r="F100" t="s">
        <v>35</v>
      </c>
      <c r="G100" t="s">
        <v>35</v>
      </c>
      <c r="H100" t="s">
        <v>116</v>
      </c>
      <c r="K100" t="s">
        <v>3557</v>
      </c>
      <c r="L100" t="s">
        <v>19</v>
      </c>
      <c r="M100" t="s">
        <v>20</v>
      </c>
      <c r="P100">
        <v>20000</v>
      </c>
      <c r="Q100">
        <v>20000</v>
      </c>
      <c r="R100" t="s">
        <v>3563</v>
      </c>
      <c r="S100" t="s">
        <v>2615</v>
      </c>
      <c r="T100">
        <v>105.2</v>
      </c>
    </row>
    <row r="101" spans="1:20" x14ac:dyDescent="0.25">
      <c r="A101" t="s">
        <v>14</v>
      </c>
      <c r="B101" t="s">
        <v>2613</v>
      </c>
      <c r="C101" t="s">
        <v>4389</v>
      </c>
      <c r="D101" t="s">
        <v>4375</v>
      </c>
      <c r="E101">
        <v>47300046662</v>
      </c>
      <c r="F101" t="s">
        <v>16</v>
      </c>
      <c r="G101" t="s">
        <v>28</v>
      </c>
      <c r="H101" t="s">
        <v>129</v>
      </c>
      <c r="K101" t="s">
        <v>2892</v>
      </c>
      <c r="L101" t="s">
        <v>19</v>
      </c>
      <c r="M101" t="s">
        <v>46</v>
      </c>
      <c r="N101" s="2">
        <v>45292</v>
      </c>
      <c r="O101" s="2">
        <v>45322</v>
      </c>
      <c r="P101">
        <v>10000</v>
      </c>
      <c r="Q101">
        <v>10000</v>
      </c>
      <c r="R101" t="s">
        <v>2910</v>
      </c>
    </row>
    <row r="102" spans="1:20" x14ac:dyDescent="0.25">
      <c r="A102" t="s">
        <v>14</v>
      </c>
      <c r="B102" t="s">
        <v>2611</v>
      </c>
      <c r="C102" t="s">
        <v>4409</v>
      </c>
      <c r="D102" t="s">
        <v>4410</v>
      </c>
      <c r="E102">
        <v>47300070514</v>
      </c>
      <c r="F102" t="s">
        <v>27</v>
      </c>
      <c r="G102" t="s">
        <v>28</v>
      </c>
      <c r="H102" t="s">
        <v>29</v>
      </c>
      <c r="K102" t="s">
        <v>4229</v>
      </c>
      <c r="L102" t="s">
        <v>19</v>
      </c>
      <c r="M102" t="s">
        <v>63</v>
      </c>
      <c r="N102" s="2">
        <v>45292</v>
      </c>
      <c r="O102" s="2">
        <v>45322</v>
      </c>
      <c r="P102">
        <v>50000</v>
      </c>
      <c r="Q102">
        <v>50000</v>
      </c>
      <c r="R102" t="s">
        <v>2911</v>
      </c>
      <c r="S102" t="s">
        <v>2612</v>
      </c>
      <c r="T102">
        <v>263.10000000000002</v>
      </c>
    </row>
    <row r="103" spans="1:20" x14ac:dyDescent="0.25">
      <c r="A103" t="s">
        <v>14</v>
      </c>
      <c r="B103" t="s">
        <v>2611</v>
      </c>
      <c r="C103" t="s">
        <v>4389</v>
      </c>
      <c r="D103" t="s">
        <v>4375</v>
      </c>
      <c r="E103">
        <v>47300070514</v>
      </c>
      <c r="F103" t="s">
        <v>27</v>
      </c>
      <c r="G103" t="s">
        <v>28</v>
      </c>
      <c r="H103" t="s">
        <v>29</v>
      </c>
      <c r="K103" t="s">
        <v>3294</v>
      </c>
      <c r="L103" t="s">
        <v>19</v>
      </c>
      <c r="M103" t="s">
        <v>46</v>
      </c>
      <c r="N103" s="2">
        <v>45292</v>
      </c>
      <c r="O103" s="2">
        <v>45322</v>
      </c>
      <c r="P103">
        <v>500</v>
      </c>
      <c r="Q103">
        <v>500</v>
      </c>
      <c r="R103" t="s">
        <v>2911</v>
      </c>
    </row>
    <row r="104" spans="1:20" x14ac:dyDescent="0.25">
      <c r="A104" t="s">
        <v>14</v>
      </c>
      <c r="B104" t="s">
        <v>2611</v>
      </c>
      <c r="C104" t="s">
        <v>4369</v>
      </c>
      <c r="D104" t="s">
        <v>4370</v>
      </c>
      <c r="E104">
        <v>47300070514</v>
      </c>
      <c r="F104" t="s">
        <v>27</v>
      </c>
      <c r="G104" t="s">
        <v>28</v>
      </c>
      <c r="H104" t="s">
        <v>29</v>
      </c>
      <c r="K104" t="s">
        <v>3197</v>
      </c>
      <c r="L104" t="s">
        <v>19</v>
      </c>
      <c r="M104" t="s">
        <v>46</v>
      </c>
      <c r="N104" s="2">
        <v>45292</v>
      </c>
      <c r="O104" s="2">
        <v>45322</v>
      </c>
      <c r="P104">
        <v>145500</v>
      </c>
      <c r="Q104">
        <v>145500</v>
      </c>
      <c r="R104" t="s">
        <v>2911</v>
      </c>
    </row>
    <row r="105" spans="1:20" x14ac:dyDescent="0.25">
      <c r="A105" t="s">
        <v>14</v>
      </c>
      <c r="B105" t="s">
        <v>2611</v>
      </c>
      <c r="C105" t="s">
        <v>4371</v>
      </c>
      <c r="D105" t="s">
        <v>4368</v>
      </c>
      <c r="E105">
        <v>47300070514</v>
      </c>
      <c r="F105" t="s">
        <v>27</v>
      </c>
      <c r="G105" t="s">
        <v>28</v>
      </c>
      <c r="H105" t="s">
        <v>29</v>
      </c>
      <c r="K105" t="s">
        <v>2892</v>
      </c>
      <c r="L105" t="s">
        <v>19</v>
      </c>
      <c r="M105" t="s">
        <v>46</v>
      </c>
      <c r="N105" s="2">
        <v>45292</v>
      </c>
      <c r="O105" s="2">
        <v>45322</v>
      </c>
      <c r="P105">
        <v>10000</v>
      </c>
      <c r="Q105">
        <v>10000</v>
      </c>
      <c r="R105" t="s">
        <v>2911</v>
      </c>
    </row>
    <row r="106" spans="1:20" x14ac:dyDescent="0.25">
      <c r="A106" t="s">
        <v>14</v>
      </c>
      <c r="B106" t="s">
        <v>2609</v>
      </c>
      <c r="C106" t="s">
        <v>3300</v>
      </c>
      <c r="D106" t="s">
        <v>3299</v>
      </c>
      <c r="E106">
        <v>47300025708</v>
      </c>
      <c r="F106" t="s">
        <v>35</v>
      </c>
      <c r="G106" t="s">
        <v>36</v>
      </c>
      <c r="H106" t="s">
        <v>4360</v>
      </c>
      <c r="K106" t="s">
        <v>3557</v>
      </c>
      <c r="L106" t="s">
        <v>19</v>
      </c>
      <c r="M106" t="s">
        <v>20</v>
      </c>
      <c r="P106">
        <v>50000</v>
      </c>
      <c r="Q106">
        <v>50000</v>
      </c>
      <c r="R106" t="s">
        <v>3564</v>
      </c>
      <c r="S106" t="s">
        <v>2610</v>
      </c>
      <c r="T106">
        <v>263.2</v>
      </c>
    </row>
    <row r="107" spans="1:20" x14ac:dyDescent="0.25">
      <c r="A107" t="s">
        <v>14</v>
      </c>
      <c r="B107" t="s">
        <v>2607</v>
      </c>
      <c r="C107" t="s">
        <v>4389</v>
      </c>
      <c r="D107" t="s">
        <v>4375</v>
      </c>
      <c r="E107">
        <v>47300026185</v>
      </c>
      <c r="F107" t="s">
        <v>35</v>
      </c>
      <c r="G107" t="s">
        <v>36</v>
      </c>
      <c r="H107" t="s">
        <v>4361</v>
      </c>
      <c r="K107" t="s">
        <v>4229</v>
      </c>
      <c r="L107" t="s">
        <v>19</v>
      </c>
      <c r="M107" t="s">
        <v>63</v>
      </c>
      <c r="N107" s="2">
        <v>45292</v>
      </c>
      <c r="O107" s="2">
        <v>45322</v>
      </c>
      <c r="P107">
        <v>50000</v>
      </c>
      <c r="Q107">
        <v>50000</v>
      </c>
      <c r="R107" t="s">
        <v>3317</v>
      </c>
      <c r="S107" t="s">
        <v>2608</v>
      </c>
      <c r="T107">
        <v>263.10000000000002</v>
      </c>
    </row>
    <row r="108" spans="1:20" x14ac:dyDescent="0.25">
      <c r="A108" t="s">
        <v>14</v>
      </c>
      <c r="B108" t="s">
        <v>2607</v>
      </c>
      <c r="C108" t="s">
        <v>4389</v>
      </c>
      <c r="D108" t="s">
        <v>4375</v>
      </c>
      <c r="E108">
        <v>47300026185</v>
      </c>
      <c r="F108" t="s">
        <v>35</v>
      </c>
      <c r="G108" t="s">
        <v>36</v>
      </c>
      <c r="H108" t="s">
        <v>4361</v>
      </c>
      <c r="K108" t="s">
        <v>3294</v>
      </c>
      <c r="L108" t="s">
        <v>19</v>
      </c>
      <c r="M108" t="s">
        <v>46</v>
      </c>
      <c r="N108" s="2">
        <v>45292</v>
      </c>
      <c r="O108" s="2">
        <v>45322</v>
      </c>
      <c r="P108">
        <v>500</v>
      </c>
      <c r="Q108">
        <v>500</v>
      </c>
      <c r="R108" t="s">
        <v>3317</v>
      </c>
    </row>
    <row r="109" spans="1:20" x14ac:dyDescent="0.25">
      <c r="A109" t="s">
        <v>14</v>
      </c>
      <c r="B109" t="s">
        <v>2605</v>
      </c>
      <c r="C109" t="s">
        <v>4396</v>
      </c>
      <c r="D109" t="s">
        <v>4397</v>
      </c>
      <c r="E109">
        <v>47300086445</v>
      </c>
      <c r="F109" t="s">
        <v>16</v>
      </c>
      <c r="G109" t="s">
        <v>28</v>
      </c>
      <c r="H109" t="s">
        <v>187</v>
      </c>
      <c r="I109" t="s">
        <v>2777</v>
      </c>
      <c r="J109" t="s">
        <v>2776</v>
      </c>
      <c r="K109" t="s">
        <v>3557</v>
      </c>
      <c r="L109" t="s">
        <v>19</v>
      </c>
      <c r="M109" t="s">
        <v>20</v>
      </c>
      <c r="P109">
        <v>12000</v>
      </c>
      <c r="Q109">
        <v>12000</v>
      </c>
      <c r="R109" t="s">
        <v>3565</v>
      </c>
      <c r="S109" t="s">
        <v>2606</v>
      </c>
      <c r="T109">
        <v>63.2</v>
      </c>
    </row>
    <row r="110" spans="1:20" x14ac:dyDescent="0.25">
      <c r="A110" t="s">
        <v>14</v>
      </c>
      <c r="B110" t="s">
        <v>2603</v>
      </c>
      <c r="C110" t="s">
        <v>4411</v>
      </c>
      <c r="D110" t="s">
        <v>3275</v>
      </c>
      <c r="E110">
        <v>47300046688</v>
      </c>
      <c r="F110" t="s">
        <v>16</v>
      </c>
      <c r="G110" t="s">
        <v>17</v>
      </c>
      <c r="H110" t="s">
        <v>154</v>
      </c>
      <c r="K110" t="s">
        <v>3557</v>
      </c>
      <c r="L110" t="s">
        <v>19</v>
      </c>
      <c r="M110" t="s">
        <v>20</v>
      </c>
      <c r="P110">
        <v>40000</v>
      </c>
      <c r="Q110">
        <v>40000</v>
      </c>
      <c r="R110" t="s">
        <v>3566</v>
      </c>
      <c r="S110" t="s">
        <v>2604</v>
      </c>
      <c r="T110">
        <v>210.5</v>
      </c>
    </row>
    <row r="111" spans="1:20" x14ac:dyDescent="0.25">
      <c r="A111" t="s">
        <v>14</v>
      </c>
      <c r="B111" t="s">
        <v>2602</v>
      </c>
      <c r="C111" t="s">
        <v>4406</v>
      </c>
      <c r="D111" t="s">
        <v>4394</v>
      </c>
      <c r="E111">
        <v>47300088318</v>
      </c>
      <c r="F111" t="s">
        <v>35</v>
      </c>
      <c r="G111" t="s">
        <v>36</v>
      </c>
      <c r="H111" t="s">
        <v>1126</v>
      </c>
      <c r="K111" t="s">
        <v>3294</v>
      </c>
      <c r="L111" t="s">
        <v>19</v>
      </c>
      <c r="M111" t="s">
        <v>46</v>
      </c>
      <c r="N111" s="2">
        <v>45292</v>
      </c>
      <c r="O111" s="2">
        <v>45322</v>
      </c>
      <c r="P111">
        <v>500</v>
      </c>
      <c r="Q111">
        <v>500</v>
      </c>
      <c r="R111" t="s">
        <v>3318</v>
      </c>
    </row>
    <row r="112" spans="1:20" x14ac:dyDescent="0.25">
      <c r="A112" t="s">
        <v>14</v>
      </c>
      <c r="B112" t="s">
        <v>2601</v>
      </c>
      <c r="C112" t="s">
        <v>4364</v>
      </c>
      <c r="D112" t="s">
        <v>4358</v>
      </c>
      <c r="E112">
        <v>47300070571</v>
      </c>
      <c r="F112" t="s">
        <v>42</v>
      </c>
      <c r="G112" t="s">
        <v>28</v>
      </c>
      <c r="H112" t="s">
        <v>72</v>
      </c>
      <c r="K112" t="s">
        <v>3197</v>
      </c>
      <c r="L112" t="s">
        <v>19</v>
      </c>
      <c r="M112" t="s">
        <v>46</v>
      </c>
      <c r="N112" s="2">
        <v>45292</v>
      </c>
      <c r="O112" s="2">
        <v>45322</v>
      </c>
      <c r="P112">
        <v>145500</v>
      </c>
      <c r="Q112">
        <v>145500</v>
      </c>
      <c r="R112" t="s">
        <v>3199</v>
      </c>
    </row>
    <row r="113" spans="1:20" x14ac:dyDescent="0.25">
      <c r="A113" t="s">
        <v>14</v>
      </c>
      <c r="B113" t="s">
        <v>2599</v>
      </c>
      <c r="C113" t="s">
        <v>4412</v>
      </c>
      <c r="D113" t="s">
        <v>4377</v>
      </c>
      <c r="E113">
        <v>47300070571</v>
      </c>
      <c r="F113" t="s">
        <v>42</v>
      </c>
      <c r="G113" t="s">
        <v>28</v>
      </c>
      <c r="H113" t="s">
        <v>72</v>
      </c>
      <c r="K113" t="s">
        <v>3557</v>
      </c>
      <c r="L113" t="s">
        <v>19</v>
      </c>
      <c r="M113" t="s">
        <v>20</v>
      </c>
      <c r="P113">
        <v>40000</v>
      </c>
      <c r="Q113">
        <v>40000</v>
      </c>
      <c r="R113" t="s">
        <v>3567</v>
      </c>
      <c r="S113" t="s">
        <v>2600</v>
      </c>
      <c r="T113">
        <v>210.5</v>
      </c>
    </row>
    <row r="114" spans="1:20" x14ac:dyDescent="0.25">
      <c r="A114" t="s">
        <v>14</v>
      </c>
      <c r="B114" t="s">
        <v>2598</v>
      </c>
      <c r="C114" t="s">
        <v>4413</v>
      </c>
      <c r="D114" t="s">
        <v>4395</v>
      </c>
      <c r="E114">
        <v>47300070548</v>
      </c>
      <c r="F114" t="s">
        <v>27</v>
      </c>
      <c r="G114" t="s">
        <v>17</v>
      </c>
      <c r="H114" t="s">
        <v>51</v>
      </c>
      <c r="K114" t="s">
        <v>3294</v>
      </c>
      <c r="L114" t="s">
        <v>19</v>
      </c>
      <c r="M114" t="s">
        <v>46</v>
      </c>
      <c r="N114" s="2">
        <v>45292</v>
      </c>
      <c r="O114" s="2">
        <v>45322</v>
      </c>
      <c r="P114">
        <v>500</v>
      </c>
      <c r="Q114">
        <v>500</v>
      </c>
      <c r="R114" t="s">
        <v>3319</v>
      </c>
    </row>
    <row r="115" spans="1:20" x14ac:dyDescent="0.25">
      <c r="A115" t="s">
        <v>14</v>
      </c>
      <c r="B115" t="s">
        <v>2596</v>
      </c>
      <c r="C115" t="s">
        <v>4365</v>
      </c>
      <c r="D115" t="s">
        <v>4366</v>
      </c>
      <c r="E115">
        <v>47300046746</v>
      </c>
      <c r="F115" t="s">
        <v>16</v>
      </c>
      <c r="G115" t="s">
        <v>28</v>
      </c>
      <c r="H115" t="s">
        <v>32</v>
      </c>
      <c r="K115" t="s">
        <v>3557</v>
      </c>
      <c r="L115" t="s">
        <v>19</v>
      </c>
      <c r="M115" t="s">
        <v>20</v>
      </c>
      <c r="P115">
        <v>15000</v>
      </c>
      <c r="Q115">
        <v>15000</v>
      </c>
      <c r="R115" t="s">
        <v>3568</v>
      </c>
      <c r="S115" t="s">
        <v>2597</v>
      </c>
      <c r="T115">
        <v>78.900000000000006</v>
      </c>
    </row>
    <row r="116" spans="1:20" x14ac:dyDescent="0.25">
      <c r="A116" t="s">
        <v>14</v>
      </c>
      <c r="B116" t="s">
        <v>2594</v>
      </c>
      <c r="C116" t="s">
        <v>4386</v>
      </c>
      <c r="D116" t="s">
        <v>4368</v>
      </c>
      <c r="E116">
        <v>47300026094</v>
      </c>
      <c r="F116" t="s">
        <v>35</v>
      </c>
      <c r="G116" t="s">
        <v>36</v>
      </c>
      <c r="H116" t="s">
        <v>4359</v>
      </c>
      <c r="K116" t="s">
        <v>3557</v>
      </c>
      <c r="L116" t="s">
        <v>19</v>
      </c>
      <c r="M116" t="s">
        <v>20</v>
      </c>
      <c r="P116">
        <v>100000</v>
      </c>
      <c r="Q116">
        <v>100000</v>
      </c>
      <c r="R116" t="s">
        <v>3569</v>
      </c>
      <c r="S116" t="s">
        <v>2595</v>
      </c>
      <c r="T116">
        <v>526.4</v>
      </c>
    </row>
    <row r="117" spans="1:20" x14ac:dyDescent="0.25">
      <c r="A117" t="s">
        <v>14</v>
      </c>
      <c r="B117" t="s">
        <v>2592</v>
      </c>
      <c r="C117" t="s">
        <v>4367</v>
      </c>
      <c r="D117" t="s">
        <v>4368</v>
      </c>
      <c r="E117">
        <v>47300025690</v>
      </c>
      <c r="F117" t="s">
        <v>35</v>
      </c>
      <c r="G117" t="s">
        <v>36</v>
      </c>
      <c r="H117" t="s">
        <v>37</v>
      </c>
      <c r="K117" t="s">
        <v>3557</v>
      </c>
      <c r="L117" t="s">
        <v>19</v>
      </c>
      <c r="M117" t="s">
        <v>20</v>
      </c>
      <c r="P117">
        <v>50000</v>
      </c>
      <c r="Q117">
        <v>50000</v>
      </c>
      <c r="R117" t="s">
        <v>3570</v>
      </c>
      <c r="S117" t="s">
        <v>2593</v>
      </c>
      <c r="T117">
        <v>263.2</v>
      </c>
    </row>
    <row r="118" spans="1:20" x14ac:dyDescent="0.25">
      <c r="A118" t="s">
        <v>14</v>
      </c>
      <c r="B118" t="s">
        <v>2590</v>
      </c>
      <c r="C118" t="s">
        <v>4414</v>
      </c>
      <c r="D118" t="s">
        <v>4401</v>
      </c>
      <c r="E118">
        <v>47300070563</v>
      </c>
      <c r="F118" t="s">
        <v>16</v>
      </c>
      <c r="G118" t="s">
        <v>28</v>
      </c>
      <c r="H118" t="s">
        <v>359</v>
      </c>
      <c r="K118" t="s">
        <v>4349</v>
      </c>
      <c r="L118" t="s">
        <v>47</v>
      </c>
      <c r="N118" s="2">
        <v>45293</v>
      </c>
      <c r="O118" s="2">
        <v>45320</v>
      </c>
      <c r="P118">
        <v>110000</v>
      </c>
      <c r="Q118">
        <v>110000</v>
      </c>
      <c r="R118" t="s">
        <v>2750</v>
      </c>
    </row>
    <row r="119" spans="1:20" x14ac:dyDescent="0.25">
      <c r="A119" t="s">
        <v>14</v>
      </c>
      <c r="B119" t="s">
        <v>2590</v>
      </c>
      <c r="C119" t="s">
        <v>4389</v>
      </c>
      <c r="D119" t="s">
        <v>4390</v>
      </c>
      <c r="E119">
        <v>47300070563</v>
      </c>
      <c r="F119" t="s">
        <v>16</v>
      </c>
      <c r="G119" t="s">
        <v>28</v>
      </c>
      <c r="H119" t="s">
        <v>359</v>
      </c>
      <c r="K119" t="s">
        <v>3557</v>
      </c>
      <c r="L119" t="s">
        <v>19</v>
      </c>
      <c r="M119" t="s">
        <v>20</v>
      </c>
      <c r="P119">
        <v>53000</v>
      </c>
      <c r="Q119">
        <v>53000</v>
      </c>
      <c r="R119" t="s">
        <v>2750</v>
      </c>
      <c r="S119" t="s">
        <v>2591</v>
      </c>
      <c r="T119">
        <v>278.89999999999998</v>
      </c>
    </row>
    <row r="120" spans="1:20" x14ac:dyDescent="0.25">
      <c r="A120" t="s">
        <v>14</v>
      </c>
      <c r="B120" t="s">
        <v>2590</v>
      </c>
      <c r="C120" t="s">
        <v>4365</v>
      </c>
      <c r="D120" t="s">
        <v>4366</v>
      </c>
      <c r="E120">
        <v>47300070563</v>
      </c>
      <c r="F120" t="s">
        <v>16</v>
      </c>
      <c r="G120" t="s">
        <v>28</v>
      </c>
      <c r="H120" t="s">
        <v>359</v>
      </c>
      <c r="K120" t="s">
        <v>3499</v>
      </c>
      <c r="L120" t="s">
        <v>47</v>
      </c>
      <c r="N120" s="2">
        <v>45311</v>
      </c>
      <c r="O120" s="2">
        <v>45322</v>
      </c>
      <c r="P120">
        <v>9151.1200000000008</v>
      </c>
      <c r="Q120">
        <v>9151.1200000000008</v>
      </c>
      <c r="R120" t="s">
        <v>2750</v>
      </c>
    </row>
    <row r="121" spans="1:20" x14ac:dyDescent="0.25">
      <c r="A121" t="s">
        <v>14</v>
      </c>
      <c r="B121" t="s">
        <v>2590</v>
      </c>
      <c r="C121" t="s">
        <v>4365</v>
      </c>
      <c r="D121" t="s">
        <v>4366</v>
      </c>
      <c r="E121">
        <v>47300070563</v>
      </c>
      <c r="F121" t="s">
        <v>16</v>
      </c>
      <c r="G121" t="s">
        <v>28</v>
      </c>
      <c r="H121" t="s">
        <v>359</v>
      </c>
      <c r="K121" t="s">
        <v>3497</v>
      </c>
      <c r="L121" t="s">
        <v>47</v>
      </c>
      <c r="N121" s="2">
        <v>45311</v>
      </c>
      <c r="O121" s="2">
        <v>45322</v>
      </c>
      <c r="P121">
        <v>91511.23</v>
      </c>
      <c r="Q121">
        <v>91511.23</v>
      </c>
      <c r="R121" t="s">
        <v>2750</v>
      </c>
    </row>
    <row r="122" spans="1:20" x14ac:dyDescent="0.25">
      <c r="A122" t="s">
        <v>14</v>
      </c>
      <c r="B122" t="s">
        <v>2590</v>
      </c>
      <c r="C122" t="s">
        <v>4389</v>
      </c>
      <c r="D122" t="s">
        <v>4390</v>
      </c>
      <c r="E122">
        <v>47300070563</v>
      </c>
      <c r="F122" t="s">
        <v>16</v>
      </c>
      <c r="G122" t="s">
        <v>28</v>
      </c>
      <c r="H122" t="s">
        <v>359</v>
      </c>
      <c r="K122" t="s">
        <v>2756</v>
      </c>
      <c r="L122" t="s">
        <v>47</v>
      </c>
      <c r="N122" s="2">
        <v>45310</v>
      </c>
      <c r="O122" s="2">
        <v>45316</v>
      </c>
      <c r="P122">
        <v>47500</v>
      </c>
      <c r="Q122">
        <v>47500</v>
      </c>
      <c r="R122" t="s">
        <v>2750</v>
      </c>
    </row>
    <row r="123" spans="1:20" x14ac:dyDescent="0.25">
      <c r="A123" t="s">
        <v>14</v>
      </c>
      <c r="B123" t="s">
        <v>2590</v>
      </c>
      <c r="C123" t="s">
        <v>4365</v>
      </c>
      <c r="D123" t="s">
        <v>4366</v>
      </c>
      <c r="E123">
        <v>47300070563</v>
      </c>
      <c r="F123" t="s">
        <v>16</v>
      </c>
      <c r="G123" t="s">
        <v>28</v>
      </c>
      <c r="H123" t="s">
        <v>359</v>
      </c>
      <c r="K123" t="s">
        <v>2751</v>
      </c>
      <c r="L123" t="s">
        <v>47</v>
      </c>
      <c r="N123" s="2">
        <v>45310</v>
      </c>
      <c r="O123" s="2">
        <v>45316</v>
      </c>
      <c r="P123">
        <v>4750</v>
      </c>
      <c r="Q123">
        <v>4750</v>
      </c>
      <c r="R123" t="s">
        <v>2750</v>
      </c>
    </row>
    <row r="124" spans="1:20" x14ac:dyDescent="0.25">
      <c r="A124" t="s">
        <v>14</v>
      </c>
      <c r="B124" t="s">
        <v>2589</v>
      </c>
      <c r="C124" t="s">
        <v>4412</v>
      </c>
      <c r="D124" t="s">
        <v>4377</v>
      </c>
      <c r="E124">
        <v>47300046258</v>
      </c>
      <c r="F124" t="s">
        <v>16</v>
      </c>
      <c r="G124" t="s">
        <v>28</v>
      </c>
      <c r="H124" t="s">
        <v>160</v>
      </c>
      <c r="K124" t="s">
        <v>3294</v>
      </c>
      <c r="L124" t="s">
        <v>19</v>
      </c>
      <c r="M124" t="s">
        <v>46</v>
      </c>
      <c r="N124" s="2">
        <v>45292</v>
      </c>
      <c r="O124" s="2">
        <v>45322</v>
      </c>
      <c r="P124">
        <v>500</v>
      </c>
      <c r="Q124">
        <v>500</v>
      </c>
      <c r="R124" t="s">
        <v>2912</v>
      </c>
    </row>
    <row r="125" spans="1:20" x14ac:dyDescent="0.25">
      <c r="A125" t="s">
        <v>14</v>
      </c>
      <c r="B125" t="s">
        <v>2589</v>
      </c>
      <c r="C125" t="s">
        <v>4365</v>
      </c>
      <c r="D125" t="s">
        <v>4366</v>
      </c>
      <c r="E125">
        <v>47300046258</v>
      </c>
      <c r="F125" t="s">
        <v>16</v>
      </c>
      <c r="G125" t="s">
        <v>28</v>
      </c>
      <c r="H125" t="s">
        <v>160</v>
      </c>
      <c r="K125" t="s">
        <v>2892</v>
      </c>
      <c r="L125" t="s">
        <v>19</v>
      </c>
      <c r="M125" t="s">
        <v>46</v>
      </c>
      <c r="N125" s="2">
        <v>45292</v>
      </c>
      <c r="O125" s="2">
        <v>45351</v>
      </c>
      <c r="P125">
        <v>10000</v>
      </c>
      <c r="Q125">
        <v>20000</v>
      </c>
      <c r="R125" t="s">
        <v>2912</v>
      </c>
    </row>
    <row r="126" spans="1:20" x14ac:dyDescent="0.25">
      <c r="A126" t="s">
        <v>14</v>
      </c>
      <c r="B126" t="s">
        <v>2588</v>
      </c>
      <c r="C126" t="s">
        <v>4365</v>
      </c>
      <c r="D126" t="s">
        <v>4366</v>
      </c>
      <c r="E126">
        <v>47300070704</v>
      </c>
      <c r="F126" t="s">
        <v>16</v>
      </c>
      <c r="G126" t="s">
        <v>28</v>
      </c>
      <c r="H126" t="s">
        <v>146</v>
      </c>
      <c r="K126" t="s">
        <v>3294</v>
      </c>
      <c r="L126" t="s">
        <v>19</v>
      </c>
      <c r="M126" t="s">
        <v>46</v>
      </c>
      <c r="N126" s="2">
        <v>45292</v>
      </c>
      <c r="O126" s="2">
        <v>45657</v>
      </c>
      <c r="P126">
        <v>500</v>
      </c>
      <c r="Q126">
        <v>6000</v>
      </c>
      <c r="R126" t="s">
        <v>3320</v>
      </c>
    </row>
    <row r="127" spans="1:20" x14ac:dyDescent="0.25">
      <c r="A127" t="s">
        <v>14</v>
      </c>
      <c r="B127" t="s">
        <v>2587</v>
      </c>
      <c r="C127" t="s">
        <v>4382</v>
      </c>
      <c r="D127" t="s">
        <v>4383</v>
      </c>
      <c r="E127">
        <v>47300046217</v>
      </c>
      <c r="F127" t="s">
        <v>16</v>
      </c>
      <c r="G127" t="s">
        <v>28</v>
      </c>
      <c r="H127" t="s">
        <v>108</v>
      </c>
      <c r="K127" t="s">
        <v>3287</v>
      </c>
      <c r="L127" t="s">
        <v>47</v>
      </c>
      <c r="N127" s="2">
        <v>45292</v>
      </c>
      <c r="O127" s="2">
        <v>45322</v>
      </c>
      <c r="P127">
        <v>500</v>
      </c>
      <c r="Q127">
        <v>500</v>
      </c>
      <c r="R127" t="s">
        <v>2791</v>
      </c>
    </row>
    <row r="128" spans="1:20" x14ac:dyDescent="0.25">
      <c r="A128" t="s">
        <v>14</v>
      </c>
      <c r="B128" t="s">
        <v>2587</v>
      </c>
      <c r="C128" t="s">
        <v>4402</v>
      </c>
      <c r="D128" t="s">
        <v>4403</v>
      </c>
      <c r="E128">
        <v>47300046217</v>
      </c>
      <c r="F128" t="s">
        <v>16</v>
      </c>
      <c r="G128" t="s">
        <v>28</v>
      </c>
      <c r="H128" t="s">
        <v>108</v>
      </c>
      <c r="K128" t="s">
        <v>2792</v>
      </c>
      <c r="L128" t="s">
        <v>47</v>
      </c>
      <c r="N128" s="2">
        <v>45322</v>
      </c>
      <c r="O128" s="2">
        <v>45330</v>
      </c>
      <c r="P128">
        <v>10000</v>
      </c>
      <c r="Q128">
        <v>10000</v>
      </c>
      <c r="R128" t="s">
        <v>2791</v>
      </c>
    </row>
    <row r="129" spans="1:20" x14ac:dyDescent="0.25">
      <c r="A129" t="s">
        <v>14</v>
      </c>
      <c r="B129" t="s">
        <v>2586</v>
      </c>
      <c r="C129" t="s">
        <v>4380</v>
      </c>
      <c r="D129" t="s">
        <v>4381</v>
      </c>
      <c r="E129">
        <v>47300046647</v>
      </c>
      <c r="F129" t="s">
        <v>16</v>
      </c>
      <c r="G129" t="s">
        <v>87</v>
      </c>
      <c r="H129" t="s">
        <v>100</v>
      </c>
      <c r="K129" t="s">
        <v>3294</v>
      </c>
      <c r="L129" t="s">
        <v>19</v>
      </c>
      <c r="M129" t="s">
        <v>46</v>
      </c>
      <c r="N129" s="2">
        <v>45323</v>
      </c>
      <c r="O129" s="2">
        <v>45351</v>
      </c>
      <c r="P129">
        <v>500</v>
      </c>
      <c r="Q129">
        <v>500</v>
      </c>
      <c r="R129" t="s">
        <v>2888</v>
      </c>
    </row>
    <row r="130" spans="1:20" x14ac:dyDescent="0.25">
      <c r="A130" t="s">
        <v>14</v>
      </c>
      <c r="B130" t="s">
        <v>2586</v>
      </c>
      <c r="C130" t="s">
        <v>4369</v>
      </c>
      <c r="D130" t="s">
        <v>4370</v>
      </c>
      <c r="E130">
        <v>47300046647</v>
      </c>
      <c r="F130" t="s">
        <v>16</v>
      </c>
      <c r="G130" t="s">
        <v>87</v>
      </c>
      <c r="H130" t="s">
        <v>100</v>
      </c>
      <c r="K130" t="s">
        <v>2889</v>
      </c>
      <c r="L130" t="s">
        <v>47</v>
      </c>
      <c r="N130" s="2">
        <v>45292</v>
      </c>
      <c r="O130" s="2">
        <v>45322</v>
      </c>
      <c r="P130">
        <v>10000</v>
      </c>
      <c r="Q130">
        <v>10000</v>
      </c>
      <c r="R130" t="s">
        <v>2888</v>
      </c>
    </row>
    <row r="131" spans="1:20" x14ac:dyDescent="0.25">
      <c r="A131" t="s">
        <v>14</v>
      </c>
      <c r="B131" t="s">
        <v>2584</v>
      </c>
      <c r="C131" t="s">
        <v>4384</v>
      </c>
      <c r="D131" t="s">
        <v>4385</v>
      </c>
      <c r="E131">
        <v>47300086445</v>
      </c>
      <c r="F131" t="s">
        <v>16</v>
      </c>
      <c r="G131" t="s">
        <v>28</v>
      </c>
      <c r="H131" t="s">
        <v>187</v>
      </c>
      <c r="I131" t="s">
        <v>2777</v>
      </c>
      <c r="J131" t="s">
        <v>2776</v>
      </c>
      <c r="K131" t="s">
        <v>4229</v>
      </c>
      <c r="L131" t="s">
        <v>19</v>
      </c>
      <c r="M131" t="s">
        <v>63</v>
      </c>
      <c r="N131" s="2">
        <v>45323</v>
      </c>
      <c r="O131" s="2">
        <v>45351</v>
      </c>
      <c r="P131">
        <v>25000</v>
      </c>
      <c r="Q131">
        <v>25000</v>
      </c>
      <c r="R131" t="s">
        <v>2913</v>
      </c>
      <c r="S131" t="s">
        <v>2585</v>
      </c>
      <c r="T131">
        <v>131.6</v>
      </c>
    </row>
    <row r="132" spans="1:20" x14ac:dyDescent="0.25">
      <c r="A132" t="s">
        <v>14</v>
      </c>
      <c r="B132" t="s">
        <v>2584</v>
      </c>
      <c r="C132" t="s">
        <v>4415</v>
      </c>
      <c r="D132" t="s">
        <v>4416</v>
      </c>
      <c r="E132">
        <v>47300086445</v>
      </c>
      <c r="F132" t="s">
        <v>16</v>
      </c>
      <c r="G132" t="s">
        <v>28</v>
      </c>
      <c r="H132" t="s">
        <v>187</v>
      </c>
      <c r="I132" t="s">
        <v>2777</v>
      </c>
      <c r="J132" t="s">
        <v>2776</v>
      </c>
      <c r="K132" t="s">
        <v>3294</v>
      </c>
      <c r="L132" t="s">
        <v>19</v>
      </c>
      <c r="M132" t="s">
        <v>46</v>
      </c>
      <c r="N132" s="2">
        <v>45323</v>
      </c>
      <c r="O132" s="2">
        <v>45351</v>
      </c>
      <c r="P132">
        <v>500</v>
      </c>
      <c r="Q132">
        <v>500</v>
      </c>
      <c r="R132" t="s">
        <v>2913</v>
      </c>
    </row>
    <row r="133" spans="1:20" x14ac:dyDescent="0.25">
      <c r="A133" t="s">
        <v>14</v>
      </c>
      <c r="B133" t="s">
        <v>2584</v>
      </c>
      <c r="C133" t="s">
        <v>4380</v>
      </c>
      <c r="D133" t="s">
        <v>4381</v>
      </c>
      <c r="E133">
        <v>47300086445</v>
      </c>
      <c r="F133" t="s">
        <v>16</v>
      </c>
      <c r="G133" t="s">
        <v>28</v>
      </c>
      <c r="H133" t="s">
        <v>187</v>
      </c>
      <c r="I133" t="s">
        <v>2777</v>
      </c>
      <c r="J133" t="s">
        <v>2776</v>
      </c>
      <c r="K133" t="s">
        <v>2892</v>
      </c>
      <c r="L133" t="s">
        <v>19</v>
      </c>
      <c r="M133" t="s">
        <v>46</v>
      </c>
      <c r="N133" s="2">
        <v>45323</v>
      </c>
      <c r="O133" s="2">
        <v>45351</v>
      </c>
      <c r="P133">
        <v>10000</v>
      </c>
      <c r="Q133">
        <v>10000</v>
      </c>
      <c r="R133" t="s">
        <v>2913</v>
      </c>
    </row>
    <row r="134" spans="1:20" x14ac:dyDescent="0.25">
      <c r="A134" t="s">
        <v>14</v>
      </c>
      <c r="B134" t="s">
        <v>2583</v>
      </c>
      <c r="C134" t="s">
        <v>4369</v>
      </c>
      <c r="D134" t="s">
        <v>4370</v>
      </c>
      <c r="E134">
        <v>47300046605</v>
      </c>
      <c r="F134" t="s">
        <v>16</v>
      </c>
      <c r="G134" t="s">
        <v>17</v>
      </c>
      <c r="H134" t="s">
        <v>49</v>
      </c>
      <c r="K134" t="s">
        <v>3294</v>
      </c>
      <c r="L134" t="s">
        <v>19</v>
      </c>
      <c r="M134" t="s">
        <v>46</v>
      </c>
      <c r="N134" s="2">
        <v>45323</v>
      </c>
      <c r="O134" s="2">
        <v>45351</v>
      </c>
      <c r="P134">
        <v>500</v>
      </c>
      <c r="Q134">
        <v>500</v>
      </c>
      <c r="R134" t="s">
        <v>3321</v>
      </c>
    </row>
    <row r="135" spans="1:20" x14ac:dyDescent="0.25">
      <c r="A135" t="s">
        <v>14</v>
      </c>
      <c r="B135" t="s">
        <v>2581</v>
      </c>
      <c r="C135" t="s">
        <v>4402</v>
      </c>
      <c r="D135" t="s">
        <v>4403</v>
      </c>
      <c r="E135">
        <v>47300046605</v>
      </c>
      <c r="F135" t="s">
        <v>16</v>
      </c>
      <c r="G135" t="s">
        <v>17</v>
      </c>
      <c r="H135" t="s">
        <v>49</v>
      </c>
      <c r="K135" t="s">
        <v>4229</v>
      </c>
      <c r="L135" t="s">
        <v>19</v>
      </c>
      <c r="M135" t="s">
        <v>63</v>
      </c>
      <c r="N135" s="2">
        <v>45323</v>
      </c>
      <c r="O135" s="2">
        <v>45351</v>
      </c>
      <c r="P135">
        <v>80000</v>
      </c>
      <c r="Q135">
        <v>80000</v>
      </c>
      <c r="R135" t="s">
        <v>4232</v>
      </c>
      <c r="S135" t="s">
        <v>2582</v>
      </c>
      <c r="T135">
        <v>421</v>
      </c>
    </row>
    <row r="136" spans="1:20" x14ac:dyDescent="0.25">
      <c r="A136" t="s">
        <v>14</v>
      </c>
      <c r="B136" t="s">
        <v>2580</v>
      </c>
      <c r="C136" t="s">
        <v>4415</v>
      </c>
      <c r="D136" t="s">
        <v>4416</v>
      </c>
      <c r="E136">
        <v>47300070845</v>
      </c>
      <c r="F136" t="s">
        <v>16</v>
      </c>
      <c r="G136" t="s">
        <v>23</v>
      </c>
      <c r="H136" t="s">
        <v>157</v>
      </c>
      <c r="K136" t="s">
        <v>3294</v>
      </c>
      <c r="L136" t="s">
        <v>19</v>
      </c>
      <c r="M136" t="s">
        <v>46</v>
      </c>
      <c r="N136" s="2">
        <v>45323</v>
      </c>
      <c r="O136" s="2">
        <v>45351</v>
      </c>
      <c r="P136">
        <v>500</v>
      </c>
      <c r="Q136">
        <v>500</v>
      </c>
      <c r="R136" t="s">
        <v>2793</v>
      </c>
    </row>
    <row r="137" spans="1:20" x14ac:dyDescent="0.25">
      <c r="A137" t="s">
        <v>14</v>
      </c>
      <c r="B137" t="s">
        <v>2580</v>
      </c>
      <c r="C137" t="s">
        <v>4402</v>
      </c>
      <c r="D137" t="s">
        <v>4403</v>
      </c>
      <c r="E137">
        <v>47300070845</v>
      </c>
      <c r="F137" t="s">
        <v>16</v>
      </c>
      <c r="G137" t="s">
        <v>23</v>
      </c>
      <c r="H137" t="s">
        <v>157</v>
      </c>
      <c r="K137" t="s">
        <v>2892</v>
      </c>
      <c r="L137" t="s">
        <v>19</v>
      </c>
      <c r="M137" t="s">
        <v>46</v>
      </c>
      <c r="N137" s="2">
        <v>45323</v>
      </c>
      <c r="O137" s="2">
        <v>45351</v>
      </c>
      <c r="P137">
        <v>10000</v>
      </c>
      <c r="Q137">
        <v>10000</v>
      </c>
      <c r="R137" t="s">
        <v>2793</v>
      </c>
    </row>
    <row r="138" spans="1:20" x14ac:dyDescent="0.25">
      <c r="A138" t="s">
        <v>14</v>
      </c>
      <c r="B138" t="s">
        <v>2580</v>
      </c>
      <c r="C138" t="s">
        <v>4369</v>
      </c>
      <c r="D138" t="s">
        <v>4370</v>
      </c>
      <c r="E138">
        <v>47300070845</v>
      </c>
      <c r="F138" t="s">
        <v>16</v>
      </c>
      <c r="G138" t="s">
        <v>23</v>
      </c>
      <c r="H138" t="s">
        <v>157</v>
      </c>
      <c r="K138" t="s">
        <v>2794</v>
      </c>
      <c r="L138" t="s">
        <v>47</v>
      </c>
      <c r="N138" s="2">
        <v>45322</v>
      </c>
      <c r="O138" s="2">
        <v>45330</v>
      </c>
      <c r="P138">
        <v>10000</v>
      </c>
      <c r="Q138">
        <v>10000</v>
      </c>
      <c r="R138" t="s">
        <v>2793</v>
      </c>
    </row>
    <row r="139" spans="1:20" x14ac:dyDescent="0.25">
      <c r="A139" t="s">
        <v>14</v>
      </c>
      <c r="B139" t="s">
        <v>2579</v>
      </c>
      <c r="C139" t="s">
        <v>4384</v>
      </c>
      <c r="D139" t="s">
        <v>4385</v>
      </c>
      <c r="E139">
        <v>47300047066</v>
      </c>
      <c r="F139" t="s">
        <v>16</v>
      </c>
      <c r="G139" t="s">
        <v>28</v>
      </c>
      <c r="H139" t="s">
        <v>57</v>
      </c>
      <c r="K139" t="s">
        <v>3294</v>
      </c>
      <c r="L139" t="s">
        <v>19</v>
      </c>
      <c r="M139" t="s">
        <v>46</v>
      </c>
      <c r="N139" s="2">
        <v>45323</v>
      </c>
      <c r="O139" s="2">
        <v>45351</v>
      </c>
      <c r="P139">
        <v>500</v>
      </c>
      <c r="Q139">
        <v>500</v>
      </c>
      <c r="R139" t="s">
        <v>3322</v>
      </c>
    </row>
    <row r="140" spans="1:20" x14ac:dyDescent="0.25">
      <c r="A140" t="s">
        <v>14</v>
      </c>
      <c r="B140" t="s">
        <v>2577</v>
      </c>
      <c r="C140" t="s">
        <v>4412</v>
      </c>
      <c r="D140" t="s">
        <v>4377</v>
      </c>
      <c r="E140">
        <v>47300046241</v>
      </c>
      <c r="F140" t="s">
        <v>16</v>
      </c>
      <c r="G140" t="s">
        <v>23</v>
      </c>
      <c r="H140" t="s">
        <v>24</v>
      </c>
      <c r="I140" t="s">
        <v>2754</v>
      </c>
      <c r="J140">
        <v>0</v>
      </c>
      <c r="K140" t="s">
        <v>4229</v>
      </c>
      <c r="L140" t="s">
        <v>19</v>
      </c>
      <c r="M140" t="s">
        <v>63</v>
      </c>
      <c r="N140" s="2">
        <v>45323</v>
      </c>
      <c r="O140" s="2">
        <v>45351</v>
      </c>
      <c r="P140">
        <v>10000</v>
      </c>
      <c r="Q140">
        <v>10000</v>
      </c>
      <c r="R140" t="s">
        <v>2914</v>
      </c>
      <c r="S140" t="s">
        <v>2578</v>
      </c>
      <c r="T140">
        <v>52.6</v>
      </c>
    </row>
    <row r="141" spans="1:20" x14ac:dyDescent="0.25">
      <c r="A141" t="s">
        <v>14</v>
      </c>
      <c r="B141" t="s">
        <v>2577</v>
      </c>
      <c r="C141" t="s">
        <v>4394</v>
      </c>
      <c r="D141" t="s">
        <v>4395</v>
      </c>
      <c r="E141">
        <v>47300046241</v>
      </c>
      <c r="F141" t="s">
        <v>16</v>
      </c>
      <c r="G141" t="s">
        <v>23</v>
      </c>
      <c r="H141" t="s">
        <v>24</v>
      </c>
      <c r="I141" t="s">
        <v>2754</v>
      </c>
      <c r="J141">
        <v>0</v>
      </c>
      <c r="K141" t="s">
        <v>3294</v>
      </c>
      <c r="L141" t="s">
        <v>19</v>
      </c>
      <c r="M141" t="s">
        <v>46</v>
      </c>
      <c r="N141" s="2">
        <v>45323</v>
      </c>
      <c r="O141" s="2">
        <v>45351</v>
      </c>
      <c r="P141">
        <v>500</v>
      </c>
      <c r="Q141">
        <v>500</v>
      </c>
      <c r="R141" t="s">
        <v>2914</v>
      </c>
    </row>
    <row r="142" spans="1:20" x14ac:dyDescent="0.25">
      <c r="A142" t="s">
        <v>14</v>
      </c>
      <c r="B142" t="s">
        <v>2577</v>
      </c>
      <c r="C142" t="s">
        <v>4412</v>
      </c>
      <c r="D142" t="s">
        <v>4377</v>
      </c>
      <c r="E142">
        <v>47300046241</v>
      </c>
      <c r="F142" t="s">
        <v>16</v>
      </c>
      <c r="G142" t="s">
        <v>23</v>
      </c>
      <c r="H142" t="s">
        <v>24</v>
      </c>
      <c r="I142" t="s">
        <v>2754</v>
      </c>
      <c r="J142">
        <v>0</v>
      </c>
      <c r="K142" t="s">
        <v>3197</v>
      </c>
      <c r="L142" t="s">
        <v>19</v>
      </c>
      <c r="M142" t="s">
        <v>46</v>
      </c>
      <c r="N142" s="2">
        <v>45323</v>
      </c>
      <c r="O142" s="2">
        <v>45351</v>
      </c>
      <c r="P142">
        <v>145500</v>
      </c>
      <c r="Q142">
        <v>145500</v>
      </c>
      <c r="R142" t="s">
        <v>2914</v>
      </c>
    </row>
    <row r="143" spans="1:20" x14ac:dyDescent="0.25">
      <c r="A143" t="s">
        <v>14</v>
      </c>
      <c r="B143" t="s">
        <v>2577</v>
      </c>
      <c r="C143" t="s">
        <v>4394</v>
      </c>
      <c r="D143" t="s">
        <v>4395</v>
      </c>
      <c r="E143">
        <v>47300046241</v>
      </c>
      <c r="F143" t="s">
        <v>16</v>
      </c>
      <c r="G143" t="s">
        <v>23</v>
      </c>
      <c r="H143" t="s">
        <v>24</v>
      </c>
      <c r="I143" t="s">
        <v>2754</v>
      </c>
      <c r="J143">
        <v>0</v>
      </c>
      <c r="K143" t="s">
        <v>2892</v>
      </c>
      <c r="L143" t="s">
        <v>19</v>
      </c>
      <c r="M143" t="s">
        <v>46</v>
      </c>
      <c r="N143" s="2">
        <v>45323</v>
      </c>
      <c r="O143" s="2">
        <v>45351</v>
      </c>
      <c r="P143">
        <v>10000</v>
      </c>
      <c r="Q143">
        <v>10000</v>
      </c>
      <c r="R143" t="s">
        <v>2914</v>
      </c>
    </row>
    <row r="144" spans="1:20" x14ac:dyDescent="0.25">
      <c r="A144" t="s">
        <v>14</v>
      </c>
      <c r="B144" t="s">
        <v>2575</v>
      </c>
      <c r="C144" t="s">
        <v>4394</v>
      </c>
      <c r="D144" t="s">
        <v>4395</v>
      </c>
      <c r="E144">
        <v>47300046258</v>
      </c>
      <c r="F144" t="s">
        <v>16</v>
      </c>
      <c r="G144" t="s">
        <v>28</v>
      </c>
      <c r="H144" t="s">
        <v>160</v>
      </c>
      <c r="K144" t="s">
        <v>4229</v>
      </c>
      <c r="L144" t="s">
        <v>19</v>
      </c>
      <c r="M144" t="s">
        <v>63</v>
      </c>
      <c r="N144" s="2">
        <v>45323</v>
      </c>
      <c r="O144" s="2">
        <v>45351</v>
      </c>
      <c r="P144">
        <v>50000</v>
      </c>
      <c r="Q144">
        <v>50000</v>
      </c>
      <c r="R144" t="s">
        <v>3323</v>
      </c>
      <c r="S144" t="s">
        <v>2576</v>
      </c>
      <c r="T144">
        <v>263.2</v>
      </c>
    </row>
    <row r="145" spans="1:20" x14ac:dyDescent="0.25">
      <c r="A145" t="s">
        <v>14</v>
      </c>
      <c r="B145" t="s">
        <v>2575</v>
      </c>
      <c r="C145" t="s">
        <v>4394</v>
      </c>
      <c r="D145" t="s">
        <v>4395</v>
      </c>
      <c r="E145">
        <v>47300046258</v>
      </c>
      <c r="F145" t="s">
        <v>16</v>
      </c>
      <c r="G145" t="s">
        <v>28</v>
      </c>
      <c r="H145" t="s">
        <v>160</v>
      </c>
      <c r="K145" t="s">
        <v>3294</v>
      </c>
      <c r="L145" t="s">
        <v>19</v>
      </c>
      <c r="M145" t="s">
        <v>46</v>
      </c>
      <c r="N145" s="2">
        <v>45323</v>
      </c>
      <c r="O145" s="2">
        <v>45351</v>
      </c>
      <c r="P145">
        <v>500</v>
      </c>
      <c r="Q145">
        <v>500</v>
      </c>
      <c r="R145" t="s">
        <v>3323</v>
      </c>
    </row>
    <row r="146" spans="1:20" x14ac:dyDescent="0.25">
      <c r="A146" t="s">
        <v>14</v>
      </c>
      <c r="B146" t="s">
        <v>2573</v>
      </c>
      <c r="C146" t="s">
        <v>4387</v>
      </c>
      <c r="D146" t="s">
        <v>4388</v>
      </c>
      <c r="E146">
        <v>47300070555</v>
      </c>
      <c r="F146" t="s">
        <v>35</v>
      </c>
      <c r="G146" t="s">
        <v>35</v>
      </c>
      <c r="H146" t="s">
        <v>116</v>
      </c>
      <c r="K146" t="s">
        <v>4229</v>
      </c>
      <c r="L146" t="s">
        <v>19</v>
      </c>
      <c r="M146" t="s">
        <v>63</v>
      </c>
      <c r="N146" s="2">
        <v>45323</v>
      </c>
      <c r="O146" s="2">
        <v>45351</v>
      </c>
      <c r="P146">
        <v>20000</v>
      </c>
      <c r="Q146">
        <v>20000</v>
      </c>
      <c r="R146" t="s">
        <v>3324</v>
      </c>
      <c r="S146" t="s">
        <v>2574</v>
      </c>
      <c r="T146">
        <v>105.3</v>
      </c>
    </row>
    <row r="147" spans="1:20" x14ac:dyDescent="0.25">
      <c r="A147" t="s">
        <v>14</v>
      </c>
      <c r="B147" t="s">
        <v>2573</v>
      </c>
      <c r="C147" t="s">
        <v>4372</v>
      </c>
      <c r="D147" t="s">
        <v>4373</v>
      </c>
      <c r="E147">
        <v>47300070555</v>
      </c>
      <c r="F147" t="s">
        <v>35</v>
      </c>
      <c r="G147" t="s">
        <v>35</v>
      </c>
      <c r="H147" t="s">
        <v>116</v>
      </c>
      <c r="K147" t="s">
        <v>3294</v>
      </c>
      <c r="L147" t="s">
        <v>19</v>
      </c>
      <c r="M147" t="s">
        <v>46</v>
      </c>
      <c r="N147" s="2">
        <v>45323</v>
      </c>
      <c r="O147" s="2">
        <v>45351</v>
      </c>
      <c r="P147">
        <v>500</v>
      </c>
      <c r="Q147">
        <v>500</v>
      </c>
      <c r="R147" t="s">
        <v>3324</v>
      </c>
    </row>
    <row r="148" spans="1:20" x14ac:dyDescent="0.25">
      <c r="A148" t="s">
        <v>14</v>
      </c>
      <c r="B148" t="s">
        <v>2571</v>
      </c>
      <c r="C148" t="s">
        <v>4371</v>
      </c>
      <c r="D148" t="s">
        <v>4368</v>
      </c>
      <c r="E148">
        <v>47300026094</v>
      </c>
      <c r="F148" t="s">
        <v>35</v>
      </c>
      <c r="G148" t="s">
        <v>36</v>
      </c>
      <c r="H148" t="s">
        <v>4359</v>
      </c>
      <c r="K148" t="s">
        <v>4229</v>
      </c>
      <c r="L148" t="s">
        <v>19</v>
      </c>
      <c r="M148" t="s">
        <v>63</v>
      </c>
      <c r="N148" s="2">
        <v>45323</v>
      </c>
      <c r="O148" s="2">
        <v>45351</v>
      </c>
      <c r="P148">
        <v>100000</v>
      </c>
      <c r="Q148">
        <v>100000</v>
      </c>
      <c r="R148" t="s">
        <v>3325</v>
      </c>
      <c r="S148" t="s">
        <v>2572</v>
      </c>
      <c r="T148">
        <v>526.29999999999995</v>
      </c>
    </row>
    <row r="149" spans="1:20" x14ac:dyDescent="0.25">
      <c r="A149" t="s">
        <v>14</v>
      </c>
      <c r="B149" t="s">
        <v>2571</v>
      </c>
      <c r="C149" t="s">
        <v>4367</v>
      </c>
      <c r="D149" t="s">
        <v>4368</v>
      </c>
      <c r="E149">
        <v>47300026094</v>
      </c>
      <c r="F149" t="s">
        <v>35</v>
      </c>
      <c r="G149" t="s">
        <v>36</v>
      </c>
      <c r="H149" t="s">
        <v>4359</v>
      </c>
      <c r="K149" t="s">
        <v>3294</v>
      </c>
      <c r="L149" t="s">
        <v>19</v>
      </c>
      <c r="M149" t="s">
        <v>46</v>
      </c>
      <c r="N149" s="2">
        <v>45323</v>
      </c>
      <c r="O149" s="2">
        <v>45351</v>
      </c>
      <c r="P149">
        <v>500</v>
      </c>
      <c r="Q149">
        <v>500</v>
      </c>
      <c r="R149" t="s">
        <v>3325</v>
      </c>
    </row>
    <row r="150" spans="1:20" x14ac:dyDescent="0.25">
      <c r="A150" t="s">
        <v>14</v>
      </c>
      <c r="B150" t="s">
        <v>2569</v>
      </c>
      <c r="C150" t="s">
        <v>3300</v>
      </c>
      <c r="D150" t="s">
        <v>3299</v>
      </c>
      <c r="E150">
        <v>47300025708</v>
      </c>
      <c r="F150" t="s">
        <v>35</v>
      </c>
      <c r="G150" t="s">
        <v>36</v>
      </c>
      <c r="H150" t="s">
        <v>4360</v>
      </c>
      <c r="K150" t="s">
        <v>4229</v>
      </c>
      <c r="L150" t="s">
        <v>19</v>
      </c>
      <c r="M150" t="s">
        <v>63</v>
      </c>
      <c r="N150" s="2">
        <v>45323</v>
      </c>
      <c r="O150" s="2">
        <v>45351</v>
      </c>
      <c r="P150">
        <v>50000</v>
      </c>
      <c r="Q150">
        <v>50000</v>
      </c>
      <c r="R150" t="s">
        <v>3326</v>
      </c>
      <c r="S150" t="s">
        <v>2570</v>
      </c>
      <c r="T150">
        <v>263.2</v>
      </c>
    </row>
    <row r="151" spans="1:20" x14ac:dyDescent="0.25">
      <c r="A151" t="s">
        <v>14</v>
      </c>
      <c r="B151" t="s">
        <v>2569</v>
      </c>
      <c r="C151" t="s">
        <v>4387</v>
      </c>
      <c r="D151" t="s">
        <v>4388</v>
      </c>
      <c r="E151">
        <v>47300025708</v>
      </c>
      <c r="F151" t="s">
        <v>35</v>
      </c>
      <c r="G151" t="s">
        <v>36</v>
      </c>
      <c r="H151" t="s">
        <v>4360</v>
      </c>
      <c r="K151" t="s">
        <v>3294</v>
      </c>
      <c r="L151" t="s">
        <v>19</v>
      </c>
      <c r="M151" t="s">
        <v>46</v>
      </c>
      <c r="N151" s="2">
        <v>45323</v>
      </c>
      <c r="O151" s="2">
        <v>45351</v>
      </c>
      <c r="P151">
        <v>500</v>
      </c>
      <c r="Q151">
        <v>500</v>
      </c>
      <c r="R151" t="s">
        <v>3326</v>
      </c>
    </row>
    <row r="152" spans="1:20" x14ac:dyDescent="0.25">
      <c r="A152" t="s">
        <v>14</v>
      </c>
      <c r="B152" t="s">
        <v>2568</v>
      </c>
      <c r="C152" t="s">
        <v>4371</v>
      </c>
      <c r="D152" t="s">
        <v>4368</v>
      </c>
      <c r="E152">
        <v>47300046282</v>
      </c>
      <c r="F152" t="s">
        <v>16</v>
      </c>
      <c r="G152" t="s">
        <v>17</v>
      </c>
      <c r="H152" t="s">
        <v>746</v>
      </c>
      <c r="K152" t="s">
        <v>3294</v>
      </c>
      <c r="L152" t="s">
        <v>19</v>
      </c>
      <c r="M152" t="s">
        <v>46</v>
      </c>
      <c r="N152" s="2">
        <v>45323</v>
      </c>
      <c r="O152" s="2">
        <v>45351</v>
      </c>
      <c r="P152">
        <v>500</v>
      </c>
      <c r="Q152">
        <v>500</v>
      </c>
      <c r="R152" t="s">
        <v>3327</v>
      </c>
    </row>
    <row r="153" spans="1:20" x14ac:dyDescent="0.25">
      <c r="A153" t="s">
        <v>14</v>
      </c>
      <c r="B153" t="s">
        <v>2567</v>
      </c>
      <c r="C153" t="s">
        <v>4367</v>
      </c>
      <c r="D153" t="s">
        <v>4368</v>
      </c>
      <c r="E153">
        <v>47300046761</v>
      </c>
      <c r="F153" t="s">
        <v>42</v>
      </c>
      <c r="G153" t="s">
        <v>28</v>
      </c>
      <c r="H153" t="s">
        <v>43</v>
      </c>
      <c r="K153" t="s">
        <v>3294</v>
      </c>
      <c r="L153" t="s">
        <v>19</v>
      </c>
      <c r="M153" t="s">
        <v>46</v>
      </c>
      <c r="N153" s="2">
        <v>45323</v>
      </c>
      <c r="O153" s="2">
        <v>45351</v>
      </c>
      <c r="P153">
        <v>500</v>
      </c>
      <c r="Q153">
        <v>500</v>
      </c>
      <c r="R153" t="s">
        <v>3328</v>
      </c>
    </row>
    <row r="154" spans="1:20" x14ac:dyDescent="0.25">
      <c r="A154" t="s">
        <v>14</v>
      </c>
      <c r="B154" t="s">
        <v>2566</v>
      </c>
      <c r="C154" t="s">
        <v>3300</v>
      </c>
      <c r="D154" t="s">
        <v>3299</v>
      </c>
      <c r="E154">
        <v>47300046761</v>
      </c>
      <c r="F154" t="s">
        <v>42</v>
      </c>
      <c r="G154" t="s">
        <v>28</v>
      </c>
      <c r="H154" t="s">
        <v>43</v>
      </c>
      <c r="K154" t="s">
        <v>2892</v>
      </c>
      <c r="L154" t="s">
        <v>19</v>
      </c>
      <c r="M154" t="s">
        <v>46</v>
      </c>
      <c r="N154" s="2">
        <v>45323</v>
      </c>
      <c r="O154" s="2">
        <v>45351</v>
      </c>
      <c r="P154">
        <v>10000</v>
      </c>
      <c r="Q154">
        <v>10000</v>
      </c>
      <c r="R154" t="s">
        <v>2915</v>
      </c>
    </row>
    <row r="155" spans="1:20" x14ac:dyDescent="0.25">
      <c r="A155" t="s">
        <v>14</v>
      </c>
      <c r="B155" t="s">
        <v>2564</v>
      </c>
      <c r="C155" t="s">
        <v>4387</v>
      </c>
      <c r="D155" t="s">
        <v>4388</v>
      </c>
      <c r="E155">
        <v>47300046761</v>
      </c>
      <c r="F155" t="s">
        <v>42</v>
      </c>
      <c r="G155" t="s">
        <v>28</v>
      </c>
      <c r="H155" t="s">
        <v>43</v>
      </c>
      <c r="K155" t="s">
        <v>4229</v>
      </c>
      <c r="L155" t="s">
        <v>19</v>
      </c>
      <c r="M155" t="s">
        <v>63</v>
      </c>
      <c r="N155" s="2">
        <v>45323</v>
      </c>
      <c r="O155" s="2">
        <v>45351</v>
      </c>
      <c r="P155">
        <v>30000</v>
      </c>
      <c r="Q155">
        <v>30000</v>
      </c>
      <c r="R155" t="s">
        <v>4233</v>
      </c>
      <c r="S155" t="s">
        <v>2565</v>
      </c>
      <c r="T155">
        <v>157.9</v>
      </c>
    </row>
    <row r="156" spans="1:20" x14ac:dyDescent="0.25">
      <c r="A156" t="s">
        <v>14</v>
      </c>
      <c r="B156" t="s">
        <v>2562</v>
      </c>
      <c r="C156" t="s">
        <v>4376</v>
      </c>
      <c r="D156" t="s">
        <v>4377</v>
      </c>
      <c r="E156">
        <v>47300046720</v>
      </c>
      <c r="F156" t="s">
        <v>16</v>
      </c>
      <c r="G156" t="s">
        <v>28</v>
      </c>
      <c r="H156" t="s">
        <v>143</v>
      </c>
      <c r="K156" t="s">
        <v>4229</v>
      </c>
      <c r="L156" t="s">
        <v>19</v>
      </c>
      <c r="M156" t="s">
        <v>63</v>
      </c>
      <c r="N156" s="2">
        <v>45323</v>
      </c>
      <c r="O156" s="2">
        <v>45351</v>
      </c>
      <c r="P156">
        <v>25000</v>
      </c>
      <c r="Q156">
        <v>25000</v>
      </c>
      <c r="R156" t="s">
        <v>2916</v>
      </c>
      <c r="S156" t="s">
        <v>2563</v>
      </c>
      <c r="T156">
        <v>131.6</v>
      </c>
    </row>
    <row r="157" spans="1:20" x14ac:dyDescent="0.25">
      <c r="A157" t="s">
        <v>14</v>
      </c>
      <c r="B157" t="s">
        <v>2562</v>
      </c>
      <c r="C157" t="s">
        <v>4376</v>
      </c>
      <c r="D157" t="s">
        <v>4377</v>
      </c>
      <c r="E157">
        <v>47300046720</v>
      </c>
      <c r="F157" t="s">
        <v>16</v>
      </c>
      <c r="G157" t="s">
        <v>28</v>
      </c>
      <c r="H157" t="s">
        <v>143</v>
      </c>
      <c r="K157" t="s">
        <v>3294</v>
      </c>
      <c r="L157" t="s">
        <v>19</v>
      </c>
      <c r="M157" t="s">
        <v>46</v>
      </c>
      <c r="N157" s="2">
        <v>45323</v>
      </c>
      <c r="O157" s="2">
        <v>45351</v>
      </c>
      <c r="P157">
        <v>500</v>
      </c>
      <c r="Q157">
        <v>500</v>
      </c>
      <c r="R157" t="s">
        <v>2916</v>
      </c>
    </row>
    <row r="158" spans="1:20" x14ac:dyDescent="0.25">
      <c r="A158" t="s">
        <v>14</v>
      </c>
      <c r="B158" t="s">
        <v>2562</v>
      </c>
      <c r="C158" t="s">
        <v>4376</v>
      </c>
      <c r="D158" t="s">
        <v>4377</v>
      </c>
      <c r="E158">
        <v>47300046720</v>
      </c>
      <c r="F158" t="s">
        <v>16</v>
      </c>
      <c r="G158" t="s">
        <v>28</v>
      </c>
      <c r="H158" t="s">
        <v>143</v>
      </c>
      <c r="K158" t="s">
        <v>2892</v>
      </c>
      <c r="L158" t="s">
        <v>19</v>
      </c>
      <c r="M158" t="s">
        <v>46</v>
      </c>
      <c r="N158" s="2">
        <v>45323</v>
      </c>
      <c r="O158" s="2">
        <v>45351</v>
      </c>
      <c r="P158">
        <v>10000</v>
      </c>
      <c r="Q158">
        <v>10000</v>
      </c>
      <c r="R158" t="s">
        <v>2916</v>
      </c>
    </row>
    <row r="159" spans="1:20" x14ac:dyDescent="0.25">
      <c r="A159" t="s">
        <v>14</v>
      </c>
      <c r="B159" t="s">
        <v>2560</v>
      </c>
      <c r="C159" t="s">
        <v>4365</v>
      </c>
      <c r="D159" t="s">
        <v>4403</v>
      </c>
      <c r="E159">
        <v>47300070522</v>
      </c>
      <c r="F159" t="s">
        <v>16</v>
      </c>
      <c r="G159" t="s">
        <v>17</v>
      </c>
      <c r="H159" t="s">
        <v>18</v>
      </c>
      <c r="K159" t="s">
        <v>4229</v>
      </c>
      <c r="L159" t="s">
        <v>19</v>
      </c>
      <c r="M159" t="s">
        <v>63</v>
      </c>
      <c r="N159" s="2">
        <v>45323</v>
      </c>
      <c r="O159" s="2">
        <v>45351</v>
      </c>
      <c r="P159">
        <v>100000</v>
      </c>
      <c r="Q159">
        <v>100000</v>
      </c>
      <c r="R159" t="s">
        <v>2917</v>
      </c>
      <c r="S159" t="s">
        <v>2561</v>
      </c>
      <c r="T159">
        <v>526.29999999999995</v>
      </c>
    </row>
    <row r="160" spans="1:20" x14ac:dyDescent="0.25">
      <c r="A160" t="s">
        <v>14</v>
      </c>
      <c r="B160" t="s">
        <v>2560</v>
      </c>
      <c r="C160" t="s">
        <v>2927</v>
      </c>
      <c r="D160" t="s">
        <v>4375</v>
      </c>
      <c r="E160">
        <v>47300070522</v>
      </c>
      <c r="F160" t="s">
        <v>16</v>
      </c>
      <c r="G160" t="s">
        <v>17</v>
      </c>
      <c r="H160" t="s">
        <v>18</v>
      </c>
      <c r="K160" t="s">
        <v>3294</v>
      </c>
      <c r="L160" t="s">
        <v>19</v>
      </c>
      <c r="M160" t="s">
        <v>46</v>
      </c>
      <c r="N160" s="2">
        <v>45323</v>
      </c>
      <c r="O160" s="2">
        <v>45351</v>
      </c>
      <c r="P160">
        <v>500</v>
      </c>
      <c r="Q160">
        <v>500</v>
      </c>
      <c r="R160" t="s">
        <v>2917</v>
      </c>
    </row>
    <row r="161" spans="1:24" x14ac:dyDescent="0.25">
      <c r="A161" t="s">
        <v>14</v>
      </c>
      <c r="B161" t="s">
        <v>2560</v>
      </c>
      <c r="C161" t="s">
        <v>4400</v>
      </c>
      <c r="D161" t="s">
        <v>4401</v>
      </c>
      <c r="E161">
        <v>47300070522</v>
      </c>
      <c r="F161" t="s">
        <v>16</v>
      </c>
      <c r="G161" t="s">
        <v>17</v>
      </c>
      <c r="H161" t="s">
        <v>18</v>
      </c>
      <c r="K161" t="s">
        <v>2892</v>
      </c>
      <c r="L161" t="s">
        <v>19</v>
      </c>
      <c r="M161" t="s">
        <v>46</v>
      </c>
      <c r="N161" s="2">
        <v>45323</v>
      </c>
      <c r="O161" s="2">
        <v>45351</v>
      </c>
      <c r="P161">
        <v>10000</v>
      </c>
      <c r="Q161">
        <v>10000</v>
      </c>
      <c r="R161" t="s">
        <v>2917</v>
      </c>
    </row>
    <row r="162" spans="1:24" x14ac:dyDescent="0.25">
      <c r="A162" t="s">
        <v>14</v>
      </c>
      <c r="B162" t="s">
        <v>2558</v>
      </c>
      <c r="C162" t="s">
        <v>4365</v>
      </c>
      <c r="D162" t="s">
        <v>4403</v>
      </c>
      <c r="E162">
        <v>47300070837</v>
      </c>
      <c r="F162" t="s">
        <v>16</v>
      </c>
      <c r="G162" t="s">
        <v>23</v>
      </c>
      <c r="H162" t="s">
        <v>165</v>
      </c>
      <c r="K162" t="s">
        <v>4229</v>
      </c>
      <c r="L162" t="s">
        <v>19</v>
      </c>
      <c r="M162" t="s">
        <v>63</v>
      </c>
      <c r="N162" s="2">
        <v>45323</v>
      </c>
      <c r="O162" s="2">
        <v>45351</v>
      </c>
      <c r="P162">
        <v>80000</v>
      </c>
      <c r="Q162">
        <v>80000</v>
      </c>
      <c r="R162" t="s">
        <v>3200</v>
      </c>
      <c r="S162" t="s">
        <v>2559</v>
      </c>
      <c r="T162">
        <v>421.1</v>
      </c>
    </row>
    <row r="163" spans="1:24" x14ac:dyDescent="0.25">
      <c r="A163" t="s">
        <v>14</v>
      </c>
      <c r="B163" t="s">
        <v>2558</v>
      </c>
      <c r="C163" t="s">
        <v>2927</v>
      </c>
      <c r="D163" t="s">
        <v>4375</v>
      </c>
      <c r="E163">
        <v>47300070837</v>
      </c>
      <c r="F163" t="s">
        <v>16</v>
      </c>
      <c r="G163" t="s">
        <v>23</v>
      </c>
      <c r="H163" t="s">
        <v>165</v>
      </c>
      <c r="K163" t="s">
        <v>3294</v>
      </c>
      <c r="L163" t="s">
        <v>19</v>
      </c>
      <c r="M163" t="s">
        <v>46</v>
      </c>
      <c r="N163" s="2">
        <v>45323</v>
      </c>
      <c r="O163" s="2">
        <v>45351</v>
      </c>
      <c r="P163">
        <v>500</v>
      </c>
      <c r="Q163">
        <v>500</v>
      </c>
      <c r="R163" t="s">
        <v>3200</v>
      </c>
    </row>
    <row r="164" spans="1:24" x14ac:dyDescent="0.25">
      <c r="A164" t="s">
        <v>14</v>
      </c>
      <c r="B164" t="s">
        <v>2558</v>
      </c>
      <c r="C164" t="s">
        <v>4400</v>
      </c>
      <c r="D164" t="s">
        <v>4401</v>
      </c>
      <c r="E164">
        <v>47300070837</v>
      </c>
      <c r="F164" t="s">
        <v>16</v>
      </c>
      <c r="G164" t="s">
        <v>23</v>
      </c>
      <c r="H164" t="s">
        <v>165</v>
      </c>
      <c r="K164" t="s">
        <v>3197</v>
      </c>
      <c r="L164" t="s">
        <v>19</v>
      </c>
      <c r="M164" t="s">
        <v>46</v>
      </c>
      <c r="N164" s="2">
        <v>45323</v>
      </c>
      <c r="O164" s="2">
        <v>45351</v>
      </c>
      <c r="P164">
        <v>145500</v>
      </c>
      <c r="Q164">
        <v>145500</v>
      </c>
      <c r="R164" t="s">
        <v>3200</v>
      </c>
    </row>
    <row r="165" spans="1:24" x14ac:dyDescent="0.25">
      <c r="A165" t="s">
        <v>14</v>
      </c>
      <c r="B165" t="s">
        <v>2556</v>
      </c>
      <c r="C165" t="s">
        <v>2927</v>
      </c>
      <c r="D165" t="s">
        <v>4375</v>
      </c>
      <c r="E165">
        <v>47300070654</v>
      </c>
      <c r="F165" t="s">
        <v>16</v>
      </c>
      <c r="G165" t="s">
        <v>28</v>
      </c>
      <c r="H165" t="s">
        <v>217</v>
      </c>
      <c r="K165" t="s">
        <v>4229</v>
      </c>
      <c r="L165" t="s">
        <v>19</v>
      </c>
      <c r="M165" t="s">
        <v>63</v>
      </c>
      <c r="N165" s="2">
        <v>45323</v>
      </c>
      <c r="O165" s="2">
        <v>45351</v>
      </c>
      <c r="P165">
        <v>20000</v>
      </c>
      <c r="Q165">
        <v>20000</v>
      </c>
      <c r="R165" t="s">
        <v>3329</v>
      </c>
      <c r="S165" t="s">
        <v>2557</v>
      </c>
      <c r="T165">
        <v>105.3</v>
      </c>
    </row>
    <row r="166" spans="1:24" x14ac:dyDescent="0.25">
      <c r="A166" t="s">
        <v>14</v>
      </c>
      <c r="B166" t="s">
        <v>2556</v>
      </c>
      <c r="C166" t="s">
        <v>4400</v>
      </c>
      <c r="D166" t="s">
        <v>4401</v>
      </c>
      <c r="E166">
        <v>47300070654</v>
      </c>
      <c r="F166" t="s">
        <v>16</v>
      </c>
      <c r="G166" t="s">
        <v>28</v>
      </c>
      <c r="H166" t="s">
        <v>217</v>
      </c>
      <c r="K166" t="s">
        <v>3294</v>
      </c>
      <c r="L166" t="s">
        <v>19</v>
      </c>
      <c r="M166" t="s">
        <v>46</v>
      </c>
      <c r="N166" s="2">
        <v>45323</v>
      </c>
      <c r="O166" s="2">
        <v>45351</v>
      </c>
      <c r="P166">
        <v>500</v>
      </c>
      <c r="Q166">
        <v>500</v>
      </c>
      <c r="R166" t="s">
        <v>3329</v>
      </c>
    </row>
    <row r="167" spans="1:24" x14ac:dyDescent="0.25">
      <c r="A167" t="s">
        <v>14</v>
      </c>
      <c r="B167" t="s">
        <v>2555</v>
      </c>
      <c r="C167" t="s">
        <v>4402</v>
      </c>
      <c r="D167" t="s">
        <v>4379</v>
      </c>
      <c r="E167">
        <v>47300070597</v>
      </c>
      <c r="F167" t="s">
        <v>16</v>
      </c>
      <c r="G167" t="s">
        <v>28</v>
      </c>
      <c r="H167" t="s">
        <v>77</v>
      </c>
      <c r="K167" t="s">
        <v>3294</v>
      </c>
      <c r="L167" t="s">
        <v>19</v>
      </c>
      <c r="M167" t="s">
        <v>46</v>
      </c>
      <c r="N167" s="2">
        <v>45323</v>
      </c>
      <c r="O167" s="2">
        <v>45351</v>
      </c>
      <c r="P167">
        <v>500</v>
      </c>
      <c r="Q167">
        <v>500</v>
      </c>
      <c r="R167" t="s">
        <v>3330</v>
      </c>
    </row>
    <row r="168" spans="1:24" x14ac:dyDescent="0.25">
      <c r="A168" t="s">
        <v>14</v>
      </c>
      <c r="B168" t="s">
        <v>2554</v>
      </c>
      <c r="C168" t="s">
        <v>4417</v>
      </c>
      <c r="D168" t="s">
        <v>4397</v>
      </c>
      <c r="E168">
        <v>47300047280</v>
      </c>
      <c r="F168" t="s">
        <v>16</v>
      </c>
      <c r="G168" t="s">
        <v>28</v>
      </c>
      <c r="H168" t="s">
        <v>274</v>
      </c>
      <c r="K168" t="s">
        <v>3287</v>
      </c>
      <c r="L168" t="s">
        <v>47</v>
      </c>
      <c r="N168" s="2">
        <v>45292</v>
      </c>
      <c r="O168" s="2">
        <v>45322</v>
      </c>
      <c r="P168">
        <v>500</v>
      </c>
      <c r="Q168">
        <v>500</v>
      </c>
      <c r="R168" t="s">
        <v>3288</v>
      </c>
    </row>
    <row r="169" spans="1:24" x14ac:dyDescent="0.25">
      <c r="A169" t="s">
        <v>14</v>
      </c>
      <c r="B169" t="s">
        <v>2552</v>
      </c>
      <c r="C169" t="s">
        <v>4369</v>
      </c>
      <c r="D169" t="s">
        <v>4370</v>
      </c>
      <c r="E169">
        <v>47300086445</v>
      </c>
      <c r="F169" t="s">
        <v>16</v>
      </c>
      <c r="G169" t="s">
        <v>28</v>
      </c>
      <c r="H169" t="s">
        <v>187</v>
      </c>
      <c r="I169" t="s">
        <v>2777</v>
      </c>
      <c r="J169" t="s">
        <v>2776</v>
      </c>
      <c r="K169" t="s">
        <v>3557</v>
      </c>
      <c r="L169" t="s">
        <v>19</v>
      </c>
      <c r="M169" t="s">
        <v>20</v>
      </c>
      <c r="P169">
        <v>20000</v>
      </c>
      <c r="Q169">
        <v>20000</v>
      </c>
      <c r="R169" t="s">
        <v>3571</v>
      </c>
      <c r="S169" t="s">
        <v>2553</v>
      </c>
      <c r="T169">
        <v>92.6</v>
      </c>
    </row>
    <row r="170" spans="1:24" x14ac:dyDescent="0.25">
      <c r="A170" t="s">
        <v>14</v>
      </c>
      <c r="B170" t="s">
        <v>2550</v>
      </c>
      <c r="C170" t="s">
        <v>4386</v>
      </c>
      <c r="D170" t="s">
        <v>4368</v>
      </c>
      <c r="E170">
        <v>47300070571</v>
      </c>
      <c r="F170" t="s">
        <v>42</v>
      </c>
      <c r="G170" t="s">
        <v>28</v>
      </c>
      <c r="H170" t="s">
        <v>72</v>
      </c>
      <c r="K170" t="s">
        <v>4229</v>
      </c>
      <c r="L170" t="s">
        <v>19</v>
      </c>
      <c r="M170" t="s">
        <v>63</v>
      </c>
      <c r="N170" s="2">
        <v>45323</v>
      </c>
      <c r="O170" s="2">
        <v>45351</v>
      </c>
      <c r="P170">
        <v>70000</v>
      </c>
      <c r="Q170">
        <v>70000</v>
      </c>
      <c r="R170" t="s">
        <v>3331</v>
      </c>
      <c r="S170" t="s">
        <v>2551</v>
      </c>
      <c r="T170">
        <v>324.10000000000002</v>
      </c>
    </row>
    <row r="171" spans="1:24" x14ac:dyDescent="0.25">
      <c r="A171" t="s">
        <v>14</v>
      </c>
      <c r="B171" t="s">
        <v>2550</v>
      </c>
      <c r="C171" t="s">
        <v>4389</v>
      </c>
      <c r="D171" t="s">
        <v>4390</v>
      </c>
      <c r="E171">
        <v>47300070571</v>
      </c>
      <c r="F171" t="s">
        <v>42</v>
      </c>
      <c r="G171" t="s">
        <v>28</v>
      </c>
      <c r="H171" t="s">
        <v>72</v>
      </c>
      <c r="K171" t="s">
        <v>3294</v>
      </c>
      <c r="L171" t="s">
        <v>19</v>
      </c>
      <c r="M171" t="s">
        <v>46</v>
      </c>
      <c r="N171" s="2">
        <v>45323</v>
      </c>
      <c r="O171" s="2">
        <v>45351</v>
      </c>
      <c r="P171">
        <v>500</v>
      </c>
      <c r="Q171">
        <v>500</v>
      </c>
      <c r="R171" t="s">
        <v>3331</v>
      </c>
    </row>
    <row r="172" spans="1:24" x14ac:dyDescent="0.25">
      <c r="A172" t="s">
        <v>14</v>
      </c>
      <c r="B172" t="s">
        <v>2548</v>
      </c>
      <c r="C172" t="s">
        <v>4386</v>
      </c>
      <c r="D172" t="s">
        <v>4368</v>
      </c>
      <c r="E172">
        <v>47300025708</v>
      </c>
      <c r="F172" t="s">
        <v>35</v>
      </c>
      <c r="G172" t="s">
        <v>36</v>
      </c>
      <c r="H172" t="s">
        <v>4360</v>
      </c>
      <c r="K172" t="s">
        <v>3557</v>
      </c>
      <c r="L172" t="s">
        <v>19</v>
      </c>
      <c r="M172" t="s">
        <v>20</v>
      </c>
      <c r="P172">
        <v>50000</v>
      </c>
      <c r="Q172">
        <v>50000</v>
      </c>
      <c r="R172" t="s">
        <v>3572</v>
      </c>
      <c r="S172" t="s">
        <v>2549</v>
      </c>
      <c r="T172">
        <v>231.4</v>
      </c>
    </row>
    <row r="173" spans="1:24" x14ac:dyDescent="0.25">
      <c r="A173" t="s">
        <v>14</v>
      </c>
      <c r="B173" t="s">
        <v>2546</v>
      </c>
      <c r="C173" t="s">
        <v>4389</v>
      </c>
      <c r="D173" t="s">
        <v>4390</v>
      </c>
      <c r="E173">
        <v>47300025690</v>
      </c>
      <c r="F173" t="s">
        <v>35</v>
      </c>
      <c r="G173" t="s">
        <v>36</v>
      </c>
      <c r="H173" t="s">
        <v>37</v>
      </c>
      <c r="K173" t="s">
        <v>4229</v>
      </c>
      <c r="L173" t="s">
        <v>19</v>
      </c>
      <c r="M173" t="s">
        <v>63</v>
      </c>
      <c r="N173" s="2">
        <v>45323</v>
      </c>
      <c r="O173" s="2">
        <v>45351</v>
      </c>
      <c r="P173">
        <v>50000</v>
      </c>
      <c r="Q173">
        <v>50000</v>
      </c>
      <c r="R173" t="s">
        <v>3332</v>
      </c>
      <c r="S173" t="s">
        <v>2547</v>
      </c>
      <c r="T173">
        <v>231.4</v>
      </c>
    </row>
    <row r="174" spans="1:24" x14ac:dyDescent="0.25">
      <c r="A174" t="s">
        <v>14</v>
      </c>
      <c r="B174" t="s">
        <v>2546</v>
      </c>
      <c r="C174" t="s">
        <v>4371</v>
      </c>
      <c r="D174" t="s">
        <v>4368</v>
      </c>
      <c r="E174">
        <v>47300025690</v>
      </c>
      <c r="F174" t="s">
        <v>35</v>
      </c>
      <c r="G174" t="s">
        <v>36</v>
      </c>
      <c r="H174" t="s">
        <v>37</v>
      </c>
      <c r="K174" t="s">
        <v>3294</v>
      </c>
      <c r="L174" t="s">
        <v>19</v>
      </c>
      <c r="M174" t="s">
        <v>46</v>
      </c>
      <c r="N174" s="2">
        <v>45323</v>
      </c>
      <c r="O174" s="2">
        <v>45351</v>
      </c>
      <c r="P174">
        <v>500</v>
      </c>
      <c r="Q174">
        <v>500</v>
      </c>
      <c r="R174" t="s">
        <v>3332</v>
      </c>
    </row>
    <row r="175" spans="1:24" x14ac:dyDescent="0.25">
      <c r="A175" t="s">
        <v>14</v>
      </c>
      <c r="B175" t="s">
        <v>2544</v>
      </c>
      <c r="C175" t="s">
        <v>4389</v>
      </c>
      <c r="D175" t="s">
        <v>4375</v>
      </c>
      <c r="E175">
        <v>47300088318</v>
      </c>
      <c r="F175" t="s">
        <v>35</v>
      </c>
      <c r="G175" t="s">
        <v>36</v>
      </c>
      <c r="H175" t="s">
        <v>1126</v>
      </c>
      <c r="K175" t="s">
        <v>4229</v>
      </c>
      <c r="L175" t="s">
        <v>19</v>
      </c>
      <c r="M175" t="s">
        <v>63</v>
      </c>
      <c r="N175" s="2">
        <v>45323</v>
      </c>
      <c r="O175" s="2">
        <v>45351</v>
      </c>
      <c r="P175">
        <v>15000</v>
      </c>
      <c r="Q175">
        <v>15000</v>
      </c>
      <c r="R175" t="s">
        <v>3333</v>
      </c>
      <c r="S175" t="s">
        <v>2545</v>
      </c>
      <c r="T175">
        <v>69.400000000000006</v>
      </c>
    </row>
    <row r="176" spans="1:24" x14ac:dyDescent="0.25">
      <c r="A176" t="s">
        <v>14</v>
      </c>
      <c r="B176" t="s">
        <v>2544</v>
      </c>
      <c r="C176" t="s">
        <v>4404</v>
      </c>
      <c r="D176" t="s">
        <v>2893</v>
      </c>
      <c r="E176">
        <v>47300088318</v>
      </c>
      <c r="F176" t="s">
        <v>35</v>
      </c>
      <c r="G176" t="s">
        <v>36</v>
      </c>
      <c r="H176" t="s">
        <v>1126</v>
      </c>
      <c r="K176" t="s">
        <v>3294</v>
      </c>
      <c r="L176" t="s">
        <v>19</v>
      </c>
      <c r="M176" t="s">
        <v>46</v>
      </c>
      <c r="N176" s="2">
        <v>45323</v>
      </c>
      <c r="O176" s="2">
        <v>45351</v>
      </c>
      <c r="P176">
        <v>500</v>
      </c>
      <c r="Q176">
        <v>500</v>
      </c>
      <c r="R176" t="s">
        <v>3333</v>
      </c>
      <c r="X176" t="s">
        <v>3275</v>
      </c>
    </row>
    <row r="177" spans="1:24" x14ac:dyDescent="0.25">
      <c r="A177" t="s">
        <v>14</v>
      </c>
      <c r="B177" t="s">
        <v>2542</v>
      </c>
      <c r="C177" t="s">
        <v>4411</v>
      </c>
      <c r="D177" t="s">
        <v>3275</v>
      </c>
      <c r="E177">
        <v>47300088367</v>
      </c>
      <c r="F177" t="s">
        <v>35</v>
      </c>
      <c r="G177" t="s">
        <v>36</v>
      </c>
      <c r="H177" t="s">
        <v>654</v>
      </c>
      <c r="K177" t="s">
        <v>4229</v>
      </c>
      <c r="L177" t="s">
        <v>19</v>
      </c>
      <c r="M177" t="s">
        <v>63</v>
      </c>
      <c r="N177" s="2">
        <v>45323</v>
      </c>
      <c r="O177" s="2">
        <v>45351</v>
      </c>
      <c r="P177">
        <v>10000</v>
      </c>
      <c r="Q177">
        <v>10000</v>
      </c>
      <c r="R177" t="s">
        <v>3334</v>
      </c>
      <c r="S177" t="s">
        <v>2543</v>
      </c>
      <c r="T177">
        <v>46.3</v>
      </c>
    </row>
    <row r="178" spans="1:24" x14ac:dyDescent="0.25">
      <c r="A178" t="s">
        <v>14</v>
      </c>
      <c r="B178" t="s">
        <v>2542</v>
      </c>
      <c r="C178" t="s">
        <v>4389</v>
      </c>
      <c r="D178" t="s">
        <v>4375</v>
      </c>
      <c r="E178">
        <v>47300088367</v>
      </c>
      <c r="F178" t="s">
        <v>35</v>
      </c>
      <c r="G178" t="s">
        <v>36</v>
      </c>
      <c r="H178" t="s">
        <v>654</v>
      </c>
      <c r="K178" t="s">
        <v>3294</v>
      </c>
      <c r="L178" t="s">
        <v>19</v>
      </c>
      <c r="M178" t="s">
        <v>46</v>
      </c>
      <c r="N178" s="2">
        <v>45323</v>
      </c>
      <c r="O178" s="2">
        <v>45351</v>
      </c>
      <c r="P178">
        <v>500</v>
      </c>
      <c r="Q178">
        <v>500</v>
      </c>
      <c r="R178" t="s">
        <v>3334</v>
      </c>
    </row>
    <row r="179" spans="1:24" x14ac:dyDescent="0.25">
      <c r="A179" t="s">
        <v>14</v>
      </c>
      <c r="B179" t="s">
        <v>2540</v>
      </c>
      <c r="C179" t="s">
        <v>4404</v>
      </c>
      <c r="D179" t="s">
        <v>2893</v>
      </c>
      <c r="E179">
        <v>47300070514</v>
      </c>
      <c r="F179" t="s">
        <v>27</v>
      </c>
      <c r="G179" t="s">
        <v>28</v>
      </c>
      <c r="H179" t="s">
        <v>29</v>
      </c>
      <c r="K179" t="s">
        <v>4229</v>
      </c>
      <c r="L179" t="s">
        <v>19</v>
      </c>
      <c r="M179" t="s">
        <v>63</v>
      </c>
      <c r="N179" s="2">
        <v>45323</v>
      </c>
      <c r="O179" s="2">
        <v>45351</v>
      </c>
      <c r="P179">
        <v>100000</v>
      </c>
      <c r="Q179">
        <v>100000</v>
      </c>
      <c r="R179" t="s">
        <v>2918</v>
      </c>
      <c r="S179" t="s">
        <v>2541</v>
      </c>
      <c r="T179">
        <v>463</v>
      </c>
      <c r="X179" t="s">
        <v>3275</v>
      </c>
    </row>
    <row r="180" spans="1:24" x14ac:dyDescent="0.25">
      <c r="A180" t="s">
        <v>14</v>
      </c>
      <c r="B180" t="s">
        <v>2540</v>
      </c>
      <c r="C180" t="s">
        <v>4411</v>
      </c>
      <c r="D180" t="s">
        <v>3275</v>
      </c>
      <c r="E180">
        <v>47300070514</v>
      </c>
      <c r="F180" t="s">
        <v>27</v>
      </c>
      <c r="G180" t="s">
        <v>28</v>
      </c>
      <c r="H180" t="s">
        <v>29</v>
      </c>
      <c r="K180" t="s">
        <v>3294</v>
      </c>
      <c r="L180" t="s">
        <v>19</v>
      </c>
      <c r="M180" t="s">
        <v>46</v>
      </c>
      <c r="N180" s="2">
        <v>45323</v>
      </c>
      <c r="O180" s="2">
        <v>45351</v>
      </c>
      <c r="P180">
        <v>500</v>
      </c>
      <c r="Q180">
        <v>500</v>
      </c>
      <c r="R180" t="s">
        <v>2918</v>
      </c>
    </row>
    <row r="181" spans="1:24" x14ac:dyDescent="0.25">
      <c r="A181" t="s">
        <v>14</v>
      </c>
      <c r="B181" t="s">
        <v>2540</v>
      </c>
      <c r="C181" t="s">
        <v>4389</v>
      </c>
      <c r="D181" t="s">
        <v>4375</v>
      </c>
      <c r="E181">
        <v>47300070514</v>
      </c>
      <c r="F181" t="s">
        <v>27</v>
      </c>
      <c r="G181" t="s">
        <v>28</v>
      </c>
      <c r="H181" t="s">
        <v>29</v>
      </c>
      <c r="K181" t="s">
        <v>3197</v>
      </c>
      <c r="L181" t="s">
        <v>19</v>
      </c>
      <c r="M181" t="s">
        <v>46</v>
      </c>
      <c r="N181" s="2">
        <v>45323</v>
      </c>
      <c r="O181" s="2">
        <v>45351</v>
      </c>
      <c r="P181">
        <v>145500</v>
      </c>
      <c r="Q181">
        <v>145500</v>
      </c>
      <c r="R181" t="s">
        <v>2918</v>
      </c>
    </row>
    <row r="182" spans="1:24" x14ac:dyDescent="0.25">
      <c r="A182" t="s">
        <v>14</v>
      </c>
      <c r="B182" t="s">
        <v>2540</v>
      </c>
      <c r="C182" t="s">
        <v>4389</v>
      </c>
      <c r="D182" t="s">
        <v>4375</v>
      </c>
      <c r="E182">
        <v>47300070514</v>
      </c>
      <c r="F182" t="s">
        <v>27</v>
      </c>
      <c r="G182" t="s">
        <v>28</v>
      </c>
      <c r="H182" t="s">
        <v>29</v>
      </c>
      <c r="K182" t="s">
        <v>2892</v>
      </c>
      <c r="L182" t="s">
        <v>19</v>
      </c>
      <c r="M182" t="s">
        <v>46</v>
      </c>
      <c r="N182" s="2">
        <v>45323</v>
      </c>
      <c r="O182" s="2">
        <v>45351</v>
      </c>
      <c r="P182">
        <v>10000</v>
      </c>
      <c r="Q182">
        <v>10000</v>
      </c>
      <c r="R182" t="s">
        <v>2918</v>
      </c>
    </row>
    <row r="183" spans="1:24" x14ac:dyDescent="0.25">
      <c r="A183" t="s">
        <v>14</v>
      </c>
      <c r="B183" t="s">
        <v>2538</v>
      </c>
      <c r="C183" t="s">
        <v>4414</v>
      </c>
      <c r="D183" t="s">
        <v>4401</v>
      </c>
      <c r="E183">
        <v>47300046746</v>
      </c>
      <c r="F183" t="s">
        <v>16</v>
      </c>
      <c r="G183" t="s">
        <v>28</v>
      </c>
      <c r="H183" t="s">
        <v>32</v>
      </c>
      <c r="K183" t="s">
        <v>4229</v>
      </c>
      <c r="L183" t="s">
        <v>19</v>
      </c>
      <c r="M183" t="s">
        <v>63</v>
      </c>
      <c r="N183" s="2">
        <v>45323</v>
      </c>
      <c r="O183" s="2">
        <v>45351</v>
      </c>
      <c r="P183">
        <v>10000</v>
      </c>
      <c r="Q183">
        <v>10000</v>
      </c>
      <c r="R183" t="s">
        <v>2919</v>
      </c>
      <c r="S183" t="s">
        <v>2539</v>
      </c>
      <c r="T183">
        <v>46.3</v>
      </c>
    </row>
    <row r="184" spans="1:24" x14ac:dyDescent="0.25">
      <c r="A184" t="s">
        <v>14</v>
      </c>
      <c r="B184" t="s">
        <v>2538</v>
      </c>
      <c r="C184" t="s">
        <v>4414</v>
      </c>
      <c r="D184" t="s">
        <v>4401</v>
      </c>
      <c r="E184">
        <v>47300046746</v>
      </c>
      <c r="F184" t="s">
        <v>16</v>
      </c>
      <c r="G184" t="s">
        <v>28</v>
      </c>
      <c r="H184" t="s">
        <v>32</v>
      </c>
      <c r="K184" t="s">
        <v>3294</v>
      </c>
      <c r="L184" t="s">
        <v>19</v>
      </c>
      <c r="M184" t="s">
        <v>46</v>
      </c>
      <c r="N184" s="2">
        <v>45323</v>
      </c>
      <c r="O184" s="2">
        <v>45351</v>
      </c>
      <c r="P184">
        <v>500</v>
      </c>
      <c r="Q184">
        <v>500</v>
      </c>
      <c r="R184" t="s">
        <v>2919</v>
      </c>
    </row>
    <row r="185" spans="1:24" x14ac:dyDescent="0.25">
      <c r="A185" t="s">
        <v>14</v>
      </c>
      <c r="B185" t="s">
        <v>2538</v>
      </c>
      <c r="C185" t="s">
        <v>4414</v>
      </c>
      <c r="D185" t="s">
        <v>4401</v>
      </c>
      <c r="E185">
        <v>47300046746</v>
      </c>
      <c r="F185" t="s">
        <v>16</v>
      </c>
      <c r="G185" t="s">
        <v>28</v>
      </c>
      <c r="H185" t="s">
        <v>32</v>
      </c>
      <c r="K185" t="s">
        <v>2892</v>
      </c>
      <c r="L185" t="s">
        <v>19</v>
      </c>
      <c r="M185" t="s">
        <v>46</v>
      </c>
      <c r="N185" s="2">
        <v>45323</v>
      </c>
      <c r="O185" s="2">
        <v>45351</v>
      </c>
      <c r="P185">
        <v>10000</v>
      </c>
      <c r="Q185">
        <v>10000</v>
      </c>
      <c r="R185" t="s">
        <v>2919</v>
      </c>
    </row>
    <row r="186" spans="1:24" x14ac:dyDescent="0.25">
      <c r="A186" t="s">
        <v>14</v>
      </c>
      <c r="B186" t="s">
        <v>2536</v>
      </c>
      <c r="C186" t="s">
        <v>4396</v>
      </c>
      <c r="D186" t="s">
        <v>4397</v>
      </c>
      <c r="E186">
        <v>47300046688</v>
      </c>
      <c r="F186" t="s">
        <v>16</v>
      </c>
      <c r="G186" t="s">
        <v>17</v>
      </c>
      <c r="H186" t="s">
        <v>154</v>
      </c>
      <c r="K186" t="s">
        <v>4229</v>
      </c>
      <c r="L186" t="s">
        <v>19</v>
      </c>
      <c r="M186" t="s">
        <v>63</v>
      </c>
      <c r="N186" s="2">
        <v>45323</v>
      </c>
      <c r="O186" s="2">
        <v>45351</v>
      </c>
      <c r="P186">
        <v>20000</v>
      </c>
      <c r="Q186">
        <v>20000</v>
      </c>
      <c r="R186" t="s">
        <v>3335</v>
      </c>
      <c r="S186" t="s">
        <v>2537</v>
      </c>
      <c r="T186">
        <v>92.6</v>
      </c>
    </row>
    <row r="187" spans="1:24" x14ac:dyDescent="0.25">
      <c r="A187" t="s">
        <v>14</v>
      </c>
      <c r="B187" t="s">
        <v>2536</v>
      </c>
      <c r="C187" t="s">
        <v>4406</v>
      </c>
      <c r="D187" t="s">
        <v>4394</v>
      </c>
      <c r="E187">
        <v>47300046688</v>
      </c>
      <c r="F187" t="s">
        <v>16</v>
      </c>
      <c r="G187" t="s">
        <v>17</v>
      </c>
      <c r="H187" t="s">
        <v>154</v>
      </c>
      <c r="K187" t="s">
        <v>3294</v>
      </c>
      <c r="L187" t="s">
        <v>19</v>
      </c>
      <c r="M187" t="s">
        <v>46</v>
      </c>
      <c r="N187" s="2">
        <v>45323</v>
      </c>
      <c r="O187" s="2">
        <v>45351</v>
      </c>
      <c r="P187">
        <v>500</v>
      </c>
      <c r="Q187">
        <v>500</v>
      </c>
      <c r="R187" t="s">
        <v>3335</v>
      </c>
    </row>
    <row r="188" spans="1:24" x14ac:dyDescent="0.25">
      <c r="A188" t="s">
        <v>14</v>
      </c>
      <c r="B188" t="s">
        <v>2534</v>
      </c>
      <c r="C188" t="s">
        <v>4382</v>
      </c>
      <c r="D188" t="s">
        <v>4383</v>
      </c>
      <c r="E188">
        <v>47300046241</v>
      </c>
      <c r="F188" t="s">
        <v>16</v>
      </c>
      <c r="G188" t="s">
        <v>23</v>
      </c>
      <c r="H188" t="s">
        <v>24</v>
      </c>
      <c r="I188" t="s">
        <v>2754</v>
      </c>
      <c r="J188">
        <v>0</v>
      </c>
      <c r="K188" t="s">
        <v>3557</v>
      </c>
      <c r="L188" t="s">
        <v>19</v>
      </c>
      <c r="M188" t="s">
        <v>20</v>
      </c>
      <c r="P188">
        <v>10000</v>
      </c>
      <c r="Q188">
        <v>10000</v>
      </c>
      <c r="R188" t="s">
        <v>3573</v>
      </c>
      <c r="S188" t="s">
        <v>2535</v>
      </c>
      <c r="T188">
        <v>46.3</v>
      </c>
    </row>
    <row r="189" spans="1:24" x14ac:dyDescent="0.25">
      <c r="A189" t="s">
        <v>14</v>
      </c>
      <c r="B189" t="s">
        <v>2532</v>
      </c>
      <c r="C189" t="s">
        <v>4396</v>
      </c>
      <c r="D189" t="s">
        <v>4397</v>
      </c>
      <c r="E189">
        <v>47300046662</v>
      </c>
      <c r="F189" t="s">
        <v>16</v>
      </c>
      <c r="G189" t="s">
        <v>28</v>
      </c>
      <c r="H189" t="s">
        <v>129</v>
      </c>
      <c r="K189" t="s">
        <v>4229</v>
      </c>
      <c r="L189" t="s">
        <v>19</v>
      </c>
      <c r="M189" t="s">
        <v>63</v>
      </c>
      <c r="N189" s="2">
        <v>45323</v>
      </c>
      <c r="O189" s="2">
        <v>45351</v>
      </c>
      <c r="P189">
        <v>30000</v>
      </c>
      <c r="Q189">
        <v>30000</v>
      </c>
      <c r="R189" t="s">
        <v>2920</v>
      </c>
      <c r="S189" t="s">
        <v>2533</v>
      </c>
      <c r="T189">
        <v>138.9</v>
      </c>
    </row>
    <row r="190" spans="1:24" x14ac:dyDescent="0.25">
      <c r="A190" t="s">
        <v>14</v>
      </c>
      <c r="B190" t="s">
        <v>2532</v>
      </c>
      <c r="C190" t="s">
        <v>4406</v>
      </c>
      <c r="D190" t="s">
        <v>4394</v>
      </c>
      <c r="E190">
        <v>47300046662</v>
      </c>
      <c r="F190" t="s">
        <v>16</v>
      </c>
      <c r="G190" t="s">
        <v>28</v>
      </c>
      <c r="H190" t="s">
        <v>129</v>
      </c>
      <c r="K190" t="s">
        <v>3294</v>
      </c>
      <c r="L190" t="s">
        <v>19</v>
      </c>
      <c r="M190" t="s">
        <v>46</v>
      </c>
      <c r="N190" s="2">
        <v>45323</v>
      </c>
      <c r="O190" s="2">
        <v>45351</v>
      </c>
      <c r="P190">
        <v>500</v>
      </c>
      <c r="Q190">
        <v>500</v>
      </c>
      <c r="R190" t="s">
        <v>2920</v>
      </c>
    </row>
    <row r="191" spans="1:24" x14ac:dyDescent="0.25">
      <c r="A191" t="s">
        <v>14</v>
      </c>
      <c r="B191" t="s">
        <v>2532</v>
      </c>
      <c r="C191" t="s">
        <v>4369</v>
      </c>
      <c r="D191" t="s">
        <v>4370</v>
      </c>
      <c r="E191">
        <v>47300046662</v>
      </c>
      <c r="F191" t="s">
        <v>16</v>
      </c>
      <c r="G191" t="s">
        <v>28</v>
      </c>
      <c r="H191" t="s">
        <v>129</v>
      </c>
      <c r="K191" t="s">
        <v>2892</v>
      </c>
      <c r="L191" t="s">
        <v>19</v>
      </c>
      <c r="M191" t="s">
        <v>46</v>
      </c>
      <c r="N191" s="2">
        <v>45323</v>
      </c>
      <c r="O191" s="2">
        <v>45351</v>
      </c>
      <c r="P191">
        <v>10000</v>
      </c>
      <c r="Q191">
        <v>10000</v>
      </c>
      <c r="R191" t="s">
        <v>2920</v>
      </c>
    </row>
    <row r="192" spans="1:24" x14ac:dyDescent="0.25">
      <c r="A192" t="s">
        <v>14</v>
      </c>
      <c r="B192" t="s">
        <v>2530</v>
      </c>
      <c r="C192" t="s">
        <v>4376</v>
      </c>
      <c r="D192" t="s">
        <v>4377</v>
      </c>
      <c r="E192">
        <v>47300047066</v>
      </c>
      <c r="F192" t="s">
        <v>16</v>
      </c>
      <c r="G192" t="s">
        <v>28</v>
      </c>
      <c r="H192" t="s">
        <v>57</v>
      </c>
      <c r="K192" t="s">
        <v>4229</v>
      </c>
      <c r="L192" t="s">
        <v>19</v>
      </c>
      <c r="M192" t="s">
        <v>63</v>
      </c>
      <c r="N192" s="2">
        <v>45323</v>
      </c>
      <c r="O192" s="2">
        <v>45351</v>
      </c>
      <c r="P192">
        <v>10000</v>
      </c>
      <c r="Q192">
        <v>10000</v>
      </c>
      <c r="R192" t="s">
        <v>4234</v>
      </c>
      <c r="S192" t="s">
        <v>2531</v>
      </c>
      <c r="T192">
        <v>46.3</v>
      </c>
    </row>
    <row r="193" spans="1:20" x14ac:dyDescent="0.25">
      <c r="A193" t="s">
        <v>14</v>
      </c>
      <c r="B193" t="s">
        <v>2528</v>
      </c>
      <c r="C193" t="s">
        <v>4394</v>
      </c>
      <c r="D193" t="s">
        <v>4395</v>
      </c>
      <c r="E193">
        <v>47300046720</v>
      </c>
      <c r="F193" t="s">
        <v>16</v>
      </c>
      <c r="G193" t="s">
        <v>28</v>
      </c>
      <c r="H193" t="s">
        <v>143</v>
      </c>
      <c r="K193" t="s">
        <v>3557</v>
      </c>
      <c r="L193" t="s">
        <v>19</v>
      </c>
      <c r="M193" t="s">
        <v>20</v>
      </c>
      <c r="P193">
        <v>23600</v>
      </c>
      <c r="Q193">
        <v>23600</v>
      </c>
      <c r="R193" t="s">
        <v>3574</v>
      </c>
      <c r="S193" t="s">
        <v>2529</v>
      </c>
      <c r="T193">
        <v>109.3</v>
      </c>
    </row>
    <row r="194" spans="1:20" x14ac:dyDescent="0.25">
      <c r="A194" t="s">
        <v>14</v>
      </c>
      <c r="B194" t="s">
        <v>2526</v>
      </c>
      <c r="C194" t="s">
        <v>4396</v>
      </c>
      <c r="D194" t="s">
        <v>4397</v>
      </c>
      <c r="E194">
        <v>47300086445</v>
      </c>
      <c r="F194" t="s">
        <v>16</v>
      </c>
      <c r="G194" t="s">
        <v>28</v>
      </c>
      <c r="H194" t="s">
        <v>187</v>
      </c>
      <c r="I194" t="s">
        <v>2777</v>
      </c>
      <c r="J194" t="s">
        <v>2776</v>
      </c>
      <c r="K194" t="s">
        <v>3557</v>
      </c>
      <c r="L194" t="s">
        <v>19</v>
      </c>
      <c r="M194" t="s">
        <v>20</v>
      </c>
      <c r="P194">
        <v>25000</v>
      </c>
      <c r="Q194">
        <v>25000</v>
      </c>
      <c r="R194" t="s">
        <v>3575</v>
      </c>
      <c r="S194" t="s">
        <v>2527</v>
      </c>
      <c r="T194">
        <v>115.7</v>
      </c>
    </row>
    <row r="195" spans="1:20" x14ac:dyDescent="0.25">
      <c r="A195" t="s">
        <v>14</v>
      </c>
      <c r="B195" t="s">
        <v>2524</v>
      </c>
      <c r="C195" t="s">
        <v>4398</v>
      </c>
      <c r="D195" t="s">
        <v>4399</v>
      </c>
      <c r="E195">
        <v>47300046779</v>
      </c>
      <c r="F195" t="s">
        <v>42</v>
      </c>
      <c r="G195" t="s">
        <v>28</v>
      </c>
      <c r="H195" t="s">
        <v>199</v>
      </c>
      <c r="K195" t="s">
        <v>4229</v>
      </c>
      <c r="L195" t="s">
        <v>19</v>
      </c>
      <c r="M195" t="s">
        <v>63</v>
      </c>
      <c r="N195" s="2">
        <v>45323</v>
      </c>
      <c r="O195" s="2">
        <v>45351</v>
      </c>
      <c r="P195">
        <v>100000</v>
      </c>
      <c r="Q195">
        <v>100000</v>
      </c>
      <c r="R195" t="s">
        <v>2921</v>
      </c>
      <c r="S195" t="s">
        <v>2525</v>
      </c>
      <c r="T195">
        <v>462.9</v>
      </c>
    </row>
    <row r="196" spans="1:20" x14ac:dyDescent="0.25">
      <c r="A196" t="s">
        <v>14</v>
      </c>
      <c r="B196" t="s">
        <v>2524</v>
      </c>
      <c r="C196" t="s">
        <v>4398</v>
      </c>
      <c r="D196" t="s">
        <v>4399</v>
      </c>
      <c r="E196">
        <v>47300046779</v>
      </c>
      <c r="F196" t="s">
        <v>42</v>
      </c>
      <c r="G196" t="s">
        <v>28</v>
      </c>
      <c r="H196" t="s">
        <v>199</v>
      </c>
      <c r="K196" t="s">
        <v>3294</v>
      </c>
      <c r="L196" t="s">
        <v>19</v>
      </c>
      <c r="M196" t="s">
        <v>46</v>
      </c>
      <c r="N196" s="2">
        <v>45323</v>
      </c>
      <c r="O196" s="2">
        <v>45351</v>
      </c>
      <c r="P196">
        <v>500</v>
      </c>
      <c r="Q196">
        <v>500</v>
      </c>
      <c r="R196" t="s">
        <v>2921</v>
      </c>
    </row>
    <row r="197" spans="1:20" x14ac:dyDescent="0.25">
      <c r="A197" t="s">
        <v>14</v>
      </c>
      <c r="B197" t="s">
        <v>2524</v>
      </c>
      <c r="C197" t="s">
        <v>4398</v>
      </c>
      <c r="D197" t="s">
        <v>4399</v>
      </c>
      <c r="E197">
        <v>47300046779</v>
      </c>
      <c r="F197" t="s">
        <v>42</v>
      </c>
      <c r="G197" t="s">
        <v>28</v>
      </c>
      <c r="H197" t="s">
        <v>199</v>
      </c>
      <c r="K197" t="s">
        <v>3197</v>
      </c>
      <c r="L197" t="s">
        <v>19</v>
      </c>
      <c r="M197" t="s">
        <v>46</v>
      </c>
      <c r="N197" s="2">
        <v>45323</v>
      </c>
      <c r="O197" s="2">
        <v>45351</v>
      </c>
      <c r="P197">
        <v>145500</v>
      </c>
      <c r="Q197">
        <v>145500</v>
      </c>
      <c r="R197" t="s">
        <v>2921</v>
      </c>
    </row>
    <row r="198" spans="1:20" x14ac:dyDescent="0.25">
      <c r="A198" t="s">
        <v>14</v>
      </c>
      <c r="B198" t="s">
        <v>2524</v>
      </c>
      <c r="C198" t="s">
        <v>2927</v>
      </c>
      <c r="D198" t="s">
        <v>4375</v>
      </c>
      <c r="E198">
        <v>47300046779</v>
      </c>
      <c r="F198" t="s">
        <v>42</v>
      </c>
      <c r="G198" t="s">
        <v>28</v>
      </c>
      <c r="H198" t="s">
        <v>199</v>
      </c>
      <c r="K198" t="s">
        <v>2892</v>
      </c>
      <c r="L198" t="s">
        <v>19</v>
      </c>
      <c r="M198" t="s">
        <v>46</v>
      </c>
      <c r="N198" s="2">
        <v>45323</v>
      </c>
      <c r="O198" s="2">
        <v>45351</v>
      </c>
      <c r="P198">
        <v>10000</v>
      </c>
      <c r="Q198">
        <v>10000</v>
      </c>
      <c r="R198" t="s">
        <v>2921</v>
      </c>
    </row>
    <row r="199" spans="1:20" x14ac:dyDescent="0.25">
      <c r="A199" t="s">
        <v>14</v>
      </c>
      <c r="B199" t="s">
        <v>2523</v>
      </c>
      <c r="C199" t="s">
        <v>4398</v>
      </c>
      <c r="D199" t="s">
        <v>4399</v>
      </c>
      <c r="E199">
        <v>47300070837</v>
      </c>
      <c r="F199" t="s">
        <v>16</v>
      </c>
      <c r="G199" t="s">
        <v>23</v>
      </c>
      <c r="H199" t="s">
        <v>165</v>
      </c>
      <c r="K199" t="s">
        <v>2810</v>
      </c>
      <c r="L199" t="s">
        <v>47</v>
      </c>
      <c r="N199" s="2">
        <v>45330</v>
      </c>
      <c r="O199" s="2">
        <v>45347</v>
      </c>
      <c r="P199">
        <v>628345.46</v>
      </c>
      <c r="Q199">
        <v>628345.46</v>
      </c>
      <c r="R199" t="s">
        <v>2809</v>
      </c>
    </row>
    <row r="200" spans="1:20" x14ac:dyDescent="0.25">
      <c r="A200" t="s">
        <v>14</v>
      </c>
      <c r="B200" t="s">
        <v>2522</v>
      </c>
      <c r="C200" t="s">
        <v>4384</v>
      </c>
      <c r="D200" t="s">
        <v>4385</v>
      </c>
      <c r="E200">
        <v>47300046647</v>
      </c>
      <c r="F200" t="s">
        <v>16</v>
      </c>
      <c r="G200" t="s">
        <v>87</v>
      </c>
      <c r="H200" t="s">
        <v>100</v>
      </c>
      <c r="K200" t="s">
        <v>2892</v>
      </c>
      <c r="L200" t="s">
        <v>19</v>
      </c>
      <c r="M200" t="s">
        <v>46</v>
      </c>
      <c r="N200" s="2">
        <v>45323</v>
      </c>
      <c r="O200" s="2">
        <v>45351</v>
      </c>
      <c r="P200">
        <v>10000</v>
      </c>
      <c r="Q200">
        <v>10000</v>
      </c>
      <c r="R200" t="s">
        <v>2922</v>
      </c>
    </row>
    <row r="201" spans="1:20" x14ac:dyDescent="0.25">
      <c r="A201" t="s">
        <v>14</v>
      </c>
      <c r="B201" t="s">
        <v>2520</v>
      </c>
      <c r="C201" t="s">
        <v>4384</v>
      </c>
      <c r="D201" t="s">
        <v>4385</v>
      </c>
      <c r="E201">
        <v>47300046647</v>
      </c>
      <c r="F201" t="s">
        <v>16</v>
      </c>
      <c r="G201" t="s">
        <v>87</v>
      </c>
      <c r="H201" t="s">
        <v>100</v>
      </c>
      <c r="K201" t="s">
        <v>4229</v>
      </c>
      <c r="L201" t="s">
        <v>19</v>
      </c>
      <c r="M201" t="s">
        <v>63</v>
      </c>
      <c r="N201" s="2">
        <v>45323</v>
      </c>
      <c r="O201" s="2">
        <v>45351</v>
      </c>
      <c r="P201">
        <v>100000</v>
      </c>
      <c r="Q201">
        <v>100000</v>
      </c>
      <c r="R201" t="s">
        <v>4235</v>
      </c>
      <c r="S201" t="s">
        <v>2521</v>
      </c>
      <c r="T201">
        <v>463</v>
      </c>
    </row>
    <row r="202" spans="1:20" x14ac:dyDescent="0.25">
      <c r="A202" t="s">
        <v>14</v>
      </c>
      <c r="B202" t="s">
        <v>2518</v>
      </c>
      <c r="C202" t="s">
        <v>4374</v>
      </c>
      <c r="D202" t="s">
        <v>4375</v>
      </c>
      <c r="E202">
        <v>47300046761</v>
      </c>
      <c r="F202" t="s">
        <v>42</v>
      </c>
      <c r="G202" t="s">
        <v>28</v>
      </c>
      <c r="H202" t="s">
        <v>43</v>
      </c>
      <c r="K202" t="s">
        <v>3557</v>
      </c>
      <c r="L202" t="s">
        <v>19</v>
      </c>
      <c r="M202" t="s">
        <v>20</v>
      </c>
      <c r="P202">
        <v>20000</v>
      </c>
      <c r="Q202">
        <v>20000</v>
      </c>
      <c r="R202" t="s">
        <v>3576</v>
      </c>
      <c r="S202" t="s">
        <v>2519</v>
      </c>
      <c r="T202">
        <v>92.6</v>
      </c>
    </row>
    <row r="203" spans="1:20" x14ac:dyDescent="0.25">
      <c r="A203" t="s">
        <v>14</v>
      </c>
      <c r="B203" t="s">
        <v>2516</v>
      </c>
      <c r="C203" t="s">
        <v>4374</v>
      </c>
      <c r="D203" t="s">
        <v>4375</v>
      </c>
      <c r="E203">
        <v>47300025708</v>
      </c>
      <c r="F203" t="s">
        <v>35</v>
      </c>
      <c r="G203" t="s">
        <v>36</v>
      </c>
      <c r="H203" t="s">
        <v>4360</v>
      </c>
      <c r="K203" t="s">
        <v>3557</v>
      </c>
      <c r="L203" t="s">
        <v>19</v>
      </c>
      <c r="M203" t="s">
        <v>20</v>
      </c>
      <c r="P203">
        <v>50000</v>
      </c>
      <c r="Q203">
        <v>50000</v>
      </c>
      <c r="R203" t="s">
        <v>3577</v>
      </c>
      <c r="S203" t="s">
        <v>2517</v>
      </c>
      <c r="T203">
        <v>231.5</v>
      </c>
    </row>
    <row r="204" spans="1:20" x14ac:dyDescent="0.25">
      <c r="A204" t="s">
        <v>14</v>
      </c>
      <c r="B204" t="s">
        <v>2514</v>
      </c>
      <c r="C204" t="s">
        <v>4387</v>
      </c>
      <c r="D204" t="s">
        <v>4388</v>
      </c>
      <c r="E204">
        <v>47300046746</v>
      </c>
      <c r="F204" t="s">
        <v>16</v>
      </c>
      <c r="G204" t="s">
        <v>28</v>
      </c>
      <c r="H204" t="s">
        <v>32</v>
      </c>
      <c r="K204" t="s">
        <v>3557</v>
      </c>
      <c r="L204" t="s">
        <v>19</v>
      </c>
      <c r="M204" t="s">
        <v>20</v>
      </c>
      <c r="P204">
        <v>20000</v>
      </c>
      <c r="Q204">
        <v>20000</v>
      </c>
      <c r="R204" t="s">
        <v>3578</v>
      </c>
      <c r="S204" t="s">
        <v>2515</v>
      </c>
      <c r="T204">
        <v>92.6</v>
      </c>
    </row>
    <row r="205" spans="1:20" x14ac:dyDescent="0.25">
      <c r="A205" t="s">
        <v>14</v>
      </c>
      <c r="B205" t="s">
        <v>2512</v>
      </c>
      <c r="C205" t="s">
        <v>4414</v>
      </c>
      <c r="D205" t="s">
        <v>4401</v>
      </c>
      <c r="E205">
        <v>47300046761</v>
      </c>
      <c r="F205" t="s">
        <v>42</v>
      </c>
      <c r="G205" t="s">
        <v>28</v>
      </c>
      <c r="H205" t="s">
        <v>43</v>
      </c>
      <c r="K205" t="s">
        <v>3557</v>
      </c>
      <c r="L205" t="s">
        <v>19</v>
      </c>
      <c r="M205" t="s">
        <v>20</v>
      </c>
      <c r="P205">
        <v>40000</v>
      </c>
      <c r="Q205">
        <v>40000</v>
      </c>
      <c r="R205" t="s">
        <v>3579</v>
      </c>
      <c r="S205" t="s">
        <v>2513</v>
      </c>
      <c r="T205">
        <v>185.2</v>
      </c>
    </row>
    <row r="206" spans="1:20" x14ac:dyDescent="0.25">
      <c r="A206" t="s">
        <v>14</v>
      </c>
      <c r="B206" t="s">
        <v>2510</v>
      </c>
      <c r="C206" t="s">
        <v>4371</v>
      </c>
      <c r="D206" t="s">
        <v>4368</v>
      </c>
      <c r="E206">
        <v>47300070795</v>
      </c>
      <c r="F206" t="s">
        <v>16</v>
      </c>
      <c r="G206" t="s">
        <v>87</v>
      </c>
      <c r="H206" t="s">
        <v>88</v>
      </c>
      <c r="K206" t="s">
        <v>4229</v>
      </c>
      <c r="L206" t="s">
        <v>19</v>
      </c>
      <c r="M206" t="s">
        <v>63</v>
      </c>
      <c r="N206" s="2">
        <v>45323</v>
      </c>
      <c r="O206" s="2">
        <v>45351</v>
      </c>
      <c r="P206">
        <v>50000</v>
      </c>
      <c r="Q206">
        <v>50000</v>
      </c>
      <c r="R206" t="s">
        <v>2923</v>
      </c>
      <c r="S206" t="s">
        <v>2511</v>
      </c>
      <c r="T206">
        <v>231.5</v>
      </c>
    </row>
    <row r="207" spans="1:20" x14ac:dyDescent="0.25">
      <c r="A207" t="s">
        <v>14</v>
      </c>
      <c r="B207" t="s">
        <v>2510</v>
      </c>
      <c r="C207" t="s">
        <v>4387</v>
      </c>
      <c r="D207" t="s">
        <v>4388</v>
      </c>
      <c r="E207">
        <v>47300070795</v>
      </c>
      <c r="F207" t="s">
        <v>16</v>
      </c>
      <c r="G207" t="s">
        <v>87</v>
      </c>
      <c r="H207" t="s">
        <v>88</v>
      </c>
      <c r="K207" t="s">
        <v>3294</v>
      </c>
      <c r="L207" t="s">
        <v>19</v>
      </c>
      <c r="M207" t="s">
        <v>46</v>
      </c>
      <c r="N207" s="2">
        <v>45323</v>
      </c>
      <c r="O207" s="2">
        <v>45351</v>
      </c>
      <c r="P207">
        <v>500</v>
      </c>
      <c r="Q207">
        <v>500</v>
      </c>
      <c r="R207" t="s">
        <v>2923</v>
      </c>
    </row>
    <row r="208" spans="1:20" x14ac:dyDescent="0.25">
      <c r="A208" t="s">
        <v>14</v>
      </c>
      <c r="B208" t="s">
        <v>2510</v>
      </c>
      <c r="C208" t="s">
        <v>4374</v>
      </c>
      <c r="D208" t="s">
        <v>4375</v>
      </c>
      <c r="E208">
        <v>47300070795</v>
      </c>
      <c r="F208" t="s">
        <v>16</v>
      </c>
      <c r="G208" t="s">
        <v>87</v>
      </c>
      <c r="H208" t="s">
        <v>88</v>
      </c>
      <c r="K208" t="s">
        <v>3197</v>
      </c>
      <c r="L208" t="s">
        <v>19</v>
      </c>
      <c r="M208" t="s">
        <v>46</v>
      </c>
      <c r="N208" s="2">
        <v>45323</v>
      </c>
      <c r="O208" s="2">
        <v>45382</v>
      </c>
      <c r="P208">
        <v>145500</v>
      </c>
      <c r="Q208">
        <v>291000</v>
      </c>
      <c r="R208" t="s">
        <v>2923</v>
      </c>
    </row>
    <row r="209" spans="1:20" x14ac:dyDescent="0.25">
      <c r="A209" t="s">
        <v>14</v>
      </c>
      <c r="B209" t="s">
        <v>2510</v>
      </c>
      <c r="C209" t="s">
        <v>4374</v>
      </c>
      <c r="D209" t="s">
        <v>4375</v>
      </c>
      <c r="E209">
        <v>47300070795</v>
      </c>
      <c r="F209" t="s">
        <v>16</v>
      </c>
      <c r="G209" t="s">
        <v>87</v>
      </c>
      <c r="H209" t="s">
        <v>88</v>
      </c>
      <c r="K209" t="s">
        <v>2892</v>
      </c>
      <c r="L209" t="s">
        <v>19</v>
      </c>
      <c r="M209" t="s">
        <v>46</v>
      </c>
      <c r="N209" s="2">
        <v>45323</v>
      </c>
      <c r="O209" s="2">
        <v>45351</v>
      </c>
      <c r="P209">
        <v>10000</v>
      </c>
      <c r="Q209">
        <v>10000</v>
      </c>
      <c r="R209" t="s">
        <v>2923</v>
      </c>
    </row>
    <row r="210" spans="1:20" x14ac:dyDescent="0.25">
      <c r="A210" t="s">
        <v>14</v>
      </c>
      <c r="B210" t="s">
        <v>2508</v>
      </c>
      <c r="C210" t="s">
        <v>4408</v>
      </c>
      <c r="D210" t="s">
        <v>4407</v>
      </c>
      <c r="E210">
        <v>47300046217</v>
      </c>
      <c r="F210" t="s">
        <v>16</v>
      </c>
      <c r="G210" t="s">
        <v>28</v>
      </c>
      <c r="H210" t="s">
        <v>108</v>
      </c>
      <c r="K210" t="s">
        <v>4229</v>
      </c>
      <c r="L210" t="s">
        <v>19</v>
      </c>
      <c r="M210" t="s">
        <v>63</v>
      </c>
      <c r="N210" s="2">
        <v>45323</v>
      </c>
      <c r="O210" s="2">
        <v>45351</v>
      </c>
      <c r="P210">
        <v>100000</v>
      </c>
      <c r="Q210">
        <v>100000</v>
      </c>
      <c r="R210" t="s">
        <v>3336</v>
      </c>
      <c r="S210" t="s">
        <v>2509</v>
      </c>
      <c r="T210">
        <v>462.9</v>
      </c>
    </row>
    <row r="211" spans="1:20" x14ac:dyDescent="0.25">
      <c r="A211" t="s">
        <v>14</v>
      </c>
      <c r="B211" t="s">
        <v>2508</v>
      </c>
      <c r="C211" t="s">
        <v>4415</v>
      </c>
      <c r="D211" t="s">
        <v>4416</v>
      </c>
      <c r="E211">
        <v>47300046217</v>
      </c>
      <c r="F211" t="s">
        <v>16</v>
      </c>
      <c r="G211" t="s">
        <v>28</v>
      </c>
      <c r="H211" t="s">
        <v>108</v>
      </c>
      <c r="K211" t="s">
        <v>3294</v>
      </c>
      <c r="L211" t="s">
        <v>19</v>
      </c>
      <c r="M211" t="s">
        <v>46</v>
      </c>
      <c r="N211" s="2">
        <v>45323</v>
      </c>
      <c r="O211" s="2">
        <v>45351</v>
      </c>
      <c r="P211">
        <v>500</v>
      </c>
      <c r="Q211">
        <v>500</v>
      </c>
      <c r="R211" t="s">
        <v>3336</v>
      </c>
    </row>
    <row r="212" spans="1:20" x14ac:dyDescent="0.25">
      <c r="A212" t="s">
        <v>14</v>
      </c>
      <c r="B212" t="s">
        <v>2506</v>
      </c>
      <c r="C212" t="s">
        <v>4415</v>
      </c>
      <c r="D212" t="s">
        <v>4416</v>
      </c>
      <c r="E212">
        <v>47300070654</v>
      </c>
      <c r="F212" t="s">
        <v>16</v>
      </c>
      <c r="G212" t="s">
        <v>28</v>
      </c>
      <c r="H212" t="s">
        <v>217</v>
      </c>
      <c r="K212" t="s">
        <v>3557</v>
      </c>
      <c r="L212" t="s">
        <v>19</v>
      </c>
      <c r="M212" t="s">
        <v>20</v>
      </c>
      <c r="P212">
        <v>20000</v>
      </c>
      <c r="Q212">
        <v>20000</v>
      </c>
      <c r="R212" t="s">
        <v>3580</v>
      </c>
      <c r="S212" t="s">
        <v>2507</v>
      </c>
      <c r="T212">
        <v>92.6</v>
      </c>
    </row>
    <row r="213" spans="1:20" x14ac:dyDescent="0.25">
      <c r="A213" t="s">
        <v>14</v>
      </c>
      <c r="B213" t="s">
        <v>2505</v>
      </c>
      <c r="C213" t="s">
        <v>4406</v>
      </c>
      <c r="D213" t="s">
        <v>4394</v>
      </c>
      <c r="E213">
        <v>47300070753</v>
      </c>
      <c r="F213" t="s">
        <v>16</v>
      </c>
      <c r="G213" t="s">
        <v>17</v>
      </c>
      <c r="H213" t="s">
        <v>82</v>
      </c>
      <c r="K213" t="s">
        <v>3294</v>
      </c>
      <c r="L213" t="s">
        <v>19</v>
      </c>
      <c r="M213" t="s">
        <v>46</v>
      </c>
      <c r="N213" s="2">
        <v>45323</v>
      </c>
      <c r="O213" s="2">
        <v>45351</v>
      </c>
      <c r="P213">
        <v>500</v>
      </c>
      <c r="Q213">
        <v>500</v>
      </c>
      <c r="R213" t="s">
        <v>3337</v>
      </c>
    </row>
    <row r="214" spans="1:20" x14ac:dyDescent="0.25">
      <c r="A214" t="s">
        <v>14</v>
      </c>
      <c r="B214" t="s">
        <v>2503</v>
      </c>
      <c r="C214" t="s">
        <v>4365</v>
      </c>
      <c r="D214" t="s">
        <v>4403</v>
      </c>
      <c r="E214">
        <v>47300046688</v>
      </c>
      <c r="F214" t="s">
        <v>16</v>
      </c>
      <c r="G214" t="s">
        <v>17</v>
      </c>
      <c r="H214" t="s">
        <v>154</v>
      </c>
      <c r="K214" t="s">
        <v>3557</v>
      </c>
      <c r="L214" t="s">
        <v>19</v>
      </c>
      <c r="M214" t="s">
        <v>20</v>
      </c>
      <c r="P214">
        <v>30000</v>
      </c>
      <c r="Q214">
        <v>30000</v>
      </c>
      <c r="R214" t="s">
        <v>3581</v>
      </c>
      <c r="S214" t="s">
        <v>2504</v>
      </c>
      <c r="T214">
        <v>138.9</v>
      </c>
    </row>
    <row r="215" spans="1:20" x14ac:dyDescent="0.25">
      <c r="A215" t="s">
        <v>14</v>
      </c>
      <c r="B215" t="s">
        <v>2501</v>
      </c>
      <c r="C215" t="s">
        <v>4418</v>
      </c>
      <c r="D215" t="s">
        <v>4368</v>
      </c>
      <c r="E215">
        <v>47300046720</v>
      </c>
      <c r="F215" t="s">
        <v>16</v>
      </c>
      <c r="G215" t="s">
        <v>28</v>
      </c>
      <c r="H215" t="s">
        <v>143</v>
      </c>
      <c r="K215" t="s">
        <v>3557</v>
      </c>
      <c r="L215" t="s">
        <v>19</v>
      </c>
      <c r="M215" t="s">
        <v>20</v>
      </c>
      <c r="P215">
        <v>25000</v>
      </c>
      <c r="Q215">
        <v>25000</v>
      </c>
      <c r="R215" t="s">
        <v>3582</v>
      </c>
      <c r="S215" t="s">
        <v>2502</v>
      </c>
      <c r="T215">
        <v>115.7</v>
      </c>
    </row>
    <row r="216" spans="1:20" x14ac:dyDescent="0.25">
      <c r="A216" t="s">
        <v>14</v>
      </c>
      <c r="B216" t="s">
        <v>2499</v>
      </c>
      <c r="C216" t="s">
        <v>4418</v>
      </c>
      <c r="D216" t="s">
        <v>4368</v>
      </c>
      <c r="E216">
        <v>47300025690</v>
      </c>
      <c r="F216" t="s">
        <v>35</v>
      </c>
      <c r="G216" t="s">
        <v>36</v>
      </c>
      <c r="H216" t="s">
        <v>37</v>
      </c>
      <c r="K216" t="s">
        <v>3557</v>
      </c>
      <c r="L216" t="s">
        <v>19</v>
      </c>
      <c r="M216" t="s">
        <v>20</v>
      </c>
      <c r="P216">
        <v>50000</v>
      </c>
      <c r="Q216">
        <v>50000</v>
      </c>
      <c r="R216" t="s">
        <v>3583</v>
      </c>
      <c r="S216" t="s">
        <v>2500</v>
      </c>
      <c r="T216">
        <v>231.5</v>
      </c>
    </row>
    <row r="217" spans="1:20" x14ac:dyDescent="0.25">
      <c r="A217" t="s">
        <v>14</v>
      </c>
      <c r="B217" t="s">
        <v>2497</v>
      </c>
      <c r="C217" t="s">
        <v>4369</v>
      </c>
      <c r="D217" t="s">
        <v>4370</v>
      </c>
      <c r="E217">
        <v>47300012151</v>
      </c>
      <c r="F217" t="s">
        <v>35</v>
      </c>
      <c r="G217" t="s">
        <v>36</v>
      </c>
      <c r="H217" t="s">
        <v>4362</v>
      </c>
      <c r="K217" t="s">
        <v>4229</v>
      </c>
      <c r="L217" t="s">
        <v>19</v>
      </c>
      <c r="M217" t="s">
        <v>63</v>
      </c>
      <c r="N217" s="2">
        <v>45323</v>
      </c>
      <c r="O217" s="2">
        <v>45351</v>
      </c>
      <c r="P217">
        <v>50000</v>
      </c>
      <c r="Q217">
        <v>50000</v>
      </c>
      <c r="R217" t="s">
        <v>3338</v>
      </c>
      <c r="S217" t="s">
        <v>2498</v>
      </c>
      <c r="T217">
        <v>231.5</v>
      </c>
    </row>
    <row r="218" spans="1:20" x14ac:dyDescent="0.25">
      <c r="A218" t="s">
        <v>14</v>
      </c>
      <c r="B218" t="s">
        <v>2497</v>
      </c>
      <c r="C218" t="s">
        <v>4386</v>
      </c>
      <c r="D218" t="s">
        <v>4368</v>
      </c>
      <c r="E218">
        <v>47300012151</v>
      </c>
      <c r="F218" t="s">
        <v>35</v>
      </c>
      <c r="G218" t="s">
        <v>36</v>
      </c>
      <c r="H218" t="s">
        <v>4362</v>
      </c>
      <c r="K218" t="s">
        <v>3294</v>
      </c>
      <c r="L218" t="s">
        <v>19</v>
      </c>
      <c r="M218" t="s">
        <v>46</v>
      </c>
      <c r="N218" s="2">
        <v>45323</v>
      </c>
      <c r="O218" s="2">
        <v>45351</v>
      </c>
      <c r="P218">
        <v>500</v>
      </c>
      <c r="Q218">
        <v>500</v>
      </c>
      <c r="R218" t="s">
        <v>3338</v>
      </c>
    </row>
    <row r="219" spans="1:20" x14ac:dyDescent="0.25">
      <c r="A219" t="s">
        <v>14</v>
      </c>
      <c r="B219" t="s">
        <v>2495</v>
      </c>
      <c r="C219" t="s">
        <v>4376</v>
      </c>
      <c r="D219" t="s">
        <v>4377</v>
      </c>
      <c r="E219">
        <v>47300086445</v>
      </c>
      <c r="F219" t="s">
        <v>16</v>
      </c>
      <c r="G219" t="s">
        <v>28</v>
      </c>
      <c r="H219" t="s">
        <v>187</v>
      </c>
      <c r="I219" t="s">
        <v>2777</v>
      </c>
      <c r="J219" t="s">
        <v>2776</v>
      </c>
      <c r="K219" t="s">
        <v>3557</v>
      </c>
      <c r="L219" t="s">
        <v>19</v>
      </c>
      <c r="M219" t="s">
        <v>20</v>
      </c>
      <c r="P219">
        <v>25000</v>
      </c>
      <c r="Q219">
        <v>25000</v>
      </c>
      <c r="R219" t="s">
        <v>3584</v>
      </c>
      <c r="S219" t="s">
        <v>2496</v>
      </c>
      <c r="T219">
        <v>115.8</v>
      </c>
    </row>
    <row r="220" spans="1:20" x14ac:dyDescent="0.25">
      <c r="A220" t="s">
        <v>14</v>
      </c>
      <c r="B220" t="s">
        <v>2493</v>
      </c>
      <c r="C220" t="s">
        <v>4382</v>
      </c>
      <c r="D220" t="s">
        <v>4383</v>
      </c>
      <c r="E220">
        <v>47300046241</v>
      </c>
      <c r="F220" t="s">
        <v>16</v>
      </c>
      <c r="G220" t="s">
        <v>23</v>
      </c>
      <c r="H220" t="s">
        <v>24</v>
      </c>
      <c r="I220" t="s">
        <v>2754</v>
      </c>
      <c r="J220">
        <v>0</v>
      </c>
      <c r="K220" t="s">
        <v>3557</v>
      </c>
      <c r="L220" t="s">
        <v>19</v>
      </c>
      <c r="M220" t="s">
        <v>20</v>
      </c>
      <c r="P220">
        <v>20000</v>
      </c>
      <c r="Q220">
        <v>20000</v>
      </c>
      <c r="R220" t="s">
        <v>3585</v>
      </c>
      <c r="S220" t="s">
        <v>2494</v>
      </c>
      <c r="T220">
        <v>92.6</v>
      </c>
    </row>
    <row r="221" spans="1:20" x14ac:dyDescent="0.25">
      <c r="A221" t="s">
        <v>14</v>
      </c>
      <c r="B221" t="s">
        <v>2491</v>
      </c>
      <c r="C221" t="s">
        <v>4402</v>
      </c>
      <c r="D221" t="s">
        <v>4403</v>
      </c>
      <c r="E221">
        <v>47300070845</v>
      </c>
      <c r="F221" t="s">
        <v>16</v>
      </c>
      <c r="G221" t="s">
        <v>23</v>
      </c>
      <c r="H221" t="s">
        <v>157</v>
      </c>
      <c r="K221" t="s">
        <v>3557</v>
      </c>
      <c r="L221" t="s">
        <v>19</v>
      </c>
      <c r="M221" t="s">
        <v>20</v>
      </c>
      <c r="P221">
        <v>100000</v>
      </c>
      <c r="Q221">
        <v>100000</v>
      </c>
      <c r="R221" t="s">
        <v>3586</v>
      </c>
      <c r="S221" t="s">
        <v>2492</v>
      </c>
      <c r="T221">
        <v>463</v>
      </c>
    </row>
    <row r="222" spans="1:20" x14ac:dyDescent="0.25">
      <c r="A222" t="s">
        <v>14</v>
      </c>
      <c r="B222" t="s">
        <v>2489</v>
      </c>
      <c r="C222" t="s">
        <v>4402</v>
      </c>
      <c r="D222" t="s">
        <v>4403</v>
      </c>
      <c r="E222">
        <v>47300070845</v>
      </c>
      <c r="F222" t="s">
        <v>16</v>
      </c>
      <c r="G222" t="s">
        <v>23</v>
      </c>
      <c r="H222" t="s">
        <v>157</v>
      </c>
      <c r="K222" t="s">
        <v>3557</v>
      </c>
      <c r="L222" t="s">
        <v>19</v>
      </c>
      <c r="M222" t="s">
        <v>20</v>
      </c>
      <c r="P222">
        <v>100000</v>
      </c>
      <c r="Q222">
        <v>100000</v>
      </c>
      <c r="R222" t="s">
        <v>3587</v>
      </c>
      <c r="S222" t="s">
        <v>2490</v>
      </c>
      <c r="T222">
        <v>462.9</v>
      </c>
    </row>
    <row r="223" spans="1:20" x14ac:dyDescent="0.25">
      <c r="A223" t="s">
        <v>14</v>
      </c>
      <c r="B223" t="s">
        <v>2487</v>
      </c>
      <c r="C223" t="s">
        <v>4394</v>
      </c>
      <c r="D223" t="s">
        <v>4395</v>
      </c>
      <c r="E223">
        <v>47300047066</v>
      </c>
      <c r="F223" t="s">
        <v>16</v>
      </c>
      <c r="G223" t="s">
        <v>28</v>
      </c>
      <c r="H223" t="s">
        <v>57</v>
      </c>
      <c r="K223" t="s">
        <v>3557</v>
      </c>
      <c r="L223" t="s">
        <v>19</v>
      </c>
      <c r="M223" t="s">
        <v>20</v>
      </c>
      <c r="P223">
        <v>50000</v>
      </c>
      <c r="Q223">
        <v>50000</v>
      </c>
      <c r="R223" t="s">
        <v>3588</v>
      </c>
      <c r="S223" t="s">
        <v>2488</v>
      </c>
      <c r="T223">
        <v>231.5</v>
      </c>
    </row>
    <row r="224" spans="1:20" x14ac:dyDescent="0.25">
      <c r="A224" t="s">
        <v>14</v>
      </c>
      <c r="B224" t="s">
        <v>2485</v>
      </c>
      <c r="C224" t="s">
        <v>4387</v>
      </c>
      <c r="D224" t="s">
        <v>4388</v>
      </c>
      <c r="E224">
        <v>47300046761</v>
      </c>
      <c r="F224" t="s">
        <v>42</v>
      </c>
      <c r="G224" t="s">
        <v>28</v>
      </c>
      <c r="H224" t="s">
        <v>43</v>
      </c>
      <c r="K224" t="s">
        <v>3557</v>
      </c>
      <c r="L224" t="s">
        <v>19</v>
      </c>
      <c r="M224" t="s">
        <v>20</v>
      </c>
      <c r="P224">
        <v>50000</v>
      </c>
      <c r="Q224">
        <v>50000</v>
      </c>
      <c r="R224" t="s">
        <v>3589</v>
      </c>
      <c r="S224" t="s">
        <v>2486</v>
      </c>
      <c r="T224">
        <v>231.5</v>
      </c>
    </row>
    <row r="225" spans="1:20" x14ac:dyDescent="0.25">
      <c r="A225" t="s">
        <v>14</v>
      </c>
      <c r="B225" t="s">
        <v>2483</v>
      </c>
      <c r="C225" t="s">
        <v>4419</v>
      </c>
      <c r="D225" t="s">
        <v>4368</v>
      </c>
      <c r="E225">
        <v>47300070753</v>
      </c>
      <c r="F225" t="s">
        <v>16</v>
      </c>
      <c r="G225" t="s">
        <v>17</v>
      </c>
      <c r="H225" t="s">
        <v>82</v>
      </c>
      <c r="K225" t="s">
        <v>4229</v>
      </c>
      <c r="L225" t="s">
        <v>19</v>
      </c>
      <c r="M225" t="s">
        <v>63</v>
      </c>
      <c r="N225" s="2">
        <v>45323</v>
      </c>
      <c r="O225" s="2">
        <v>45351</v>
      </c>
      <c r="P225">
        <v>17000</v>
      </c>
      <c r="Q225">
        <v>17000</v>
      </c>
      <c r="R225" t="s">
        <v>4236</v>
      </c>
      <c r="S225" t="s">
        <v>2484</v>
      </c>
      <c r="T225">
        <v>78.7</v>
      </c>
    </row>
    <row r="226" spans="1:20" x14ac:dyDescent="0.25">
      <c r="A226" t="s">
        <v>14</v>
      </c>
      <c r="B226" t="s">
        <v>2481</v>
      </c>
      <c r="C226" t="s">
        <v>4409</v>
      </c>
      <c r="D226" t="s">
        <v>4410</v>
      </c>
      <c r="E226">
        <v>47300070597</v>
      </c>
      <c r="F226" t="s">
        <v>16</v>
      </c>
      <c r="G226" t="s">
        <v>28</v>
      </c>
      <c r="H226" t="s">
        <v>77</v>
      </c>
      <c r="K226" t="s">
        <v>4229</v>
      </c>
      <c r="L226" t="s">
        <v>19</v>
      </c>
      <c r="M226" t="s">
        <v>63</v>
      </c>
      <c r="N226" s="2">
        <v>45323</v>
      </c>
      <c r="O226" s="2">
        <v>45351</v>
      </c>
      <c r="P226">
        <v>45000</v>
      </c>
      <c r="Q226">
        <v>45000</v>
      </c>
      <c r="R226" t="s">
        <v>2924</v>
      </c>
      <c r="S226" t="s">
        <v>2482</v>
      </c>
      <c r="T226">
        <v>208.4</v>
      </c>
    </row>
    <row r="227" spans="1:20" x14ac:dyDescent="0.25">
      <c r="A227" t="s">
        <v>14</v>
      </c>
      <c r="B227" t="s">
        <v>2481</v>
      </c>
      <c r="C227" t="s">
        <v>4419</v>
      </c>
      <c r="D227" t="s">
        <v>4368</v>
      </c>
      <c r="E227">
        <v>47300070597</v>
      </c>
      <c r="F227" t="s">
        <v>16</v>
      </c>
      <c r="G227" t="s">
        <v>28</v>
      </c>
      <c r="H227" t="s">
        <v>77</v>
      </c>
      <c r="K227" t="s">
        <v>3197</v>
      </c>
      <c r="L227" t="s">
        <v>19</v>
      </c>
      <c r="M227" t="s">
        <v>46</v>
      </c>
      <c r="N227" s="2">
        <v>45323</v>
      </c>
      <c r="O227" s="2">
        <v>45351</v>
      </c>
      <c r="P227">
        <v>145500</v>
      </c>
      <c r="Q227">
        <v>145500</v>
      </c>
      <c r="R227" t="s">
        <v>2924</v>
      </c>
    </row>
    <row r="228" spans="1:20" x14ac:dyDescent="0.25">
      <c r="A228" t="s">
        <v>14</v>
      </c>
      <c r="B228" t="s">
        <v>2481</v>
      </c>
      <c r="C228" t="s">
        <v>4409</v>
      </c>
      <c r="D228" t="s">
        <v>4410</v>
      </c>
      <c r="E228">
        <v>47300070597</v>
      </c>
      <c r="F228" t="s">
        <v>16</v>
      </c>
      <c r="G228" t="s">
        <v>28</v>
      </c>
      <c r="H228" t="s">
        <v>77</v>
      </c>
      <c r="K228" t="s">
        <v>2892</v>
      </c>
      <c r="L228" t="s">
        <v>19</v>
      </c>
      <c r="M228" t="s">
        <v>46</v>
      </c>
      <c r="N228" s="2">
        <v>45323</v>
      </c>
      <c r="O228" s="2">
        <v>45351</v>
      </c>
      <c r="P228">
        <v>10000</v>
      </c>
      <c r="Q228">
        <v>10000</v>
      </c>
      <c r="R228" t="s">
        <v>2924</v>
      </c>
    </row>
    <row r="229" spans="1:20" x14ac:dyDescent="0.25">
      <c r="A229" t="s">
        <v>14</v>
      </c>
      <c r="B229" t="s">
        <v>2479</v>
      </c>
      <c r="C229" t="s">
        <v>4402</v>
      </c>
      <c r="D229" t="s">
        <v>4379</v>
      </c>
      <c r="E229">
        <v>47300025708</v>
      </c>
      <c r="F229" t="s">
        <v>35</v>
      </c>
      <c r="G229" t="s">
        <v>36</v>
      </c>
      <c r="H229" t="s">
        <v>4360</v>
      </c>
      <c r="K229" t="s">
        <v>3557</v>
      </c>
      <c r="L229" t="s">
        <v>19</v>
      </c>
      <c r="M229" t="s">
        <v>20</v>
      </c>
      <c r="P229">
        <v>50000</v>
      </c>
      <c r="Q229">
        <v>50000</v>
      </c>
      <c r="R229" t="s">
        <v>3590</v>
      </c>
      <c r="S229" t="s">
        <v>2480</v>
      </c>
      <c r="T229">
        <v>231.5</v>
      </c>
    </row>
    <row r="230" spans="1:20" x14ac:dyDescent="0.25">
      <c r="A230" t="s">
        <v>14</v>
      </c>
      <c r="B230" t="s">
        <v>2477</v>
      </c>
      <c r="C230" t="s">
        <v>4408</v>
      </c>
      <c r="D230" t="s">
        <v>4407</v>
      </c>
      <c r="E230">
        <v>47300026185</v>
      </c>
      <c r="F230" t="s">
        <v>35</v>
      </c>
      <c r="G230" t="s">
        <v>36</v>
      </c>
      <c r="H230" t="s">
        <v>4361</v>
      </c>
      <c r="K230" t="s">
        <v>4229</v>
      </c>
      <c r="L230" t="s">
        <v>19</v>
      </c>
      <c r="M230" t="s">
        <v>63</v>
      </c>
      <c r="N230" s="2">
        <v>45323</v>
      </c>
      <c r="O230" s="2">
        <v>45351</v>
      </c>
      <c r="P230">
        <v>50000</v>
      </c>
      <c r="Q230">
        <v>50000</v>
      </c>
      <c r="R230" t="s">
        <v>3339</v>
      </c>
      <c r="S230" t="s">
        <v>2478</v>
      </c>
      <c r="T230">
        <v>231.5</v>
      </c>
    </row>
    <row r="231" spans="1:20" x14ac:dyDescent="0.25">
      <c r="A231" t="s">
        <v>14</v>
      </c>
      <c r="B231" t="s">
        <v>2477</v>
      </c>
      <c r="C231" t="s">
        <v>2927</v>
      </c>
      <c r="D231" t="s">
        <v>4375</v>
      </c>
      <c r="E231">
        <v>47300026185</v>
      </c>
      <c r="F231" t="s">
        <v>35</v>
      </c>
      <c r="G231" t="s">
        <v>36</v>
      </c>
      <c r="H231" t="s">
        <v>4361</v>
      </c>
      <c r="K231" t="s">
        <v>3294</v>
      </c>
      <c r="L231" t="s">
        <v>19</v>
      </c>
      <c r="M231" t="s">
        <v>46</v>
      </c>
      <c r="N231" s="2">
        <v>45323</v>
      </c>
      <c r="O231" s="2">
        <v>45351</v>
      </c>
      <c r="P231">
        <v>500</v>
      </c>
      <c r="Q231">
        <v>500</v>
      </c>
      <c r="R231" t="s">
        <v>3339</v>
      </c>
    </row>
    <row r="232" spans="1:20" x14ac:dyDescent="0.25">
      <c r="A232" t="s">
        <v>14</v>
      </c>
      <c r="B232" t="s">
        <v>2475</v>
      </c>
      <c r="C232" t="s">
        <v>4412</v>
      </c>
      <c r="D232" t="s">
        <v>4377</v>
      </c>
      <c r="E232">
        <v>47300020147</v>
      </c>
      <c r="F232" t="s">
        <v>35</v>
      </c>
      <c r="G232" t="s">
        <v>36</v>
      </c>
      <c r="H232" t="s">
        <v>4363</v>
      </c>
      <c r="K232" t="s">
        <v>4229</v>
      </c>
      <c r="L232" t="s">
        <v>19</v>
      </c>
      <c r="M232" t="s">
        <v>63</v>
      </c>
      <c r="N232" s="2">
        <v>45323</v>
      </c>
      <c r="O232" s="2">
        <v>45351</v>
      </c>
      <c r="P232">
        <v>50000</v>
      </c>
      <c r="Q232">
        <v>50000</v>
      </c>
      <c r="R232" t="s">
        <v>3340</v>
      </c>
      <c r="S232" t="s">
        <v>2476</v>
      </c>
      <c r="T232">
        <v>231.5</v>
      </c>
    </row>
    <row r="233" spans="1:20" x14ac:dyDescent="0.25">
      <c r="A233" t="s">
        <v>14</v>
      </c>
      <c r="B233" t="s">
        <v>2475</v>
      </c>
      <c r="C233" t="s">
        <v>4371</v>
      </c>
      <c r="D233" t="s">
        <v>4368</v>
      </c>
      <c r="E233">
        <v>47300020147</v>
      </c>
      <c r="F233" t="s">
        <v>35</v>
      </c>
      <c r="G233" t="s">
        <v>36</v>
      </c>
      <c r="H233" t="s">
        <v>4363</v>
      </c>
      <c r="K233" t="s">
        <v>3294</v>
      </c>
      <c r="L233" t="s">
        <v>19</v>
      </c>
      <c r="M233" t="s">
        <v>46</v>
      </c>
      <c r="N233" s="2">
        <v>45323</v>
      </c>
      <c r="O233" s="2">
        <v>45351</v>
      </c>
      <c r="P233">
        <v>500</v>
      </c>
      <c r="Q233">
        <v>500</v>
      </c>
      <c r="R233" t="s">
        <v>3340</v>
      </c>
    </row>
    <row r="234" spans="1:20" x14ac:dyDescent="0.25">
      <c r="A234" t="s">
        <v>14</v>
      </c>
      <c r="B234" t="s">
        <v>2473</v>
      </c>
      <c r="C234" t="s">
        <v>4402</v>
      </c>
      <c r="D234" t="s">
        <v>4379</v>
      </c>
      <c r="E234">
        <v>47300046258</v>
      </c>
      <c r="F234" t="s">
        <v>16</v>
      </c>
      <c r="G234" t="s">
        <v>28</v>
      </c>
      <c r="H234" t="s">
        <v>160</v>
      </c>
      <c r="K234" t="s">
        <v>3557</v>
      </c>
      <c r="L234" t="s">
        <v>19</v>
      </c>
      <c r="M234" t="s">
        <v>20</v>
      </c>
      <c r="P234">
        <v>50000</v>
      </c>
      <c r="Q234">
        <v>50000</v>
      </c>
      <c r="R234" t="s">
        <v>3591</v>
      </c>
      <c r="S234" t="s">
        <v>2474</v>
      </c>
      <c r="T234">
        <v>231.4</v>
      </c>
    </row>
    <row r="235" spans="1:20" x14ac:dyDescent="0.25">
      <c r="A235" t="s">
        <v>14</v>
      </c>
      <c r="B235" t="s">
        <v>2471</v>
      </c>
      <c r="C235" t="s">
        <v>4402</v>
      </c>
      <c r="D235" t="s">
        <v>4379</v>
      </c>
      <c r="E235">
        <v>47300070837</v>
      </c>
      <c r="F235" t="s">
        <v>16</v>
      </c>
      <c r="G235" t="s">
        <v>23</v>
      </c>
      <c r="H235" t="s">
        <v>165</v>
      </c>
      <c r="K235" t="s">
        <v>3557</v>
      </c>
      <c r="L235" t="s">
        <v>19</v>
      </c>
      <c r="M235" t="s">
        <v>20</v>
      </c>
      <c r="P235">
        <v>80000</v>
      </c>
      <c r="Q235">
        <v>80000</v>
      </c>
      <c r="R235" t="s">
        <v>3592</v>
      </c>
      <c r="S235" t="s">
        <v>2472</v>
      </c>
      <c r="T235">
        <v>370.3</v>
      </c>
    </row>
    <row r="236" spans="1:20" x14ac:dyDescent="0.25">
      <c r="A236" t="s">
        <v>14</v>
      </c>
      <c r="B236" t="s">
        <v>2469</v>
      </c>
      <c r="C236" t="s">
        <v>4384</v>
      </c>
      <c r="D236" t="s">
        <v>4379</v>
      </c>
      <c r="E236">
        <v>47300046720</v>
      </c>
      <c r="F236" t="s">
        <v>16</v>
      </c>
      <c r="G236" t="s">
        <v>28</v>
      </c>
      <c r="H236" t="s">
        <v>143</v>
      </c>
      <c r="K236" t="s">
        <v>3557</v>
      </c>
      <c r="L236" t="s">
        <v>19</v>
      </c>
      <c r="M236" t="s">
        <v>20</v>
      </c>
      <c r="P236">
        <v>25000</v>
      </c>
      <c r="Q236">
        <v>25000</v>
      </c>
      <c r="R236" t="s">
        <v>3593</v>
      </c>
      <c r="S236" t="s">
        <v>2470</v>
      </c>
      <c r="T236">
        <v>115.7</v>
      </c>
    </row>
    <row r="237" spans="1:20" x14ac:dyDescent="0.25">
      <c r="A237" t="s">
        <v>14</v>
      </c>
      <c r="B237" t="s">
        <v>2468</v>
      </c>
      <c r="C237" t="s">
        <v>4408</v>
      </c>
      <c r="D237" t="s">
        <v>4407</v>
      </c>
      <c r="E237">
        <v>47300070480</v>
      </c>
      <c r="F237" t="s">
        <v>16</v>
      </c>
      <c r="G237" t="s">
        <v>28</v>
      </c>
      <c r="H237" t="s">
        <v>184</v>
      </c>
      <c r="K237" t="s">
        <v>3294</v>
      </c>
      <c r="L237" t="s">
        <v>19</v>
      </c>
      <c r="M237" t="s">
        <v>46</v>
      </c>
      <c r="N237" s="2">
        <v>45323</v>
      </c>
      <c r="O237" s="2">
        <v>45351</v>
      </c>
      <c r="P237">
        <v>500</v>
      </c>
      <c r="Q237">
        <v>500</v>
      </c>
      <c r="R237" t="s">
        <v>3341</v>
      </c>
    </row>
    <row r="238" spans="1:20" x14ac:dyDescent="0.25">
      <c r="A238" t="s">
        <v>14</v>
      </c>
      <c r="B238" t="s">
        <v>2466</v>
      </c>
      <c r="C238" t="s">
        <v>4387</v>
      </c>
      <c r="D238" t="s">
        <v>4388</v>
      </c>
      <c r="E238">
        <v>47300070555</v>
      </c>
      <c r="F238" t="s">
        <v>35</v>
      </c>
      <c r="G238" t="s">
        <v>35</v>
      </c>
      <c r="H238" t="s">
        <v>116</v>
      </c>
      <c r="K238" t="s">
        <v>3557</v>
      </c>
      <c r="L238" t="s">
        <v>19</v>
      </c>
      <c r="M238" t="s">
        <v>20</v>
      </c>
      <c r="P238">
        <v>20000</v>
      </c>
      <c r="Q238">
        <v>20000</v>
      </c>
      <c r="R238" t="s">
        <v>3594</v>
      </c>
      <c r="S238" t="s">
        <v>2467</v>
      </c>
      <c r="T238">
        <v>92.6</v>
      </c>
    </row>
    <row r="239" spans="1:20" x14ac:dyDescent="0.25">
      <c r="A239" t="s">
        <v>14</v>
      </c>
      <c r="B239" t="s">
        <v>2465</v>
      </c>
      <c r="C239" t="s">
        <v>4369</v>
      </c>
      <c r="D239" t="s">
        <v>4370</v>
      </c>
      <c r="E239">
        <v>47300070597</v>
      </c>
      <c r="F239" t="s">
        <v>16</v>
      </c>
      <c r="G239" t="s">
        <v>28</v>
      </c>
      <c r="H239" t="s">
        <v>77</v>
      </c>
      <c r="K239" t="s">
        <v>2832</v>
      </c>
      <c r="L239" t="s">
        <v>47</v>
      </c>
      <c r="N239" s="2">
        <v>45342</v>
      </c>
      <c r="O239" s="2">
        <v>45347</v>
      </c>
      <c r="P239">
        <v>103974.87</v>
      </c>
      <c r="Q239">
        <v>103974.87</v>
      </c>
      <c r="R239" t="s">
        <v>2831</v>
      </c>
    </row>
    <row r="240" spans="1:20" x14ac:dyDescent="0.25">
      <c r="A240" t="s">
        <v>14</v>
      </c>
      <c r="B240" t="s">
        <v>2463</v>
      </c>
      <c r="C240" t="s">
        <v>3300</v>
      </c>
      <c r="D240" t="s">
        <v>3299</v>
      </c>
      <c r="E240">
        <v>47300086445</v>
      </c>
      <c r="F240" t="s">
        <v>16</v>
      </c>
      <c r="G240" t="s">
        <v>28</v>
      </c>
      <c r="H240" t="s">
        <v>187</v>
      </c>
      <c r="I240" t="s">
        <v>2777</v>
      </c>
      <c r="J240" t="s">
        <v>2776</v>
      </c>
      <c r="K240" t="s">
        <v>3557</v>
      </c>
      <c r="L240" t="s">
        <v>19</v>
      </c>
      <c r="M240" t="s">
        <v>20</v>
      </c>
      <c r="P240">
        <v>15000</v>
      </c>
      <c r="Q240">
        <v>15000</v>
      </c>
      <c r="R240" t="s">
        <v>3595</v>
      </c>
      <c r="S240" t="s">
        <v>2464</v>
      </c>
      <c r="T240">
        <v>69.400000000000006</v>
      </c>
    </row>
    <row r="241" spans="1:20" x14ac:dyDescent="0.25">
      <c r="A241" t="s">
        <v>14</v>
      </c>
      <c r="B241" t="s">
        <v>2461</v>
      </c>
      <c r="C241" t="s">
        <v>4376</v>
      </c>
      <c r="D241" t="s">
        <v>4377</v>
      </c>
      <c r="E241">
        <v>47300046761</v>
      </c>
      <c r="F241" t="s">
        <v>42</v>
      </c>
      <c r="G241" t="s">
        <v>28</v>
      </c>
      <c r="H241" t="s">
        <v>43</v>
      </c>
      <c r="K241" t="s">
        <v>3557</v>
      </c>
      <c r="L241" t="s">
        <v>19</v>
      </c>
      <c r="M241" t="s">
        <v>20</v>
      </c>
      <c r="P241">
        <v>10000</v>
      </c>
      <c r="Q241">
        <v>10000</v>
      </c>
      <c r="R241" t="s">
        <v>3596</v>
      </c>
      <c r="S241" t="s">
        <v>2462</v>
      </c>
      <c r="T241">
        <v>46.3</v>
      </c>
    </row>
    <row r="242" spans="1:20" x14ac:dyDescent="0.25">
      <c r="A242" t="s">
        <v>14</v>
      </c>
      <c r="B242" t="s">
        <v>2460</v>
      </c>
      <c r="C242" t="s">
        <v>4382</v>
      </c>
      <c r="D242" t="s">
        <v>4383</v>
      </c>
      <c r="E242">
        <v>47300047066</v>
      </c>
      <c r="F242" t="s">
        <v>16</v>
      </c>
      <c r="G242" t="s">
        <v>28</v>
      </c>
      <c r="H242" t="s">
        <v>57</v>
      </c>
      <c r="K242" t="s">
        <v>2836</v>
      </c>
      <c r="L242" t="s">
        <v>47</v>
      </c>
      <c r="N242" s="2">
        <v>45342</v>
      </c>
      <c r="O242" s="2">
        <v>45347</v>
      </c>
      <c r="P242">
        <v>42343.199999999997</v>
      </c>
      <c r="Q242">
        <v>42343.199999999997</v>
      </c>
      <c r="R242" t="s">
        <v>2835</v>
      </c>
    </row>
    <row r="243" spans="1:20" x14ac:dyDescent="0.25">
      <c r="A243" t="s">
        <v>14</v>
      </c>
      <c r="B243" t="s">
        <v>2458</v>
      </c>
      <c r="C243" t="s">
        <v>4402</v>
      </c>
      <c r="D243" t="s">
        <v>4379</v>
      </c>
      <c r="E243">
        <v>47300070753</v>
      </c>
      <c r="F243" t="s">
        <v>16</v>
      </c>
      <c r="G243" t="s">
        <v>17</v>
      </c>
      <c r="H243" t="s">
        <v>82</v>
      </c>
      <c r="K243" t="s">
        <v>3557</v>
      </c>
      <c r="L243" t="s">
        <v>19</v>
      </c>
      <c r="M243" t="s">
        <v>20</v>
      </c>
      <c r="P243">
        <v>70000</v>
      </c>
      <c r="Q243">
        <v>70000</v>
      </c>
      <c r="R243" t="s">
        <v>3597</v>
      </c>
      <c r="S243" t="s">
        <v>2459</v>
      </c>
      <c r="T243">
        <v>324</v>
      </c>
    </row>
    <row r="244" spans="1:20" x14ac:dyDescent="0.25">
      <c r="A244" t="s">
        <v>14</v>
      </c>
      <c r="B244" t="s">
        <v>2457</v>
      </c>
      <c r="C244" t="s">
        <v>4365</v>
      </c>
      <c r="D244" t="s">
        <v>4366</v>
      </c>
      <c r="E244">
        <v>47300046399</v>
      </c>
      <c r="F244" t="s">
        <v>16</v>
      </c>
      <c r="G244" t="s">
        <v>28</v>
      </c>
      <c r="H244" t="s">
        <v>122</v>
      </c>
      <c r="K244" t="s">
        <v>3294</v>
      </c>
      <c r="L244" t="s">
        <v>19</v>
      </c>
      <c r="M244" t="s">
        <v>46</v>
      </c>
      <c r="N244" s="2">
        <v>45323</v>
      </c>
      <c r="O244" s="2">
        <v>45351</v>
      </c>
      <c r="P244">
        <v>500</v>
      </c>
      <c r="Q244">
        <v>500</v>
      </c>
      <c r="R244" t="s">
        <v>2925</v>
      </c>
    </row>
    <row r="245" spans="1:20" x14ac:dyDescent="0.25">
      <c r="A245" t="s">
        <v>14</v>
      </c>
      <c r="B245" t="s">
        <v>2457</v>
      </c>
      <c r="C245" t="s">
        <v>4378</v>
      </c>
      <c r="D245" t="s">
        <v>4379</v>
      </c>
      <c r="E245">
        <v>47300046399</v>
      </c>
      <c r="F245" t="s">
        <v>16</v>
      </c>
      <c r="G245" t="s">
        <v>28</v>
      </c>
      <c r="H245" t="s">
        <v>122</v>
      </c>
      <c r="K245" t="s">
        <v>2892</v>
      </c>
      <c r="L245" t="s">
        <v>19</v>
      </c>
      <c r="M245" t="s">
        <v>46</v>
      </c>
      <c r="N245" s="2">
        <v>45323</v>
      </c>
      <c r="O245" s="2">
        <v>45351</v>
      </c>
      <c r="P245">
        <v>10000</v>
      </c>
      <c r="Q245">
        <v>10000</v>
      </c>
      <c r="R245" t="s">
        <v>2925</v>
      </c>
    </row>
    <row r="246" spans="1:20" x14ac:dyDescent="0.25">
      <c r="A246" t="s">
        <v>14</v>
      </c>
      <c r="B246" t="s">
        <v>2455</v>
      </c>
      <c r="C246" t="s">
        <v>4365</v>
      </c>
      <c r="D246" t="s">
        <v>4366</v>
      </c>
      <c r="E246">
        <v>47300070563</v>
      </c>
      <c r="F246" t="s">
        <v>16</v>
      </c>
      <c r="G246" t="s">
        <v>28</v>
      </c>
      <c r="H246" t="s">
        <v>359</v>
      </c>
      <c r="K246" t="s">
        <v>4229</v>
      </c>
      <c r="L246" t="s">
        <v>19</v>
      </c>
      <c r="M246" t="s">
        <v>63</v>
      </c>
      <c r="N246" s="2">
        <v>45323</v>
      </c>
      <c r="O246" s="2">
        <v>45351</v>
      </c>
      <c r="P246">
        <v>50000</v>
      </c>
      <c r="Q246">
        <v>50000</v>
      </c>
      <c r="R246" t="s">
        <v>2822</v>
      </c>
      <c r="S246" t="s">
        <v>2456</v>
      </c>
      <c r="T246">
        <v>231.5</v>
      </c>
    </row>
    <row r="247" spans="1:20" x14ac:dyDescent="0.25">
      <c r="A247" t="s">
        <v>14</v>
      </c>
      <c r="B247" t="s">
        <v>2455</v>
      </c>
      <c r="C247" t="s">
        <v>4365</v>
      </c>
      <c r="D247" t="s">
        <v>4366</v>
      </c>
      <c r="E247">
        <v>47300070563</v>
      </c>
      <c r="F247" t="s">
        <v>16</v>
      </c>
      <c r="G247" t="s">
        <v>28</v>
      </c>
      <c r="H247" t="s">
        <v>359</v>
      </c>
      <c r="K247" t="s">
        <v>3294</v>
      </c>
      <c r="L247" t="s">
        <v>19</v>
      </c>
      <c r="M247" t="s">
        <v>46</v>
      </c>
      <c r="N247" s="2">
        <v>45323</v>
      </c>
      <c r="O247" s="2">
        <v>45351</v>
      </c>
      <c r="P247">
        <v>500</v>
      </c>
      <c r="Q247">
        <v>500</v>
      </c>
      <c r="R247" t="s">
        <v>2822</v>
      </c>
    </row>
    <row r="248" spans="1:20" x14ac:dyDescent="0.25">
      <c r="A248" t="s">
        <v>14</v>
      </c>
      <c r="B248" t="s">
        <v>2455</v>
      </c>
      <c r="C248" t="s">
        <v>4402</v>
      </c>
      <c r="D248" t="s">
        <v>4403</v>
      </c>
      <c r="E248">
        <v>47300070563</v>
      </c>
      <c r="F248" t="s">
        <v>16</v>
      </c>
      <c r="G248" t="s">
        <v>28</v>
      </c>
      <c r="H248" t="s">
        <v>359</v>
      </c>
      <c r="K248" t="s">
        <v>3197</v>
      </c>
      <c r="L248" t="s">
        <v>19</v>
      </c>
      <c r="M248" t="s">
        <v>46</v>
      </c>
      <c r="N248" s="2">
        <v>45323</v>
      </c>
      <c r="O248" s="2">
        <v>45351</v>
      </c>
      <c r="P248">
        <v>145500</v>
      </c>
      <c r="Q248">
        <v>145500</v>
      </c>
      <c r="R248" t="s">
        <v>2822</v>
      </c>
    </row>
    <row r="249" spans="1:20" x14ac:dyDescent="0.25">
      <c r="A249" t="s">
        <v>14</v>
      </c>
      <c r="B249" t="s">
        <v>2455</v>
      </c>
      <c r="C249" t="s">
        <v>4365</v>
      </c>
      <c r="D249" t="s">
        <v>4366</v>
      </c>
      <c r="E249">
        <v>47300070563</v>
      </c>
      <c r="F249" t="s">
        <v>16</v>
      </c>
      <c r="G249" t="s">
        <v>28</v>
      </c>
      <c r="H249" t="s">
        <v>359</v>
      </c>
      <c r="K249" t="s">
        <v>2892</v>
      </c>
      <c r="L249" t="s">
        <v>19</v>
      </c>
      <c r="M249" t="s">
        <v>46</v>
      </c>
      <c r="N249" s="2">
        <v>45323</v>
      </c>
      <c r="O249" s="2">
        <v>45351</v>
      </c>
      <c r="P249">
        <v>10000</v>
      </c>
      <c r="Q249">
        <v>10000</v>
      </c>
      <c r="R249" t="s">
        <v>2822</v>
      </c>
    </row>
    <row r="250" spans="1:20" x14ac:dyDescent="0.25">
      <c r="A250" t="s">
        <v>14</v>
      </c>
      <c r="B250" t="s">
        <v>2455</v>
      </c>
      <c r="C250" t="s">
        <v>4365</v>
      </c>
      <c r="D250" t="s">
        <v>4366</v>
      </c>
      <c r="E250">
        <v>47300070563</v>
      </c>
      <c r="F250" t="s">
        <v>16</v>
      </c>
      <c r="G250" t="s">
        <v>28</v>
      </c>
      <c r="H250" t="s">
        <v>359</v>
      </c>
      <c r="K250" t="s">
        <v>2443</v>
      </c>
      <c r="L250" t="s">
        <v>47</v>
      </c>
      <c r="N250" s="2">
        <v>45323</v>
      </c>
      <c r="O250" s="2">
        <v>45323</v>
      </c>
      <c r="P250">
        <v>300345.46000000002</v>
      </c>
      <c r="Q250">
        <v>300345.46000000002</v>
      </c>
      <c r="R250" t="s">
        <v>2822</v>
      </c>
    </row>
    <row r="251" spans="1:20" x14ac:dyDescent="0.25">
      <c r="A251" t="s">
        <v>14</v>
      </c>
      <c r="B251" t="s">
        <v>2455</v>
      </c>
      <c r="C251" t="s">
        <v>4365</v>
      </c>
      <c r="D251" t="s">
        <v>4366</v>
      </c>
      <c r="E251">
        <v>47300070563</v>
      </c>
      <c r="F251" t="s">
        <v>16</v>
      </c>
      <c r="G251" t="s">
        <v>28</v>
      </c>
      <c r="H251" t="s">
        <v>359</v>
      </c>
      <c r="K251" t="s">
        <v>2823</v>
      </c>
      <c r="L251" t="s">
        <v>47</v>
      </c>
      <c r="N251" s="2">
        <v>45323</v>
      </c>
      <c r="O251" s="2">
        <v>45323</v>
      </c>
      <c r="P251">
        <v>30034.55</v>
      </c>
      <c r="Q251">
        <v>30034.55</v>
      </c>
      <c r="R251" t="s">
        <v>2822</v>
      </c>
    </row>
    <row r="252" spans="1:20" x14ac:dyDescent="0.25">
      <c r="A252" t="s">
        <v>14</v>
      </c>
      <c r="B252" t="s">
        <v>2453</v>
      </c>
      <c r="C252" t="s">
        <v>4365</v>
      </c>
      <c r="D252" t="s">
        <v>4366</v>
      </c>
      <c r="E252">
        <v>47300070563</v>
      </c>
      <c r="F252" t="s">
        <v>16</v>
      </c>
      <c r="G252" t="s">
        <v>28</v>
      </c>
      <c r="H252" t="s">
        <v>359</v>
      </c>
      <c r="K252" t="s">
        <v>3557</v>
      </c>
      <c r="L252" t="s">
        <v>19</v>
      </c>
      <c r="M252" t="s">
        <v>20</v>
      </c>
      <c r="P252">
        <v>30000</v>
      </c>
      <c r="Q252">
        <v>30000</v>
      </c>
      <c r="R252" t="s">
        <v>3598</v>
      </c>
      <c r="S252" t="s">
        <v>2454</v>
      </c>
      <c r="T252">
        <v>138.9</v>
      </c>
    </row>
    <row r="253" spans="1:20" x14ac:dyDescent="0.25">
      <c r="A253" t="s">
        <v>14</v>
      </c>
      <c r="B253" t="s">
        <v>2452</v>
      </c>
      <c r="C253" t="s">
        <v>4378</v>
      </c>
      <c r="D253" t="s">
        <v>4379</v>
      </c>
      <c r="E253">
        <v>47300070845</v>
      </c>
      <c r="F253" t="s">
        <v>16</v>
      </c>
      <c r="G253" t="s">
        <v>23</v>
      </c>
      <c r="H253" t="s">
        <v>157</v>
      </c>
      <c r="K253" t="s">
        <v>4351</v>
      </c>
      <c r="L253" t="s">
        <v>47</v>
      </c>
      <c r="N253" s="2">
        <v>45342</v>
      </c>
      <c r="O253" s="2">
        <v>45347</v>
      </c>
      <c r="P253">
        <v>792308.86</v>
      </c>
      <c r="Q253">
        <v>792308.86</v>
      </c>
      <c r="R253" t="s">
        <v>4350</v>
      </c>
    </row>
    <row r="254" spans="1:20" x14ac:dyDescent="0.25">
      <c r="A254" t="s">
        <v>14</v>
      </c>
      <c r="B254" t="s">
        <v>2451</v>
      </c>
      <c r="C254" t="s">
        <v>4392</v>
      </c>
      <c r="D254" t="s">
        <v>4393</v>
      </c>
      <c r="E254">
        <v>47300046688</v>
      </c>
      <c r="F254" t="s">
        <v>16</v>
      </c>
      <c r="G254" t="s">
        <v>17</v>
      </c>
      <c r="H254" t="s">
        <v>154</v>
      </c>
      <c r="K254" t="s">
        <v>3197</v>
      </c>
      <c r="L254" t="s">
        <v>19</v>
      </c>
      <c r="M254" t="s">
        <v>46</v>
      </c>
      <c r="N254" s="2">
        <v>45323</v>
      </c>
      <c r="O254" s="2">
        <v>45351</v>
      </c>
      <c r="P254">
        <v>145500</v>
      </c>
      <c r="Q254">
        <v>145500</v>
      </c>
      <c r="R254" t="s">
        <v>2926</v>
      </c>
    </row>
    <row r="255" spans="1:20" x14ac:dyDescent="0.25">
      <c r="A255" t="s">
        <v>14</v>
      </c>
      <c r="B255" t="s">
        <v>2451</v>
      </c>
      <c r="C255" t="s">
        <v>4392</v>
      </c>
      <c r="D255" t="s">
        <v>4393</v>
      </c>
      <c r="E255">
        <v>47300046688</v>
      </c>
      <c r="F255" t="s">
        <v>16</v>
      </c>
      <c r="G255" t="s">
        <v>17</v>
      </c>
      <c r="H255" t="s">
        <v>154</v>
      </c>
      <c r="K255" t="s">
        <v>2892</v>
      </c>
      <c r="L255" t="s">
        <v>19</v>
      </c>
      <c r="M255" t="s">
        <v>46</v>
      </c>
      <c r="N255" s="2">
        <v>45323</v>
      </c>
      <c r="O255" s="2">
        <v>45351</v>
      </c>
      <c r="P255">
        <v>10000</v>
      </c>
      <c r="Q255">
        <v>10000</v>
      </c>
      <c r="R255" t="s">
        <v>2926</v>
      </c>
    </row>
    <row r="256" spans="1:20" x14ac:dyDescent="0.25">
      <c r="A256" t="s">
        <v>14</v>
      </c>
      <c r="B256" t="s">
        <v>2449</v>
      </c>
      <c r="C256" t="s">
        <v>4374</v>
      </c>
      <c r="D256" t="s">
        <v>4375</v>
      </c>
      <c r="E256">
        <v>47300046688</v>
      </c>
      <c r="F256" t="s">
        <v>16</v>
      </c>
      <c r="G256" t="s">
        <v>17</v>
      </c>
      <c r="H256" t="s">
        <v>154</v>
      </c>
      <c r="K256" t="s">
        <v>3557</v>
      </c>
      <c r="L256" t="s">
        <v>19</v>
      </c>
      <c r="M256" t="s">
        <v>20</v>
      </c>
      <c r="P256">
        <v>20000</v>
      </c>
      <c r="Q256">
        <v>20000</v>
      </c>
      <c r="R256" t="s">
        <v>3599</v>
      </c>
      <c r="S256" t="s">
        <v>2450</v>
      </c>
      <c r="T256">
        <v>92.6</v>
      </c>
    </row>
    <row r="257" spans="1:20" x14ac:dyDescent="0.25">
      <c r="A257" t="s">
        <v>14</v>
      </c>
      <c r="B257" t="s">
        <v>2447</v>
      </c>
      <c r="C257" t="s">
        <v>4414</v>
      </c>
      <c r="D257" t="s">
        <v>4401</v>
      </c>
      <c r="E257">
        <v>47300070688</v>
      </c>
      <c r="F257" t="s">
        <v>16</v>
      </c>
      <c r="G257" t="s">
        <v>17</v>
      </c>
      <c r="H257" t="s">
        <v>149</v>
      </c>
      <c r="K257" t="s">
        <v>4229</v>
      </c>
      <c r="L257" t="s">
        <v>19</v>
      </c>
      <c r="M257" t="s">
        <v>63</v>
      </c>
      <c r="N257" s="2">
        <v>45323</v>
      </c>
      <c r="O257" s="2">
        <v>45351</v>
      </c>
      <c r="P257">
        <v>50000</v>
      </c>
      <c r="Q257">
        <v>50000</v>
      </c>
      <c r="R257" t="s">
        <v>2928</v>
      </c>
      <c r="S257" t="s">
        <v>2448</v>
      </c>
      <c r="T257">
        <v>231.4</v>
      </c>
    </row>
    <row r="258" spans="1:20" x14ac:dyDescent="0.25">
      <c r="A258" t="s">
        <v>14</v>
      </c>
      <c r="B258" t="s">
        <v>2447</v>
      </c>
      <c r="C258" t="s">
        <v>4386</v>
      </c>
      <c r="D258" t="s">
        <v>4368</v>
      </c>
      <c r="E258">
        <v>47300070688</v>
      </c>
      <c r="F258" t="s">
        <v>16</v>
      </c>
      <c r="G258" t="s">
        <v>17</v>
      </c>
      <c r="H258" t="s">
        <v>149</v>
      </c>
      <c r="K258" t="s">
        <v>3294</v>
      </c>
      <c r="L258" t="s">
        <v>19</v>
      </c>
      <c r="M258" t="s">
        <v>46</v>
      </c>
      <c r="N258" s="2">
        <v>45323</v>
      </c>
      <c r="O258" s="2">
        <v>45351</v>
      </c>
      <c r="P258">
        <v>500</v>
      </c>
      <c r="Q258">
        <v>500</v>
      </c>
      <c r="R258" t="s">
        <v>2928</v>
      </c>
    </row>
    <row r="259" spans="1:20" x14ac:dyDescent="0.25">
      <c r="A259" t="s">
        <v>14</v>
      </c>
      <c r="B259" t="s">
        <v>2447</v>
      </c>
      <c r="C259" t="s">
        <v>4367</v>
      </c>
      <c r="D259" t="s">
        <v>4368</v>
      </c>
      <c r="E259">
        <v>47300070688</v>
      </c>
      <c r="F259" t="s">
        <v>16</v>
      </c>
      <c r="G259" t="s">
        <v>17</v>
      </c>
      <c r="H259" t="s">
        <v>149</v>
      </c>
      <c r="K259" t="s">
        <v>3197</v>
      </c>
      <c r="L259" t="s">
        <v>19</v>
      </c>
      <c r="M259" t="s">
        <v>46</v>
      </c>
      <c r="N259" s="2">
        <v>45323</v>
      </c>
      <c r="O259" s="2">
        <v>45351</v>
      </c>
      <c r="P259">
        <v>145500</v>
      </c>
      <c r="Q259">
        <v>145500</v>
      </c>
      <c r="R259" t="s">
        <v>2928</v>
      </c>
    </row>
    <row r="260" spans="1:20" x14ac:dyDescent="0.25">
      <c r="A260" t="s">
        <v>14</v>
      </c>
      <c r="B260" t="s">
        <v>2447</v>
      </c>
      <c r="C260" t="s">
        <v>4394</v>
      </c>
      <c r="D260" t="s">
        <v>4395</v>
      </c>
      <c r="E260">
        <v>47300070688</v>
      </c>
      <c r="F260" t="s">
        <v>16</v>
      </c>
      <c r="G260" t="s">
        <v>17</v>
      </c>
      <c r="H260" t="s">
        <v>149</v>
      </c>
      <c r="K260" t="s">
        <v>2892</v>
      </c>
      <c r="L260" t="s">
        <v>19</v>
      </c>
      <c r="M260" t="s">
        <v>46</v>
      </c>
      <c r="N260" s="2">
        <v>45323</v>
      </c>
      <c r="O260" s="2">
        <v>45351</v>
      </c>
      <c r="P260">
        <v>10000</v>
      </c>
      <c r="Q260">
        <v>10000</v>
      </c>
      <c r="R260" t="s">
        <v>2928</v>
      </c>
    </row>
    <row r="261" spans="1:20" x14ac:dyDescent="0.25">
      <c r="A261" t="s">
        <v>14</v>
      </c>
      <c r="B261" t="s">
        <v>2446</v>
      </c>
      <c r="C261" t="s">
        <v>4389</v>
      </c>
      <c r="D261" t="s">
        <v>4390</v>
      </c>
      <c r="E261">
        <v>47300070571</v>
      </c>
      <c r="F261" t="s">
        <v>42</v>
      </c>
      <c r="G261" t="s">
        <v>28</v>
      </c>
      <c r="H261" t="s">
        <v>72</v>
      </c>
      <c r="K261" t="s">
        <v>3197</v>
      </c>
      <c r="L261" t="s">
        <v>19</v>
      </c>
      <c r="M261" t="s">
        <v>46</v>
      </c>
      <c r="N261" s="2">
        <v>45323</v>
      </c>
      <c r="O261" s="2">
        <v>45351</v>
      </c>
      <c r="P261">
        <v>145500</v>
      </c>
      <c r="Q261">
        <v>145500</v>
      </c>
      <c r="R261" t="s">
        <v>2929</v>
      </c>
    </row>
    <row r="262" spans="1:20" x14ac:dyDescent="0.25">
      <c r="A262" t="s">
        <v>14</v>
      </c>
      <c r="B262" t="s">
        <v>2446</v>
      </c>
      <c r="C262" t="s">
        <v>4406</v>
      </c>
      <c r="D262" t="s">
        <v>4394</v>
      </c>
      <c r="E262">
        <v>47300070571</v>
      </c>
      <c r="F262" t="s">
        <v>42</v>
      </c>
      <c r="G262" t="s">
        <v>28</v>
      </c>
      <c r="H262" t="s">
        <v>72</v>
      </c>
      <c r="K262" t="s">
        <v>2892</v>
      </c>
      <c r="L262" t="s">
        <v>19</v>
      </c>
      <c r="M262" t="s">
        <v>46</v>
      </c>
      <c r="N262" s="2">
        <v>45323</v>
      </c>
      <c r="O262" s="2">
        <v>45351</v>
      </c>
      <c r="P262">
        <v>10000</v>
      </c>
      <c r="Q262">
        <v>10000</v>
      </c>
      <c r="R262" t="s">
        <v>2929</v>
      </c>
    </row>
    <row r="263" spans="1:20" x14ac:dyDescent="0.25">
      <c r="A263" t="s">
        <v>14</v>
      </c>
      <c r="B263" t="s">
        <v>2444</v>
      </c>
      <c r="C263" t="s">
        <v>4414</v>
      </c>
      <c r="D263" t="s">
        <v>4401</v>
      </c>
      <c r="E263">
        <v>47300070571</v>
      </c>
      <c r="F263" t="s">
        <v>42</v>
      </c>
      <c r="G263" t="s">
        <v>28</v>
      </c>
      <c r="H263" t="s">
        <v>72</v>
      </c>
      <c r="K263" t="s">
        <v>3557</v>
      </c>
      <c r="L263" t="s">
        <v>19</v>
      </c>
      <c r="M263" t="s">
        <v>20</v>
      </c>
      <c r="P263">
        <v>100000</v>
      </c>
      <c r="Q263">
        <v>100000</v>
      </c>
      <c r="R263" t="s">
        <v>3600</v>
      </c>
      <c r="S263" t="s">
        <v>2445</v>
      </c>
      <c r="T263">
        <v>463</v>
      </c>
    </row>
    <row r="264" spans="1:20" x14ac:dyDescent="0.25">
      <c r="A264" t="s">
        <v>14</v>
      </c>
      <c r="B264" t="s">
        <v>2442</v>
      </c>
      <c r="C264" t="s">
        <v>4389</v>
      </c>
      <c r="D264" t="s">
        <v>4390</v>
      </c>
      <c r="E264">
        <v>47300046241</v>
      </c>
      <c r="F264" t="s">
        <v>16</v>
      </c>
      <c r="G264" t="s">
        <v>23</v>
      </c>
      <c r="H264" t="s">
        <v>24</v>
      </c>
      <c r="I264" t="s">
        <v>2754</v>
      </c>
      <c r="J264">
        <v>0</v>
      </c>
      <c r="K264" t="s">
        <v>2443</v>
      </c>
      <c r="L264" t="s">
        <v>47</v>
      </c>
      <c r="N264" s="2">
        <v>45342</v>
      </c>
      <c r="O264" s="2">
        <v>45347</v>
      </c>
      <c r="P264">
        <v>338808.86</v>
      </c>
      <c r="Q264">
        <v>338808.86</v>
      </c>
      <c r="R264" t="s">
        <v>2824</v>
      </c>
    </row>
    <row r="265" spans="1:20" x14ac:dyDescent="0.25">
      <c r="A265" t="s">
        <v>14</v>
      </c>
      <c r="B265" t="s">
        <v>2442</v>
      </c>
      <c r="C265" t="s">
        <v>4392</v>
      </c>
      <c r="D265" t="s">
        <v>4393</v>
      </c>
      <c r="E265">
        <v>47300046241</v>
      </c>
      <c r="F265" t="s">
        <v>16</v>
      </c>
      <c r="G265" t="s">
        <v>23</v>
      </c>
      <c r="H265" t="s">
        <v>24</v>
      </c>
      <c r="I265" t="s">
        <v>2754</v>
      </c>
      <c r="J265">
        <v>0</v>
      </c>
      <c r="K265" t="s">
        <v>2825</v>
      </c>
      <c r="L265" t="s">
        <v>47</v>
      </c>
      <c r="N265" s="2">
        <v>45342</v>
      </c>
      <c r="O265" s="2">
        <v>45347</v>
      </c>
      <c r="P265">
        <v>33880.89</v>
      </c>
      <c r="Q265">
        <v>33880.89</v>
      </c>
      <c r="R265" t="s">
        <v>2824</v>
      </c>
    </row>
    <row r="266" spans="1:20" x14ac:dyDescent="0.25">
      <c r="A266" t="s">
        <v>14</v>
      </c>
      <c r="B266" t="s">
        <v>2440</v>
      </c>
      <c r="C266" t="s">
        <v>4406</v>
      </c>
      <c r="D266" t="s">
        <v>4394</v>
      </c>
      <c r="E266">
        <v>47300046241</v>
      </c>
      <c r="F266" t="s">
        <v>16</v>
      </c>
      <c r="G266" t="s">
        <v>23</v>
      </c>
      <c r="H266" t="s">
        <v>24</v>
      </c>
      <c r="I266" t="s">
        <v>2754</v>
      </c>
      <c r="J266">
        <v>0</v>
      </c>
      <c r="K266" t="s">
        <v>3557</v>
      </c>
      <c r="L266" t="s">
        <v>19</v>
      </c>
      <c r="M266" t="s">
        <v>20</v>
      </c>
      <c r="P266">
        <v>20000</v>
      </c>
      <c r="Q266">
        <v>20000</v>
      </c>
      <c r="R266" t="s">
        <v>3601</v>
      </c>
      <c r="S266" t="s">
        <v>2441</v>
      </c>
      <c r="T266">
        <v>92.6</v>
      </c>
    </row>
    <row r="267" spans="1:20" x14ac:dyDescent="0.25">
      <c r="A267" t="s">
        <v>14</v>
      </c>
      <c r="B267" t="s">
        <v>2438</v>
      </c>
      <c r="C267" t="s">
        <v>4394</v>
      </c>
      <c r="D267" t="s">
        <v>4395</v>
      </c>
      <c r="E267">
        <v>47300026094</v>
      </c>
      <c r="F267" t="s">
        <v>35</v>
      </c>
      <c r="G267" t="s">
        <v>36</v>
      </c>
      <c r="H267" t="s">
        <v>4359</v>
      </c>
      <c r="K267" t="s">
        <v>3557</v>
      </c>
      <c r="L267" t="s">
        <v>19</v>
      </c>
      <c r="M267" t="s">
        <v>20</v>
      </c>
      <c r="P267">
        <v>100000</v>
      </c>
      <c r="Q267">
        <v>100000</v>
      </c>
      <c r="R267" t="s">
        <v>3602</v>
      </c>
      <c r="S267" t="s">
        <v>2439</v>
      </c>
      <c r="T267">
        <v>463</v>
      </c>
    </row>
    <row r="268" spans="1:20" x14ac:dyDescent="0.25">
      <c r="A268" t="s">
        <v>14</v>
      </c>
      <c r="B268" t="s">
        <v>2436</v>
      </c>
      <c r="C268" t="s">
        <v>4394</v>
      </c>
      <c r="D268" t="s">
        <v>4395</v>
      </c>
      <c r="E268">
        <v>47300025690</v>
      </c>
      <c r="F268" t="s">
        <v>35</v>
      </c>
      <c r="G268" t="s">
        <v>36</v>
      </c>
      <c r="H268" t="s">
        <v>37</v>
      </c>
      <c r="K268" t="s">
        <v>3557</v>
      </c>
      <c r="L268" t="s">
        <v>19</v>
      </c>
      <c r="M268" t="s">
        <v>20</v>
      </c>
      <c r="P268">
        <v>50000</v>
      </c>
      <c r="Q268">
        <v>50000</v>
      </c>
      <c r="R268" t="s">
        <v>3603</v>
      </c>
      <c r="S268" t="s">
        <v>2437</v>
      </c>
      <c r="T268">
        <v>231.5</v>
      </c>
    </row>
    <row r="269" spans="1:20" x14ac:dyDescent="0.25">
      <c r="A269" t="s">
        <v>14</v>
      </c>
      <c r="B269" t="s">
        <v>2435</v>
      </c>
      <c r="C269" t="s">
        <v>4414</v>
      </c>
      <c r="D269" t="s">
        <v>4401</v>
      </c>
      <c r="E269">
        <v>47300046746</v>
      </c>
      <c r="F269" t="s">
        <v>16</v>
      </c>
      <c r="G269" t="s">
        <v>28</v>
      </c>
      <c r="H269" t="s">
        <v>32</v>
      </c>
      <c r="K269" t="s">
        <v>4343</v>
      </c>
      <c r="L269" t="s">
        <v>47</v>
      </c>
      <c r="N269" s="2">
        <v>45342</v>
      </c>
      <c r="O269" s="2">
        <v>45350</v>
      </c>
      <c r="P269">
        <v>18250</v>
      </c>
      <c r="Q269">
        <v>18250</v>
      </c>
      <c r="R269" t="s">
        <v>4342</v>
      </c>
    </row>
    <row r="270" spans="1:20" x14ac:dyDescent="0.25">
      <c r="A270" t="s">
        <v>14</v>
      </c>
      <c r="B270" t="s">
        <v>2434</v>
      </c>
      <c r="C270" t="s">
        <v>4414</v>
      </c>
      <c r="D270" t="s">
        <v>4401</v>
      </c>
      <c r="E270">
        <v>47300046746</v>
      </c>
      <c r="F270" t="s">
        <v>16</v>
      </c>
      <c r="G270" t="s">
        <v>28</v>
      </c>
      <c r="H270" t="s">
        <v>32</v>
      </c>
      <c r="K270" t="s">
        <v>3197</v>
      </c>
      <c r="L270" t="s">
        <v>19</v>
      </c>
      <c r="M270" t="s">
        <v>46</v>
      </c>
      <c r="N270" s="2">
        <v>45323</v>
      </c>
      <c r="O270" s="2">
        <v>45351</v>
      </c>
      <c r="P270">
        <v>145500</v>
      </c>
      <c r="Q270">
        <v>145500</v>
      </c>
      <c r="R270" t="s">
        <v>2930</v>
      </c>
    </row>
    <row r="271" spans="1:20" x14ac:dyDescent="0.25">
      <c r="A271" t="s">
        <v>14</v>
      </c>
      <c r="B271" t="s">
        <v>2434</v>
      </c>
      <c r="C271" t="s">
        <v>4389</v>
      </c>
      <c r="D271" t="s">
        <v>4390</v>
      </c>
      <c r="E271">
        <v>47300046746</v>
      </c>
      <c r="F271" t="s">
        <v>16</v>
      </c>
      <c r="G271" t="s">
        <v>28</v>
      </c>
      <c r="H271" t="s">
        <v>32</v>
      </c>
      <c r="K271" t="s">
        <v>2892</v>
      </c>
      <c r="L271" t="s">
        <v>19</v>
      </c>
      <c r="M271" t="s">
        <v>46</v>
      </c>
      <c r="N271" s="2">
        <v>45323</v>
      </c>
      <c r="O271" s="2">
        <v>45351</v>
      </c>
      <c r="P271">
        <v>10000</v>
      </c>
      <c r="Q271">
        <v>10000</v>
      </c>
      <c r="R271" t="s">
        <v>2930</v>
      </c>
    </row>
    <row r="272" spans="1:20" x14ac:dyDescent="0.25">
      <c r="A272" t="s">
        <v>14</v>
      </c>
      <c r="B272" t="s">
        <v>2432</v>
      </c>
      <c r="C272" t="s">
        <v>4392</v>
      </c>
      <c r="D272" t="s">
        <v>4393</v>
      </c>
      <c r="E272">
        <v>47300046746</v>
      </c>
      <c r="F272" t="s">
        <v>16</v>
      </c>
      <c r="G272" t="s">
        <v>28</v>
      </c>
      <c r="H272" t="s">
        <v>32</v>
      </c>
      <c r="K272" t="s">
        <v>3557</v>
      </c>
      <c r="L272" t="s">
        <v>19</v>
      </c>
      <c r="M272" t="s">
        <v>20</v>
      </c>
      <c r="P272">
        <v>11000</v>
      </c>
      <c r="Q272">
        <v>11000</v>
      </c>
      <c r="R272" t="s">
        <v>3604</v>
      </c>
      <c r="S272" t="s">
        <v>2433</v>
      </c>
      <c r="T272">
        <v>51</v>
      </c>
    </row>
    <row r="273" spans="1:20" x14ac:dyDescent="0.25">
      <c r="A273" t="s">
        <v>14</v>
      </c>
      <c r="B273" t="s">
        <v>2430</v>
      </c>
      <c r="C273" t="s">
        <v>4406</v>
      </c>
      <c r="D273" t="s">
        <v>4394</v>
      </c>
      <c r="E273">
        <v>47300070795</v>
      </c>
      <c r="F273" t="s">
        <v>16</v>
      </c>
      <c r="G273" t="s">
        <v>87</v>
      </c>
      <c r="H273" t="s">
        <v>88</v>
      </c>
      <c r="K273" t="s">
        <v>3557</v>
      </c>
      <c r="L273" t="s">
        <v>19</v>
      </c>
      <c r="M273" t="s">
        <v>20</v>
      </c>
      <c r="P273">
        <v>100000</v>
      </c>
      <c r="Q273">
        <v>100000</v>
      </c>
      <c r="R273" t="s">
        <v>3605</v>
      </c>
      <c r="S273" t="s">
        <v>2431</v>
      </c>
      <c r="T273">
        <v>463</v>
      </c>
    </row>
    <row r="274" spans="1:20" x14ac:dyDescent="0.25">
      <c r="A274" t="s">
        <v>14</v>
      </c>
      <c r="B274" t="s">
        <v>2429</v>
      </c>
      <c r="C274" t="s">
        <v>4384</v>
      </c>
      <c r="D274" t="s">
        <v>4391</v>
      </c>
      <c r="E274">
        <v>47300046761</v>
      </c>
      <c r="F274" t="s">
        <v>42</v>
      </c>
      <c r="G274" t="s">
        <v>28</v>
      </c>
      <c r="H274" t="s">
        <v>43</v>
      </c>
      <c r="K274" t="s">
        <v>3197</v>
      </c>
      <c r="L274" t="s">
        <v>19</v>
      </c>
      <c r="M274" t="s">
        <v>46</v>
      </c>
      <c r="N274" s="2">
        <v>45323</v>
      </c>
      <c r="O274" s="2">
        <v>45351</v>
      </c>
      <c r="P274">
        <v>145500</v>
      </c>
      <c r="Q274">
        <v>145500</v>
      </c>
      <c r="R274" t="s">
        <v>2931</v>
      </c>
    </row>
    <row r="275" spans="1:20" x14ac:dyDescent="0.25">
      <c r="A275" t="s">
        <v>14</v>
      </c>
      <c r="B275" t="s">
        <v>2429</v>
      </c>
      <c r="C275" t="s">
        <v>4372</v>
      </c>
      <c r="D275" t="s">
        <v>4373</v>
      </c>
      <c r="E275">
        <v>47300046761</v>
      </c>
      <c r="F275" t="s">
        <v>42</v>
      </c>
      <c r="G275" t="s">
        <v>28</v>
      </c>
      <c r="H275" t="s">
        <v>43</v>
      </c>
      <c r="K275" t="s">
        <v>2892</v>
      </c>
      <c r="L275" t="s">
        <v>19</v>
      </c>
      <c r="M275" t="s">
        <v>46</v>
      </c>
      <c r="N275" s="2">
        <v>45323</v>
      </c>
      <c r="O275" s="2">
        <v>45351</v>
      </c>
      <c r="P275">
        <v>10000</v>
      </c>
      <c r="Q275">
        <v>10000</v>
      </c>
      <c r="R275" t="s">
        <v>2931</v>
      </c>
    </row>
    <row r="276" spans="1:20" x14ac:dyDescent="0.25">
      <c r="A276" t="s">
        <v>14</v>
      </c>
      <c r="B276" t="s">
        <v>2428</v>
      </c>
      <c r="C276" t="s">
        <v>4384</v>
      </c>
      <c r="D276" t="s">
        <v>4391</v>
      </c>
      <c r="E276">
        <v>47300046977</v>
      </c>
      <c r="F276" t="s">
        <v>16</v>
      </c>
      <c r="G276" t="s">
        <v>17</v>
      </c>
      <c r="H276" t="s">
        <v>175</v>
      </c>
      <c r="K276" t="s">
        <v>3294</v>
      </c>
      <c r="L276" t="s">
        <v>19</v>
      </c>
      <c r="M276" t="s">
        <v>46</v>
      </c>
      <c r="N276" s="2">
        <v>45323</v>
      </c>
      <c r="O276" s="2">
        <v>45351</v>
      </c>
      <c r="P276">
        <v>500</v>
      </c>
      <c r="Q276">
        <v>500</v>
      </c>
      <c r="R276" t="s">
        <v>2932</v>
      </c>
    </row>
    <row r="277" spans="1:20" x14ac:dyDescent="0.25">
      <c r="A277" t="s">
        <v>14</v>
      </c>
      <c r="B277" t="s">
        <v>2428</v>
      </c>
      <c r="C277" t="s">
        <v>4387</v>
      </c>
      <c r="D277" t="s">
        <v>4388</v>
      </c>
      <c r="E277">
        <v>47300046977</v>
      </c>
      <c r="F277" t="s">
        <v>16</v>
      </c>
      <c r="G277" t="s">
        <v>17</v>
      </c>
      <c r="H277" t="s">
        <v>175</v>
      </c>
      <c r="K277" t="s">
        <v>3197</v>
      </c>
      <c r="L277" t="s">
        <v>19</v>
      </c>
      <c r="M277" t="s">
        <v>46</v>
      </c>
      <c r="N277" s="2">
        <v>45323</v>
      </c>
      <c r="O277" s="2">
        <v>45351</v>
      </c>
      <c r="P277">
        <v>145500</v>
      </c>
      <c r="Q277">
        <v>145500</v>
      </c>
      <c r="R277" t="s">
        <v>2932</v>
      </c>
    </row>
    <row r="278" spans="1:20" x14ac:dyDescent="0.25">
      <c r="A278" t="s">
        <v>14</v>
      </c>
      <c r="B278" t="s">
        <v>2428</v>
      </c>
      <c r="C278" t="s">
        <v>4372</v>
      </c>
      <c r="D278" t="s">
        <v>4373</v>
      </c>
      <c r="E278">
        <v>47300046977</v>
      </c>
      <c r="F278" t="s">
        <v>16</v>
      </c>
      <c r="G278" t="s">
        <v>17</v>
      </c>
      <c r="H278" t="s">
        <v>175</v>
      </c>
      <c r="K278" t="s">
        <v>2892</v>
      </c>
      <c r="L278" t="s">
        <v>19</v>
      </c>
      <c r="M278" t="s">
        <v>46</v>
      </c>
      <c r="N278" s="2">
        <v>45323</v>
      </c>
      <c r="O278" s="2">
        <v>45351</v>
      </c>
      <c r="P278">
        <v>10000</v>
      </c>
      <c r="Q278">
        <v>10000</v>
      </c>
      <c r="R278" t="s">
        <v>2932</v>
      </c>
    </row>
    <row r="279" spans="1:20" x14ac:dyDescent="0.25">
      <c r="A279" t="s">
        <v>14</v>
      </c>
      <c r="B279" t="s">
        <v>2427</v>
      </c>
      <c r="C279" t="s">
        <v>4384</v>
      </c>
      <c r="D279" t="s">
        <v>4391</v>
      </c>
      <c r="E279">
        <v>47300046282</v>
      </c>
      <c r="F279" t="s">
        <v>16</v>
      </c>
      <c r="G279" t="s">
        <v>17</v>
      </c>
      <c r="H279" t="s">
        <v>746</v>
      </c>
      <c r="K279" t="s">
        <v>2892</v>
      </c>
      <c r="L279" t="s">
        <v>19</v>
      </c>
      <c r="M279" t="s">
        <v>46</v>
      </c>
      <c r="N279" s="2">
        <v>45323</v>
      </c>
      <c r="O279" s="2">
        <v>45351</v>
      </c>
      <c r="P279">
        <v>10000</v>
      </c>
      <c r="Q279">
        <v>10000</v>
      </c>
      <c r="R279" t="s">
        <v>2933</v>
      </c>
    </row>
    <row r="280" spans="1:20" x14ac:dyDescent="0.25">
      <c r="A280" t="s">
        <v>14</v>
      </c>
      <c r="B280" t="s">
        <v>2425</v>
      </c>
      <c r="C280" t="s">
        <v>4387</v>
      </c>
      <c r="D280" t="s">
        <v>4388</v>
      </c>
      <c r="E280">
        <v>47300046282</v>
      </c>
      <c r="F280" t="s">
        <v>16</v>
      </c>
      <c r="G280" t="s">
        <v>17</v>
      </c>
      <c r="H280" t="s">
        <v>746</v>
      </c>
      <c r="K280" t="s">
        <v>4229</v>
      </c>
      <c r="L280" t="s">
        <v>19</v>
      </c>
      <c r="M280" t="s">
        <v>63</v>
      </c>
      <c r="N280" s="2">
        <v>45323</v>
      </c>
      <c r="O280" s="2">
        <v>45351</v>
      </c>
      <c r="P280">
        <v>250000</v>
      </c>
      <c r="Q280">
        <v>250000</v>
      </c>
      <c r="R280" t="s">
        <v>4237</v>
      </c>
      <c r="S280" t="s">
        <v>2426</v>
      </c>
      <c r="T280">
        <v>1157.5</v>
      </c>
    </row>
    <row r="281" spans="1:20" x14ac:dyDescent="0.25">
      <c r="A281" t="s">
        <v>14</v>
      </c>
      <c r="B281" t="s">
        <v>2424</v>
      </c>
      <c r="C281" t="s">
        <v>4369</v>
      </c>
      <c r="D281" t="s">
        <v>4370</v>
      </c>
      <c r="E281">
        <v>47300086445</v>
      </c>
      <c r="F281" t="s">
        <v>16</v>
      </c>
      <c r="G281" t="s">
        <v>28</v>
      </c>
      <c r="H281" t="s">
        <v>187</v>
      </c>
      <c r="I281" t="s">
        <v>2777</v>
      </c>
      <c r="J281" t="s">
        <v>2776</v>
      </c>
      <c r="K281" t="s">
        <v>3197</v>
      </c>
      <c r="L281" t="s">
        <v>19</v>
      </c>
      <c r="M281" t="s">
        <v>46</v>
      </c>
      <c r="N281" s="2">
        <v>45323</v>
      </c>
      <c r="O281" s="2">
        <v>45351</v>
      </c>
      <c r="P281">
        <v>145500</v>
      </c>
      <c r="Q281">
        <v>145500</v>
      </c>
      <c r="R281" t="s">
        <v>2934</v>
      </c>
    </row>
    <row r="282" spans="1:20" x14ac:dyDescent="0.25">
      <c r="A282" t="s">
        <v>14</v>
      </c>
      <c r="B282" t="s">
        <v>2424</v>
      </c>
      <c r="C282" t="s">
        <v>4369</v>
      </c>
      <c r="D282" t="s">
        <v>4370</v>
      </c>
      <c r="E282">
        <v>47300086445</v>
      </c>
      <c r="F282" t="s">
        <v>16</v>
      </c>
      <c r="G282" t="s">
        <v>28</v>
      </c>
      <c r="H282" t="s">
        <v>187</v>
      </c>
      <c r="I282" t="s">
        <v>2777</v>
      </c>
      <c r="J282" t="s">
        <v>2776</v>
      </c>
      <c r="K282" t="s">
        <v>2892</v>
      </c>
      <c r="L282" t="s">
        <v>19</v>
      </c>
      <c r="M282" t="s">
        <v>46</v>
      </c>
      <c r="N282" s="2">
        <v>45323</v>
      </c>
      <c r="O282" s="2">
        <v>45351</v>
      </c>
      <c r="P282">
        <v>10000</v>
      </c>
      <c r="Q282">
        <v>10000</v>
      </c>
      <c r="R282" t="s">
        <v>2934</v>
      </c>
    </row>
    <row r="283" spans="1:20" x14ac:dyDescent="0.25">
      <c r="A283" t="s">
        <v>14</v>
      </c>
      <c r="B283" t="s">
        <v>2422</v>
      </c>
      <c r="C283" t="s">
        <v>4398</v>
      </c>
      <c r="D283" t="s">
        <v>4377</v>
      </c>
      <c r="E283">
        <v>47300046365</v>
      </c>
      <c r="F283" t="s">
        <v>16</v>
      </c>
      <c r="G283" t="s">
        <v>28</v>
      </c>
      <c r="H283" t="s">
        <v>62</v>
      </c>
      <c r="K283" t="s">
        <v>4229</v>
      </c>
      <c r="L283" t="s">
        <v>19</v>
      </c>
      <c r="M283" t="s">
        <v>63</v>
      </c>
      <c r="N283" s="2">
        <v>45323</v>
      </c>
      <c r="O283" s="2">
        <v>45351</v>
      </c>
      <c r="P283">
        <v>50000</v>
      </c>
      <c r="Q283">
        <v>50000</v>
      </c>
      <c r="R283" t="s">
        <v>2935</v>
      </c>
      <c r="S283" t="s">
        <v>2423</v>
      </c>
      <c r="T283">
        <v>231.5</v>
      </c>
    </row>
    <row r="284" spans="1:20" x14ac:dyDescent="0.25">
      <c r="A284" t="s">
        <v>14</v>
      </c>
      <c r="B284" t="s">
        <v>2422</v>
      </c>
      <c r="C284" t="s">
        <v>4405</v>
      </c>
      <c r="D284" t="s">
        <v>4390</v>
      </c>
      <c r="E284">
        <v>47300046365</v>
      </c>
      <c r="F284" t="s">
        <v>16</v>
      </c>
      <c r="G284" t="s">
        <v>28</v>
      </c>
      <c r="H284" t="s">
        <v>62</v>
      </c>
      <c r="K284" t="s">
        <v>3294</v>
      </c>
      <c r="L284" t="s">
        <v>19</v>
      </c>
      <c r="M284" t="s">
        <v>46</v>
      </c>
      <c r="N284" s="2">
        <v>45323</v>
      </c>
      <c r="O284" s="2">
        <v>45351</v>
      </c>
      <c r="P284">
        <v>500</v>
      </c>
      <c r="Q284">
        <v>500</v>
      </c>
      <c r="R284" t="s">
        <v>2935</v>
      </c>
    </row>
    <row r="285" spans="1:20" x14ac:dyDescent="0.25">
      <c r="A285" t="s">
        <v>14</v>
      </c>
      <c r="B285" t="s">
        <v>2422</v>
      </c>
      <c r="C285" t="s">
        <v>2927</v>
      </c>
      <c r="D285" t="s">
        <v>4385</v>
      </c>
      <c r="E285">
        <v>47300046365</v>
      </c>
      <c r="F285" t="s">
        <v>16</v>
      </c>
      <c r="G285" t="s">
        <v>28</v>
      </c>
      <c r="H285" t="s">
        <v>62</v>
      </c>
      <c r="K285" t="s">
        <v>3197</v>
      </c>
      <c r="L285" t="s">
        <v>19</v>
      </c>
      <c r="M285" t="s">
        <v>46</v>
      </c>
      <c r="N285" s="2">
        <v>45323</v>
      </c>
      <c r="O285" s="2">
        <v>45351</v>
      </c>
      <c r="P285">
        <v>145500</v>
      </c>
      <c r="Q285">
        <v>145500</v>
      </c>
      <c r="R285" t="s">
        <v>2935</v>
      </c>
    </row>
    <row r="286" spans="1:20" x14ac:dyDescent="0.25">
      <c r="A286" t="s">
        <v>14</v>
      </c>
      <c r="B286" t="s">
        <v>2422</v>
      </c>
      <c r="C286" t="s">
        <v>4398</v>
      </c>
      <c r="D286" t="s">
        <v>4377</v>
      </c>
      <c r="E286">
        <v>47300046365</v>
      </c>
      <c r="F286" t="s">
        <v>16</v>
      </c>
      <c r="G286" t="s">
        <v>28</v>
      </c>
      <c r="H286" t="s">
        <v>62</v>
      </c>
      <c r="K286" t="s">
        <v>2892</v>
      </c>
      <c r="L286" t="s">
        <v>19</v>
      </c>
      <c r="M286" t="s">
        <v>46</v>
      </c>
      <c r="N286" s="2">
        <v>45323</v>
      </c>
      <c r="O286" s="2">
        <v>45351</v>
      </c>
      <c r="P286">
        <v>10000</v>
      </c>
      <c r="Q286">
        <v>10000</v>
      </c>
      <c r="R286" t="s">
        <v>2935</v>
      </c>
    </row>
    <row r="287" spans="1:20" x14ac:dyDescent="0.25">
      <c r="A287" t="s">
        <v>14</v>
      </c>
      <c r="B287" t="s">
        <v>2420</v>
      </c>
      <c r="C287" t="s">
        <v>4405</v>
      </c>
      <c r="D287" t="s">
        <v>4390</v>
      </c>
      <c r="E287">
        <v>47300070605</v>
      </c>
      <c r="F287" t="s">
        <v>16</v>
      </c>
      <c r="G287" t="s">
        <v>28</v>
      </c>
      <c r="H287" t="s">
        <v>178</v>
      </c>
      <c r="K287" t="s">
        <v>4229</v>
      </c>
      <c r="L287" t="s">
        <v>19</v>
      </c>
      <c r="M287" t="s">
        <v>63</v>
      </c>
      <c r="N287" s="2">
        <v>45323</v>
      </c>
      <c r="O287" s="2">
        <v>45351</v>
      </c>
      <c r="P287">
        <v>20000</v>
      </c>
      <c r="Q287">
        <v>20000</v>
      </c>
      <c r="R287" t="s">
        <v>2936</v>
      </c>
      <c r="S287" t="s">
        <v>2421</v>
      </c>
      <c r="T287">
        <v>92.6</v>
      </c>
    </row>
    <row r="288" spans="1:20" x14ac:dyDescent="0.25">
      <c r="A288" t="s">
        <v>14</v>
      </c>
      <c r="B288" t="s">
        <v>2420</v>
      </c>
      <c r="C288" t="s">
        <v>2927</v>
      </c>
      <c r="D288" t="s">
        <v>4385</v>
      </c>
      <c r="E288">
        <v>47300070605</v>
      </c>
      <c r="F288" t="s">
        <v>16</v>
      </c>
      <c r="G288" t="s">
        <v>28</v>
      </c>
      <c r="H288" t="s">
        <v>178</v>
      </c>
      <c r="K288" t="s">
        <v>3294</v>
      </c>
      <c r="L288" t="s">
        <v>19</v>
      </c>
      <c r="M288" t="s">
        <v>46</v>
      </c>
      <c r="N288" s="2">
        <v>45323</v>
      </c>
      <c r="O288" s="2">
        <v>45351</v>
      </c>
      <c r="P288">
        <v>500</v>
      </c>
      <c r="Q288">
        <v>500</v>
      </c>
      <c r="R288" t="s">
        <v>2936</v>
      </c>
    </row>
    <row r="289" spans="1:20" x14ac:dyDescent="0.25">
      <c r="A289" t="s">
        <v>14</v>
      </c>
      <c r="B289" t="s">
        <v>2420</v>
      </c>
      <c r="C289" t="s">
        <v>4398</v>
      </c>
      <c r="D289" t="s">
        <v>4377</v>
      </c>
      <c r="E289">
        <v>47300070605</v>
      </c>
      <c r="F289" t="s">
        <v>16</v>
      </c>
      <c r="G289" t="s">
        <v>28</v>
      </c>
      <c r="H289" t="s">
        <v>178</v>
      </c>
      <c r="K289" t="s">
        <v>3197</v>
      </c>
      <c r="L289" t="s">
        <v>19</v>
      </c>
      <c r="M289" t="s">
        <v>46</v>
      </c>
      <c r="N289" s="2">
        <v>45323</v>
      </c>
      <c r="O289" s="2">
        <v>45351</v>
      </c>
      <c r="P289">
        <v>145500</v>
      </c>
      <c r="Q289">
        <v>145500</v>
      </c>
      <c r="R289" t="s">
        <v>2936</v>
      </c>
    </row>
    <row r="290" spans="1:20" x14ac:dyDescent="0.25">
      <c r="A290" t="s">
        <v>14</v>
      </c>
      <c r="B290" t="s">
        <v>2420</v>
      </c>
      <c r="C290" t="s">
        <v>4405</v>
      </c>
      <c r="D290" t="s">
        <v>4390</v>
      </c>
      <c r="E290">
        <v>47300070605</v>
      </c>
      <c r="F290" t="s">
        <v>16</v>
      </c>
      <c r="G290" t="s">
        <v>28</v>
      </c>
      <c r="H290" t="s">
        <v>178</v>
      </c>
      <c r="K290" t="s">
        <v>2892</v>
      </c>
      <c r="L290" t="s">
        <v>19</v>
      </c>
      <c r="M290" t="s">
        <v>46</v>
      </c>
      <c r="N290" s="2">
        <v>45323</v>
      </c>
      <c r="O290" s="2">
        <v>45351</v>
      </c>
      <c r="P290">
        <v>10000</v>
      </c>
      <c r="Q290">
        <v>10000</v>
      </c>
      <c r="R290" t="s">
        <v>2936</v>
      </c>
    </row>
    <row r="291" spans="1:20" x14ac:dyDescent="0.25">
      <c r="A291" t="s">
        <v>14</v>
      </c>
      <c r="B291" t="s">
        <v>2418</v>
      </c>
      <c r="C291" t="s">
        <v>2927</v>
      </c>
      <c r="D291" t="s">
        <v>4385</v>
      </c>
      <c r="E291">
        <v>47300046316</v>
      </c>
      <c r="F291" t="s">
        <v>42</v>
      </c>
      <c r="G291" t="s">
        <v>28</v>
      </c>
      <c r="H291" t="s">
        <v>69</v>
      </c>
      <c r="K291" t="s">
        <v>4229</v>
      </c>
      <c r="L291" t="s">
        <v>19</v>
      </c>
      <c r="M291" t="s">
        <v>63</v>
      </c>
      <c r="N291" s="2">
        <v>45323</v>
      </c>
      <c r="O291" s="2">
        <v>45351</v>
      </c>
      <c r="P291">
        <v>110000</v>
      </c>
      <c r="Q291">
        <v>110000</v>
      </c>
      <c r="R291" t="s">
        <v>2937</v>
      </c>
      <c r="S291" t="s">
        <v>2419</v>
      </c>
      <c r="T291">
        <v>509.3</v>
      </c>
    </row>
    <row r="292" spans="1:20" x14ac:dyDescent="0.25">
      <c r="A292" t="s">
        <v>14</v>
      </c>
      <c r="B292" t="s">
        <v>2418</v>
      </c>
      <c r="C292" t="s">
        <v>4398</v>
      </c>
      <c r="D292" t="s">
        <v>4377</v>
      </c>
      <c r="E292">
        <v>47300046316</v>
      </c>
      <c r="F292" t="s">
        <v>42</v>
      </c>
      <c r="G292" t="s">
        <v>28</v>
      </c>
      <c r="H292" t="s">
        <v>69</v>
      </c>
      <c r="K292" t="s">
        <v>3294</v>
      </c>
      <c r="L292" t="s">
        <v>19</v>
      </c>
      <c r="M292" t="s">
        <v>46</v>
      </c>
      <c r="N292" s="2">
        <v>45323</v>
      </c>
      <c r="O292" s="2">
        <v>45351</v>
      </c>
      <c r="P292">
        <v>500</v>
      </c>
      <c r="Q292">
        <v>500</v>
      </c>
      <c r="R292" t="s">
        <v>2937</v>
      </c>
    </row>
    <row r="293" spans="1:20" x14ac:dyDescent="0.25">
      <c r="A293" t="s">
        <v>14</v>
      </c>
      <c r="B293" t="s">
        <v>2418</v>
      </c>
      <c r="C293" t="s">
        <v>4405</v>
      </c>
      <c r="D293" t="s">
        <v>4390</v>
      </c>
      <c r="E293">
        <v>47300046316</v>
      </c>
      <c r="F293" t="s">
        <v>42</v>
      </c>
      <c r="G293" t="s">
        <v>28</v>
      </c>
      <c r="H293" t="s">
        <v>69</v>
      </c>
      <c r="K293" t="s">
        <v>3197</v>
      </c>
      <c r="L293" t="s">
        <v>19</v>
      </c>
      <c r="M293" t="s">
        <v>46</v>
      </c>
      <c r="N293" s="2">
        <v>45323</v>
      </c>
      <c r="O293" s="2">
        <v>45351</v>
      </c>
      <c r="P293">
        <v>145500</v>
      </c>
      <c r="Q293">
        <v>145500</v>
      </c>
      <c r="R293" t="s">
        <v>2937</v>
      </c>
    </row>
    <row r="294" spans="1:20" x14ac:dyDescent="0.25">
      <c r="A294" t="s">
        <v>14</v>
      </c>
      <c r="B294" t="s">
        <v>2418</v>
      </c>
      <c r="C294" t="s">
        <v>2927</v>
      </c>
      <c r="D294" t="s">
        <v>4385</v>
      </c>
      <c r="E294">
        <v>47300046316</v>
      </c>
      <c r="F294" t="s">
        <v>42</v>
      </c>
      <c r="G294" t="s">
        <v>28</v>
      </c>
      <c r="H294" t="s">
        <v>69</v>
      </c>
      <c r="K294" t="s">
        <v>2892</v>
      </c>
      <c r="L294" t="s">
        <v>19</v>
      </c>
      <c r="M294" t="s">
        <v>46</v>
      </c>
      <c r="N294" s="2">
        <v>45323</v>
      </c>
      <c r="O294" s="2">
        <v>45351</v>
      </c>
      <c r="P294">
        <v>10000</v>
      </c>
      <c r="Q294">
        <v>10000</v>
      </c>
      <c r="R294" t="s">
        <v>2937</v>
      </c>
    </row>
    <row r="295" spans="1:20" x14ac:dyDescent="0.25">
      <c r="A295" t="s">
        <v>14</v>
      </c>
      <c r="B295" t="s">
        <v>2416</v>
      </c>
      <c r="C295" t="s">
        <v>4376</v>
      </c>
      <c r="D295" t="s">
        <v>4407</v>
      </c>
      <c r="E295">
        <v>47300046720</v>
      </c>
      <c r="F295" t="s">
        <v>16</v>
      </c>
      <c r="G295" t="s">
        <v>28</v>
      </c>
      <c r="H295" t="s">
        <v>143</v>
      </c>
      <c r="K295" t="s">
        <v>3557</v>
      </c>
      <c r="L295" t="s">
        <v>19</v>
      </c>
      <c r="M295" t="s">
        <v>20</v>
      </c>
      <c r="P295">
        <v>25000</v>
      </c>
      <c r="Q295">
        <v>25000</v>
      </c>
      <c r="R295" t="s">
        <v>3606</v>
      </c>
      <c r="S295" t="s">
        <v>2417</v>
      </c>
      <c r="T295">
        <v>115.8</v>
      </c>
    </row>
    <row r="296" spans="1:20" x14ac:dyDescent="0.25">
      <c r="A296" t="s">
        <v>14</v>
      </c>
      <c r="B296" t="s">
        <v>2414</v>
      </c>
      <c r="C296" t="s">
        <v>4376</v>
      </c>
      <c r="D296" t="s">
        <v>4407</v>
      </c>
      <c r="E296">
        <v>47300070555</v>
      </c>
      <c r="F296" t="s">
        <v>35</v>
      </c>
      <c r="G296" t="s">
        <v>35</v>
      </c>
      <c r="H296" t="s">
        <v>116</v>
      </c>
      <c r="K296" t="s">
        <v>3557</v>
      </c>
      <c r="L296" t="s">
        <v>19</v>
      </c>
      <c r="M296" t="s">
        <v>20</v>
      </c>
      <c r="P296">
        <v>20000</v>
      </c>
      <c r="Q296">
        <v>20000</v>
      </c>
      <c r="R296" t="s">
        <v>3607</v>
      </c>
      <c r="S296" t="s">
        <v>2415</v>
      </c>
      <c r="T296">
        <v>92.5</v>
      </c>
    </row>
    <row r="297" spans="1:20" x14ac:dyDescent="0.25">
      <c r="A297" t="s">
        <v>14</v>
      </c>
      <c r="B297" t="s">
        <v>2413</v>
      </c>
      <c r="C297" t="s">
        <v>4396</v>
      </c>
      <c r="D297" t="s">
        <v>4397</v>
      </c>
      <c r="E297">
        <v>47300046720</v>
      </c>
      <c r="F297" t="s">
        <v>16</v>
      </c>
      <c r="G297" t="s">
        <v>28</v>
      </c>
      <c r="H297" t="s">
        <v>143</v>
      </c>
      <c r="K297" t="s">
        <v>2846</v>
      </c>
      <c r="L297" t="s">
        <v>47</v>
      </c>
      <c r="N297" s="2">
        <v>45348</v>
      </c>
      <c r="O297" s="2">
        <v>45348</v>
      </c>
      <c r="P297">
        <v>436155.43</v>
      </c>
      <c r="Q297">
        <v>436155.43</v>
      </c>
      <c r="R297" t="s">
        <v>2845</v>
      </c>
    </row>
    <row r="298" spans="1:20" x14ac:dyDescent="0.25">
      <c r="A298" t="s">
        <v>14</v>
      </c>
      <c r="B298" t="s">
        <v>2411</v>
      </c>
      <c r="C298" t="s">
        <v>4406</v>
      </c>
      <c r="D298" t="s">
        <v>4394</v>
      </c>
      <c r="E298">
        <v>47300026094</v>
      </c>
      <c r="F298" t="s">
        <v>35</v>
      </c>
      <c r="G298" t="s">
        <v>36</v>
      </c>
      <c r="H298" t="s">
        <v>4359</v>
      </c>
      <c r="K298" t="s">
        <v>3557</v>
      </c>
      <c r="L298" t="s">
        <v>19</v>
      </c>
      <c r="M298" t="s">
        <v>20</v>
      </c>
      <c r="P298">
        <v>100000</v>
      </c>
      <c r="Q298">
        <v>100000</v>
      </c>
      <c r="R298" t="s">
        <v>3608</v>
      </c>
      <c r="S298" t="s">
        <v>2412</v>
      </c>
      <c r="T298">
        <v>462.9</v>
      </c>
    </row>
    <row r="299" spans="1:20" x14ac:dyDescent="0.25">
      <c r="A299" t="s">
        <v>14</v>
      </c>
      <c r="B299" t="s">
        <v>2409</v>
      </c>
      <c r="C299" t="s">
        <v>4414</v>
      </c>
      <c r="D299" t="s">
        <v>4401</v>
      </c>
      <c r="E299">
        <v>47300070589</v>
      </c>
      <c r="F299" t="s">
        <v>16</v>
      </c>
      <c r="G299" t="s">
        <v>28</v>
      </c>
      <c r="H299" t="s">
        <v>221</v>
      </c>
      <c r="K299" t="s">
        <v>4229</v>
      </c>
      <c r="L299" t="s">
        <v>19</v>
      </c>
      <c r="M299" t="s">
        <v>63</v>
      </c>
      <c r="N299" s="2">
        <v>45323</v>
      </c>
      <c r="O299" s="2">
        <v>45351</v>
      </c>
      <c r="P299">
        <v>60000</v>
      </c>
      <c r="Q299">
        <v>60000</v>
      </c>
      <c r="R299" t="s">
        <v>2787</v>
      </c>
      <c r="S299" t="s">
        <v>2410</v>
      </c>
      <c r="T299">
        <v>277.8</v>
      </c>
    </row>
    <row r="300" spans="1:20" x14ac:dyDescent="0.25">
      <c r="A300" t="s">
        <v>14</v>
      </c>
      <c r="B300" t="s">
        <v>2409</v>
      </c>
      <c r="C300" t="s">
        <v>4367</v>
      </c>
      <c r="D300" t="s">
        <v>4368</v>
      </c>
      <c r="E300">
        <v>47300070589</v>
      </c>
      <c r="F300" t="s">
        <v>16</v>
      </c>
      <c r="G300" t="s">
        <v>28</v>
      </c>
      <c r="H300" t="s">
        <v>221</v>
      </c>
      <c r="K300" t="s">
        <v>3294</v>
      </c>
      <c r="L300" t="s">
        <v>19</v>
      </c>
      <c r="M300" t="s">
        <v>46</v>
      </c>
      <c r="N300" s="2">
        <v>45323</v>
      </c>
      <c r="O300" s="2">
        <v>45351</v>
      </c>
      <c r="P300">
        <v>500</v>
      </c>
      <c r="Q300">
        <v>500</v>
      </c>
      <c r="R300" t="s">
        <v>2787</v>
      </c>
    </row>
    <row r="301" spans="1:20" x14ac:dyDescent="0.25">
      <c r="A301" t="s">
        <v>14</v>
      </c>
      <c r="B301" t="s">
        <v>2409</v>
      </c>
      <c r="C301" t="s">
        <v>3300</v>
      </c>
      <c r="D301" t="s">
        <v>3299</v>
      </c>
      <c r="E301">
        <v>47300070589</v>
      </c>
      <c r="F301" t="s">
        <v>16</v>
      </c>
      <c r="G301" t="s">
        <v>28</v>
      </c>
      <c r="H301" t="s">
        <v>221</v>
      </c>
      <c r="K301" t="s">
        <v>3197</v>
      </c>
      <c r="L301" t="s">
        <v>19</v>
      </c>
      <c r="M301" t="s">
        <v>46</v>
      </c>
      <c r="N301" s="2">
        <v>45323</v>
      </c>
      <c r="O301" s="2">
        <v>45351</v>
      </c>
      <c r="P301">
        <v>145500</v>
      </c>
      <c r="Q301">
        <v>145500</v>
      </c>
      <c r="R301" t="s">
        <v>2787</v>
      </c>
    </row>
    <row r="302" spans="1:20" x14ac:dyDescent="0.25">
      <c r="A302" t="s">
        <v>14</v>
      </c>
      <c r="B302" t="s">
        <v>2409</v>
      </c>
      <c r="C302" t="s">
        <v>4376</v>
      </c>
      <c r="D302" t="s">
        <v>4377</v>
      </c>
      <c r="E302">
        <v>47300070589</v>
      </c>
      <c r="F302" t="s">
        <v>16</v>
      </c>
      <c r="G302" t="s">
        <v>28</v>
      </c>
      <c r="H302" t="s">
        <v>221</v>
      </c>
      <c r="K302" t="s">
        <v>2892</v>
      </c>
      <c r="L302" t="s">
        <v>19</v>
      </c>
      <c r="M302" t="s">
        <v>46</v>
      </c>
      <c r="N302" s="2">
        <v>45323</v>
      </c>
      <c r="O302" s="2">
        <v>45351</v>
      </c>
      <c r="P302">
        <v>10000</v>
      </c>
      <c r="Q302">
        <v>10000</v>
      </c>
      <c r="R302" t="s">
        <v>2787</v>
      </c>
    </row>
    <row r="303" spans="1:20" x14ac:dyDescent="0.25">
      <c r="A303" t="s">
        <v>14</v>
      </c>
      <c r="B303" t="s">
        <v>2409</v>
      </c>
      <c r="C303" t="s">
        <v>4376</v>
      </c>
      <c r="D303" t="s">
        <v>4407</v>
      </c>
      <c r="E303">
        <v>47300070589</v>
      </c>
      <c r="F303" t="s">
        <v>16</v>
      </c>
      <c r="G303" t="s">
        <v>28</v>
      </c>
      <c r="H303" t="s">
        <v>221</v>
      </c>
      <c r="K303" t="s">
        <v>2788</v>
      </c>
      <c r="L303" t="s">
        <v>47</v>
      </c>
      <c r="N303" s="2">
        <v>45342</v>
      </c>
      <c r="O303" s="2">
        <v>45350</v>
      </c>
      <c r="P303">
        <v>111275.53</v>
      </c>
      <c r="Q303">
        <v>111275.53</v>
      </c>
      <c r="R303" t="s">
        <v>2787</v>
      </c>
    </row>
    <row r="304" spans="1:20" x14ac:dyDescent="0.25">
      <c r="A304" t="s">
        <v>14</v>
      </c>
      <c r="B304" t="s">
        <v>2407</v>
      </c>
      <c r="C304" t="s">
        <v>4376</v>
      </c>
      <c r="D304" t="s">
        <v>4377</v>
      </c>
      <c r="E304">
        <v>47300046746</v>
      </c>
      <c r="F304" t="s">
        <v>16</v>
      </c>
      <c r="G304" t="s">
        <v>28</v>
      </c>
      <c r="H304" t="s">
        <v>32</v>
      </c>
      <c r="K304" t="s">
        <v>3557</v>
      </c>
      <c r="L304" t="s">
        <v>19</v>
      </c>
      <c r="M304" t="s">
        <v>20</v>
      </c>
      <c r="P304">
        <v>15000</v>
      </c>
      <c r="Q304">
        <v>15000</v>
      </c>
      <c r="R304" t="s">
        <v>3609</v>
      </c>
      <c r="S304" t="s">
        <v>2408</v>
      </c>
      <c r="T304">
        <v>69.400000000000006</v>
      </c>
    </row>
    <row r="305" spans="1:20" x14ac:dyDescent="0.25">
      <c r="A305" t="s">
        <v>14</v>
      </c>
      <c r="B305" t="s">
        <v>2405</v>
      </c>
      <c r="C305" t="s">
        <v>4376</v>
      </c>
      <c r="D305" t="s">
        <v>4407</v>
      </c>
      <c r="E305">
        <v>47300046688</v>
      </c>
      <c r="F305" t="s">
        <v>16</v>
      </c>
      <c r="G305" t="s">
        <v>17</v>
      </c>
      <c r="H305" t="s">
        <v>154</v>
      </c>
      <c r="K305" t="s">
        <v>3557</v>
      </c>
      <c r="L305" t="s">
        <v>19</v>
      </c>
      <c r="M305" t="s">
        <v>20</v>
      </c>
      <c r="P305">
        <v>10000</v>
      </c>
      <c r="Q305">
        <v>10000</v>
      </c>
      <c r="R305" t="s">
        <v>3610</v>
      </c>
      <c r="S305" t="s">
        <v>2406</v>
      </c>
      <c r="T305">
        <v>46.3</v>
      </c>
    </row>
    <row r="306" spans="1:20" x14ac:dyDescent="0.25">
      <c r="A306" t="s">
        <v>14</v>
      </c>
      <c r="B306" t="s">
        <v>2403</v>
      </c>
      <c r="C306" t="s">
        <v>4376</v>
      </c>
      <c r="D306" t="s">
        <v>4407</v>
      </c>
      <c r="E306">
        <v>47300046662</v>
      </c>
      <c r="F306" t="s">
        <v>16</v>
      </c>
      <c r="G306" t="s">
        <v>28</v>
      </c>
      <c r="H306" t="s">
        <v>129</v>
      </c>
      <c r="K306" t="s">
        <v>3557</v>
      </c>
      <c r="L306" t="s">
        <v>19</v>
      </c>
      <c r="M306" t="s">
        <v>20</v>
      </c>
      <c r="P306">
        <v>30000</v>
      </c>
      <c r="Q306">
        <v>30000</v>
      </c>
      <c r="R306" t="s">
        <v>3611</v>
      </c>
      <c r="S306" t="s">
        <v>2404</v>
      </c>
      <c r="T306">
        <v>138.9</v>
      </c>
    </row>
    <row r="307" spans="1:20" x14ac:dyDescent="0.25">
      <c r="A307" t="s">
        <v>14</v>
      </c>
      <c r="B307" t="s">
        <v>2401</v>
      </c>
      <c r="C307" t="s">
        <v>4420</v>
      </c>
      <c r="D307" t="s">
        <v>4394</v>
      </c>
      <c r="E307">
        <v>47300046399</v>
      </c>
      <c r="F307" t="s">
        <v>16</v>
      </c>
      <c r="G307" t="s">
        <v>28</v>
      </c>
      <c r="H307" t="s">
        <v>122</v>
      </c>
      <c r="K307" t="s">
        <v>4229</v>
      </c>
      <c r="L307" t="s">
        <v>19</v>
      </c>
      <c r="M307" t="s">
        <v>63</v>
      </c>
      <c r="N307" s="2">
        <v>45323</v>
      </c>
      <c r="O307" s="2">
        <v>45351</v>
      </c>
      <c r="P307">
        <v>50000</v>
      </c>
      <c r="Q307">
        <v>50000</v>
      </c>
      <c r="R307" t="s">
        <v>4238</v>
      </c>
      <c r="S307" t="s">
        <v>2402</v>
      </c>
      <c r="T307">
        <v>231.5</v>
      </c>
    </row>
    <row r="308" spans="1:20" x14ac:dyDescent="0.25">
      <c r="A308" t="s">
        <v>14</v>
      </c>
      <c r="B308" t="s">
        <v>2399</v>
      </c>
      <c r="C308" t="s">
        <v>4420</v>
      </c>
      <c r="D308" t="s">
        <v>4394</v>
      </c>
      <c r="E308">
        <v>47300025708</v>
      </c>
      <c r="F308" t="s">
        <v>35</v>
      </c>
      <c r="G308" t="s">
        <v>36</v>
      </c>
      <c r="H308" t="s">
        <v>4360</v>
      </c>
      <c r="K308" t="s">
        <v>3557</v>
      </c>
      <c r="L308" t="s">
        <v>19</v>
      </c>
      <c r="M308" t="s">
        <v>20</v>
      </c>
      <c r="P308">
        <v>50000</v>
      </c>
      <c r="Q308">
        <v>50000</v>
      </c>
      <c r="R308" t="s">
        <v>3612</v>
      </c>
      <c r="S308" t="s">
        <v>2400</v>
      </c>
      <c r="T308">
        <v>231.5</v>
      </c>
    </row>
    <row r="309" spans="1:20" x14ac:dyDescent="0.25">
      <c r="A309" t="s">
        <v>14</v>
      </c>
      <c r="B309" t="s">
        <v>2398</v>
      </c>
      <c r="C309" t="s">
        <v>4378</v>
      </c>
      <c r="D309" t="s">
        <v>4379</v>
      </c>
      <c r="E309">
        <v>47300046191</v>
      </c>
      <c r="F309" t="s">
        <v>16</v>
      </c>
      <c r="G309" t="s">
        <v>28</v>
      </c>
      <c r="H309" t="s">
        <v>119</v>
      </c>
      <c r="I309" t="s">
        <v>2799</v>
      </c>
      <c r="J309">
        <v>8033011626</v>
      </c>
      <c r="K309" t="s">
        <v>2810</v>
      </c>
      <c r="L309" t="s">
        <v>47</v>
      </c>
      <c r="N309" s="2">
        <v>45349</v>
      </c>
      <c r="O309" s="2">
        <v>45351</v>
      </c>
      <c r="P309">
        <v>107688.62</v>
      </c>
      <c r="Q309">
        <v>107688.62</v>
      </c>
      <c r="R309" t="s">
        <v>2811</v>
      </c>
    </row>
    <row r="310" spans="1:20" x14ac:dyDescent="0.25">
      <c r="A310" t="s">
        <v>14</v>
      </c>
      <c r="B310" t="s">
        <v>2396</v>
      </c>
      <c r="C310" t="s">
        <v>4371</v>
      </c>
      <c r="D310" t="s">
        <v>4368</v>
      </c>
      <c r="E310">
        <v>47300046191</v>
      </c>
      <c r="F310" t="s">
        <v>16</v>
      </c>
      <c r="G310" t="s">
        <v>28</v>
      </c>
      <c r="H310" t="s">
        <v>119</v>
      </c>
      <c r="I310" t="s">
        <v>2799</v>
      </c>
      <c r="J310">
        <v>8033011626</v>
      </c>
      <c r="K310" t="s">
        <v>4229</v>
      </c>
      <c r="L310" t="s">
        <v>19</v>
      </c>
      <c r="M310" t="s">
        <v>63</v>
      </c>
      <c r="N310" s="2">
        <v>45323</v>
      </c>
      <c r="O310" s="2">
        <v>45351</v>
      </c>
      <c r="P310">
        <v>50000</v>
      </c>
      <c r="Q310">
        <v>50000</v>
      </c>
      <c r="R310" t="s">
        <v>2938</v>
      </c>
      <c r="S310" t="s">
        <v>2397</v>
      </c>
      <c r="T310">
        <v>231.5</v>
      </c>
    </row>
    <row r="311" spans="1:20" x14ac:dyDescent="0.25">
      <c r="A311" t="s">
        <v>14</v>
      </c>
      <c r="B311" t="s">
        <v>2396</v>
      </c>
      <c r="C311" t="s">
        <v>4420</v>
      </c>
      <c r="D311" t="s">
        <v>4394</v>
      </c>
      <c r="E311">
        <v>47300046191</v>
      </c>
      <c r="F311" t="s">
        <v>16</v>
      </c>
      <c r="G311" t="s">
        <v>28</v>
      </c>
      <c r="H311" t="s">
        <v>119</v>
      </c>
      <c r="I311" t="s">
        <v>2799</v>
      </c>
      <c r="J311">
        <v>8033011626</v>
      </c>
      <c r="K311" t="s">
        <v>3294</v>
      </c>
      <c r="L311" t="s">
        <v>19</v>
      </c>
      <c r="M311" t="s">
        <v>46</v>
      </c>
      <c r="N311" s="2">
        <v>45323</v>
      </c>
      <c r="O311" s="2">
        <v>45351</v>
      </c>
      <c r="P311">
        <v>500</v>
      </c>
      <c r="Q311">
        <v>500</v>
      </c>
      <c r="R311" t="s">
        <v>2938</v>
      </c>
    </row>
    <row r="312" spans="1:20" x14ac:dyDescent="0.25">
      <c r="A312" t="s">
        <v>14</v>
      </c>
      <c r="B312" t="s">
        <v>2396</v>
      </c>
      <c r="C312" t="s">
        <v>4420</v>
      </c>
      <c r="D312" t="s">
        <v>4394</v>
      </c>
      <c r="E312">
        <v>47300046191</v>
      </c>
      <c r="F312" t="s">
        <v>16</v>
      </c>
      <c r="G312" t="s">
        <v>28</v>
      </c>
      <c r="H312" t="s">
        <v>119</v>
      </c>
      <c r="I312" t="s">
        <v>2799</v>
      </c>
      <c r="J312">
        <v>8033011626</v>
      </c>
      <c r="K312" t="s">
        <v>3197</v>
      </c>
      <c r="L312" t="s">
        <v>19</v>
      </c>
      <c r="M312" t="s">
        <v>46</v>
      </c>
      <c r="N312" s="2">
        <v>45323</v>
      </c>
      <c r="O312" s="2">
        <v>45351</v>
      </c>
      <c r="P312">
        <v>145500</v>
      </c>
      <c r="Q312">
        <v>145500</v>
      </c>
      <c r="R312" t="s">
        <v>2938</v>
      </c>
    </row>
    <row r="313" spans="1:20" x14ac:dyDescent="0.25">
      <c r="A313" t="s">
        <v>14</v>
      </c>
      <c r="B313" t="s">
        <v>2396</v>
      </c>
      <c r="C313" t="s">
        <v>4420</v>
      </c>
      <c r="D313" t="s">
        <v>4394</v>
      </c>
      <c r="E313">
        <v>47300046191</v>
      </c>
      <c r="F313" t="s">
        <v>16</v>
      </c>
      <c r="G313" t="s">
        <v>28</v>
      </c>
      <c r="H313" t="s">
        <v>119</v>
      </c>
      <c r="I313" t="s">
        <v>2799</v>
      </c>
      <c r="J313">
        <v>8033011626</v>
      </c>
      <c r="K313" t="s">
        <v>2892</v>
      </c>
      <c r="L313" t="s">
        <v>19</v>
      </c>
      <c r="M313" t="s">
        <v>46</v>
      </c>
      <c r="N313" s="2">
        <v>45323</v>
      </c>
      <c r="O313" s="2">
        <v>45351</v>
      </c>
      <c r="P313">
        <v>10000</v>
      </c>
      <c r="Q313">
        <v>10000</v>
      </c>
      <c r="R313" t="s">
        <v>2938</v>
      </c>
    </row>
    <row r="314" spans="1:20" x14ac:dyDescent="0.25">
      <c r="A314" t="s">
        <v>14</v>
      </c>
      <c r="B314" t="s">
        <v>2394</v>
      </c>
      <c r="C314" t="s">
        <v>4369</v>
      </c>
      <c r="D314" t="s">
        <v>4370</v>
      </c>
      <c r="E314">
        <v>47300088318</v>
      </c>
      <c r="F314" t="s">
        <v>35</v>
      </c>
      <c r="G314" t="s">
        <v>36</v>
      </c>
      <c r="H314" t="s">
        <v>1126</v>
      </c>
      <c r="K314" t="s">
        <v>3557</v>
      </c>
      <c r="L314" t="s">
        <v>19</v>
      </c>
      <c r="M314" t="s">
        <v>20</v>
      </c>
      <c r="P314">
        <v>10000</v>
      </c>
      <c r="Q314">
        <v>10000</v>
      </c>
      <c r="R314" t="s">
        <v>3613</v>
      </c>
      <c r="S314" t="s">
        <v>2395</v>
      </c>
      <c r="T314">
        <v>46.3</v>
      </c>
    </row>
    <row r="315" spans="1:20" x14ac:dyDescent="0.25">
      <c r="A315" t="s">
        <v>14</v>
      </c>
      <c r="B315" t="s">
        <v>2392</v>
      </c>
      <c r="C315" t="s">
        <v>4411</v>
      </c>
      <c r="D315" t="s">
        <v>3275</v>
      </c>
      <c r="E315">
        <v>47300086445</v>
      </c>
      <c r="F315" t="s">
        <v>16</v>
      </c>
      <c r="G315" t="s">
        <v>28</v>
      </c>
      <c r="H315" t="s">
        <v>187</v>
      </c>
      <c r="I315" t="s">
        <v>2777</v>
      </c>
      <c r="J315" t="s">
        <v>2776</v>
      </c>
      <c r="K315" t="s">
        <v>3557</v>
      </c>
      <c r="L315" t="s">
        <v>19</v>
      </c>
      <c r="M315" t="s">
        <v>20</v>
      </c>
      <c r="P315">
        <v>30000</v>
      </c>
      <c r="Q315">
        <v>30000</v>
      </c>
      <c r="R315" t="s">
        <v>3614</v>
      </c>
      <c r="S315" t="s">
        <v>2393</v>
      </c>
      <c r="T315">
        <v>138.9</v>
      </c>
    </row>
    <row r="316" spans="1:20" x14ac:dyDescent="0.25">
      <c r="A316" t="s">
        <v>14</v>
      </c>
      <c r="B316" t="s">
        <v>2390</v>
      </c>
      <c r="C316" t="s">
        <v>4384</v>
      </c>
      <c r="D316" t="s">
        <v>4379</v>
      </c>
      <c r="E316">
        <v>47300070514</v>
      </c>
      <c r="F316" t="s">
        <v>27</v>
      </c>
      <c r="G316" t="s">
        <v>28</v>
      </c>
      <c r="H316" t="s">
        <v>29</v>
      </c>
      <c r="K316" t="s">
        <v>3557</v>
      </c>
      <c r="L316" t="s">
        <v>19</v>
      </c>
      <c r="M316" t="s">
        <v>20</v>
      </c>
      <c r="P316">
        <v>50000</v>
      </c>
      <c r="Q316">
        <v>50000</v>
      </c>
      <c r="R316" t="s">
        <v>3615</v>
      </c>
      <c r="S316" t="s">
        <v>2391</v>
      </c>
      <c r="T316">
        <v>231.4</v>
      </c>
    </row>
    <row r="317" spans="1:20" x14ac:dyDescent="0.25">
      <c r="A317" t="s">
        <v>14</v>
      </c>
      <c r="B317" t="s">
        <v>2388</v>
      </c>
      <c r="C317" t="s">
        <v>4384</v>
      </c>
      <c r="D317" t="s">
        <v>4391</v>
      </c>
      <c r="E317">
        <v>47300046977</v>
      </c>
      <c r="F317" t="s">
        <v>16</v>
      </c>
      <c r="G317" t="s">
        <v>17</v>
      </c>
      <c r="H317" t="s">
        <v>175</v>
      </c>
      <c r="K317" t="s">
        <v>4229</v>
      </c>
      <c r="L317" t="s">
        <v>19</v>
      </c>
      <c r="M317" t="s">
        <v>63</v>
      </c>
      <c r="N317" s="2">
        <v>45323</v>
      </c>
      <c r="O317" s="2">
        <v>45351</v>
      </c>
      <c r="P317">
        <v>99900</v>
      </c>
      <c r="Q317">
        <v>99900</v>
      </c>
      <c r="R317" t="s">
        <v>4239</v>
      </c>
      <c r="S317" t="s">
        <v>2389</v>
      </c>
      <c r="T317">
        <v>462.5</v>
      </c>
    </row>
    <row r="318" spans="1:20" x14ac:dyDescent="0.25">
      <c r="A318" t="s">
        <v>14</v>
      </c>
      <c r="B318" t="s">
        <v>2386</v>
      </c>
      <c r="C318" t="s">
        <v>4365</v>
      </c>
      <c r="D318" t="s">
        <v>4366</v>
      </c>
      <c r="E318">
        <v>47300046688</v>
      </c>
      <c r="F318" t="s">
        <v>16</v>
      </c>
      <c r="G318" t="s">
        <v>17</v>
      </c>
      <c r="H318" t="s">
        <v>154</v>
      </c>
      <c r="K318" t="s">
        <v>3557</v>
      </c>
      <c r="L318" t="s">
        <v>19</v>
      </c>
      <c r="M318" t="s">
        <v>20</v>
      </c>
      <c r="P318">
        <v>50000</v>
      </c>
      <c r="Q318">
        <v>50000</v>
      </c>
      <c r="R318" t="s">
        <v>3616</v>
      </c>
      <c r="S318" t="s">
        <v>2387</v>
      </c>
      <c r="T318">
        <v>231.5</v>
      </c>
    </row>
    <row r="319" spans="1:20" x14ac:dyDescent="0.25">
      <c r="A319" t="s">
        <v>14</v>
      </c>
      <c r="B319" t="s">
        <v>2385</v>
      </c>
      <c r="C319" t="s">
        <v>4365</v>
      </c>
      <c r="D319" t="s">
        <v>4366</v>
      </c>
      <c r="E319">
        <v>47300046605</v>
      </c>
      <c r="F319" t="s">
        <v>16</v>
      </c>
      <c r="G319" t="s">
        <v>17</v>
      </c>
      <c r="H319" t="s">
        <v>49</v>
      </c>
      <c r="K319" t="s">
        <v>3197</v>
      </c>
      <c r="L319" t="s">
        <v>19</v>
      </c>
      <c r="M319" t="s">
        <v>46</v>
      </c>
      <c r="N319" s="2">
        <v>45323</v>
      </c>
      <c r="O319" s="2">
        <v>45351</v>
      </c>
      <c r="P319">
        <v>145500</v>
      </c>
      <c r="Q319">
        <v>145500</v>
      </c>
      <c r="R319" t="s">
        <v>3201</v>
      </c>
    </row>
    <row r="320" spans="1:20" x14ac:dyDescent="0.25">
      <c r="A320" t="s">
        <v>14</v>
      </c>
      <c r="B320" t="s">
        <v>2383</v>
      </c>
      <c r="C320" t="s">
        <v>4365</v>
      </c>
      <c r="D320" t="s">
        <v>4366</v>
      </c>
      <c r="E320">
        <v>47300046605</v>
      </c>
      <c r="F320" t="s">
        <v>16</v>
      </c>
      <c r="G320" t="s">
        <v>17</v>
      </c>
      <c r="H320" t="s">
        <v>49</v>
      </c>
      <c r="K320" t="s">
        <v>3557</v>
      </c>
      <c r="L320" t="s">
        <v>19</v>
      </c>
      <c r="M320" t="s">
        <v>20</v>
      </c>
      <c r="P320">
        <v>80000</v>
      </c>
      <c r="Q320">
        <v>80000</v>
      </c>
      <c r="R320" t="s">
        <v>3617</v>
      </c>
      <c r="S320" t="s">
        <v>2384</v>
      </c>
      <c r="T320">
        <v>370.4</v>
      </c>
    </row>
    <row r="321" spans="1:20" x14ac:dyDescent="0.25">
      <c r="A321" t="s">
        <v>14</v>
      </c>
      <c r="B321" t="s">
        <v>2381</v>
      </c>
      <c r="C321" t="s">
        <v>4384</v>
      </c>
      <c r="D321" t="s">
        <v>4379</v>
      </c>
      <c r="E321">
        <v>47300047066</v>
      </c>
      <c r="F321" t="s">
        <v>16</v>
      </c>
      <c r="G321" t="s">
        <v>28</v>
      </c>
      <c r="H321" t="s">
        <v>57</v>
      </c>
      <c r="K321" t="s">
        <v>3557</v>
      </c>
      <c r="L321" t="s">
        <v>19</v>
      </c>
      <c r="M321" t="s">
        <v>20</v>
      </c>
      <c r="P321">
        <v>180000</v>
      </c>
      <c r="Q321">
        <v>180000</v>
      </c>
      <c r="R321" t="s">
        <v>3618</v>
      </c>
      <c r="S321" t="s">
        <v>2382</v>
      </c>
      <c r="T321">
        <v>833.3</v>
      </c>
    </row>
    <row r="322" spans="1:20" x14ac:dyDescent="0.25">
      <c r="A322" t="s">
        <v>14</v>
      </c>
      <c r="B322" t="s">
        <v>2379</v>
      </c>
      <c r="C322" t="s">
        <v>4408</v>
      </c>
      <c r="D322" t="s">
        <v>4407</v>
      </c>
      <c r="E322">
        <v>47300070795</v>
      </c>
      <c r="F322" t="s">
        <v>16</v>
      </c>
      <c r="G322" t="s">
        <v>87</v>
      </c>
      <c r="H322" t="s">
        <v>88</v>
      </c>
      <c r="K322" t="s">
        <v>3557</v>
      </c>
      <c r="L322" t="s">
        <v>19</v>
      </c>
      <c r="M322" t="s">
        <v>20</v>
      </c>
      <c r="P322">
        <v>250000</v>
      </c>
      <c r="Q322">
        <v>250000</v>
      </c>
      <c r="R322" t="s">
        <v>3619</v>
      </c>
      <c r="S322" t="s">
        <v>2380</v>
      </c>
      <c r="T322">
        <v>1157.4000000000001</v>
      </c>
    </row>
    <row r="323" spans="1:20" x14ac:dyDescent="0.25">
      <c r="A323" t="s">
        <v>14</v>
      </c>
      <c r="B323" t="s">
        <v>2377</v>
      </c>
      <c r="C323" t="s">
        <v>4382</v>
      </c>
      <c r="D323" t="s">
        <v>4383</v>
      </c>
      <c r="E323">
        <v>47300046720</v>
      </c>
      <c r="F323" t="s">
        <v>16</v>
      </c>
      <c r="G323" t="s">
        <v>28</v>
      </c>
      <c r="H323" t="s">
        <v>143</v>
      </c>
      <c r="K323" t="s">
        <v>3557</v>
      </c>
      <c r="L323" t="s">
        <v>19</v>
      </c>
      <c r="M323" t="s">
        <v>20</v>
      </c>
      <c r="P323">
        <v>50000</v>
      </c>
      <c r="Q323">
        <v>50000</v>
      </c>
      <c r="R323" t="s">
        <v>3620</v>
      </c>
      <c r="S323" t="s">
        <v>2378</v>
      </c>
      <c r="T323">
        <v>231.5</v>
      </c>
    </row>
    <row r="324" spans="1:20" x14ac:dyDescent="0.25">
      <c r="A324" t="s">
        <v>14</v>
      </c>
      <c r="B324" t="s">
        <v>2375</v>
      </c>
      <c r="C324" t="s">
        <v>4414</v>
      </c>
      <c r="D324" t="s">
        <v>4401</v>
      </c>
      <c r="E324">
        <v>47300046746</v>
      </c>
      <c r="F324" t="s">
        <v>16</v>
      </c>
      <c r="G324" t="s">
        <v>28</v>
      </c>
      <c r="H324" t="s">
        <v>32</v>
      </c>
      <c r="K324" t="s">
        <v>3557</v>
      </c>
      <c r="L324" t="s">
        <v>19</v>
      </c>
      <c r="M324" t="s">
        <v>20</v>
      </c>
      <c r="P324">
        <v>10000</v>
      </c>
      <c r="Q324">
        <v>10000</v>
      </c>
      <c r="R324" t="s">
        <v>3621</v>
      </c>
      <c r="S324" t="s">
        <v>2376</v>
      </c>
      <c r="T324">
        <v>46.3</v>
      </c>
    </row>
    <row r="325" spans="1:20" x14ac:dyDescent="0.25">
      <c r="A325" t="s">
        <v>14</v>
      </c>
      <c r="B325" t="s">
        <v>2373</v>
      </c>
      <c r="C325" t="s">
        <v>4376</v>
      </c>
      <c r="D325" t="s">
        <v>4377</v>
      </c>
      <c r="E325">
        <v>47300070480</v>
      </c>
      <c r="F325" t="s">
        <v>16</v>
      </c>
      <c r="G325" t="s">
        <v>28</v>
      </c>
      <c r="H325" t="s">
        <v>184</v>
      </c>
      <c r="K325" t="s">
        <v>4229</v>
      </c>
      <c r="L325" t="s">
        <v>19</v>
      </c>
      <c r="M325" t="s">
        <v>63</v>
      </c>
      <c r="N325" s="2">
        <v>45323</v>
      </c>
      <c r="O325" s="2">
        <v>45351</v>
      </c>
      <c r="P325">
        <v>135000</v>
      </c>
      <c r="Q325">
        <v>135000</v>
      </c>
      <c r="R325" t="s">
        <v>4240</v>
      </c>
      <c r="S325" t="s">
        <v>2374</v>
      </c>
      <c r="T325">
        <v>625</v>
      </c>
    </row>
    <row r="326" spans="1:20" x14ac:dyDescent="0.25">
      <c r="A326" t="s">
        <v>14</v>
      </c>
      <c r="B326" t="s">
        <v>2371</v>
      </c>
      <c r="C326" t="s">
        <v>4374</v>
      </c>
      <c r="D326" t="s">
        <v>4375</v>
      </c>
      <c r="E326">
        <v>47300047066</v>
      </c>
      <c r="F326" t="s">
        <v>16</v>
      </c>
      <c r="G326" t="s">
        <v>28</v>
      </c>
      <c r="H326" t="s">
        <v>57</v>
      </c>
      <c r="K326" t="s">
        <v>3557</v>
      </c>
      <c r="L326" t="s">
        <v>19</v>
      </c>
      <c r="M326" t="s">
        <v>20</v>
      </c>
      <c r="P326">
        <v>50000</v>
      </c>
      <c r="Q326">
        <v>50000</v>
      </c>
      <c r="R326" t="s">
        <v>3622</v>
      </c>
      <c r="S326" t="s">
        <v>2372</v>
      </c>
      <c r="T326">
        <v>231.5</v>
      </c>
    </row>
    <row r="327" spans="1:20" x14ac:dyDescent="0.25">
      <c r="A327" t="s">
        <v>14</v>
      </c>
      <c r="B327" t="s">
        <v>2369</v>
      </c>
      <c r="C327" t="s">
        <v>4382</v>
      </c>
      <c r="D327" t="s">
        <v>4383</v>
      </c>
      <c r="E327">
        <v>47300070753</v>
      </c>
      <c r="F327" t="s">
        <v>16</v>
      </c>
      <c r="G327" t="s">
        <v>17</v>
      </c>
      <c r="H327" t="s">
        <v>82</v>
      </c>
      <c r="K327" t="s">
        <v>3557</v>
      </c>
      <c r="L327" t="s">
        <v>19</v>
      </c>
      <c r="M327" t="s">
        <v>20</v>
      </c>
      <c r="P327">
        <v>50000</v>
      </c>
      <c r="Q327">
        <v>50000</v>
      </c>
      <c r="R327" t="s">
        <v>3623</v>
      </c>
      <c r="S327" t="s">
        <v>2370</v>
      </c>
      <c r="T327">
        <v>231.5</v>
      </c>
    </row>
    <row r="328" spans="1:20" x14ac:dyDescent="0.25">
      <c r="A328" t="s">
        <v>14</v>
      </c>
      <c r="B328" t="s">
        <v>2367</v>
      </c>
      <c r="C328" t="s">
        <v>4380</v>
      </c>
      <c r="D328" t="s">
        <v>4381</v>
      </c>
      <c r="E328">
        <v>47300070480</v>
      </c>
      <c r="F328" t="s">
        <v>16</v>
      </c>
      <c r="G328" t="s">
        <v>28</v>
      </c>
      <c r="H328" t="s">
        <v>184</v>
      </c>
      <c r="K328" t="s">
        <v>3557</v>
      </c>
      <c r="L328" t="s">
        <v>19</v>
      </c>
      <c r="M328" t="s">
        <v>20</v>
      </c>
      <c r="P328">
        <v>15000</v>
      </c>
      <c r="Q328">
        <v>15000</v>
      </c>
      <c r="R328" t="s">
        <v>3624</v>
      </c>
      <c r="S328" t="s">
        <v>2368</v>
      </c>
      <c r="T328">
        <v>69.400000000000006</v>
      </c>
    </row>
    <row r="329" spans="1:20" x14ac:dyDescent="0.25">
      <c r="A329" t="s">
        <v>14</v>
      </c>
      <c r="B329" t="s">
        <v>2365</v>
      </c>
      <c r="C329" t="s">
        <v>4406</v>
      </c>
      <c r="D329" t="s">
        <v>4394</v>
      </c>
      <c r="E329">
        <v>47300070563</v>
      </c>
      <c r="F329" t="s">
        <v>16</v>
      </c>
      <c r="G329" t="s">
        <v>28</v>
      </c>
      <c r="H329" t="s">
        <v>359</v>
      </c>
      <c r="K329" t="s">
        <v>3557</v>
      </c>
      <c r="L329" t="s">
        <v>19</v>
      </c>
      <c r="M329" t="s">
        <v>20</v>
      </c>
      <c r="P329">
        <v>50000</v>
      </c>
      <c r="Q329">
        <v>50000</v>
      </c>
      <c r="R329" t="s">
        <v>3625</v>
      </c>
      <c r="S329" t="s">
        <v>2366</v>
      </c>
      <c r="T329">
        <v>231.5</v>
      </c>
    </row>
    <row r="330" spans="1:20" x14ac:dyDescent="0.25">
      <c r="A330" t="s">
        <v>14</v>
      </c>
      <c r="B330" t="s">
        <v>2363</v>
      </c>
      <c r="C330" t="s">
        <v>4389</v>
      </c>
      <c r="D330" t="s">
        <v>4375</v>
      </c>
      <c r="E330">
        <v>47300070563</v>
      </c>
      <c r="F330" t="s">
        <v>16</v>
      </c>
      <c r="G330" t="s">
        <v>28</v>
      </c>
      <c r="H330" t="s">
        <v>359</v>
      </c>
      <c r="K330" t="s">
        <v>3557</v>
      </c>
      <c r="L330" t="s">
        <v>19</v>
      </c>
      <c r="M330" t="s">
        <v>20</v>
      </c>
      <c r="P330">
        <v>30000</v>
      </c>
      <c r="Q330">
        <v>30000</v>
      </c>
      <c r="R330" t="s">
        <v>3626</v>
      </c>
      <c r="S330" t="s">
        <v>2364</v>
      </c>
      <c r="T330">
        <v>138.9</v>
      </c>
    </row>
    <row r="331" spans="1:20" x14ac:dyDescent="0.25">
      <c r="A331" t="s">
        <v>14</v>
      </c>
      <c r="B331" t="s">
        <v>2361</v>
      </c>
      <c r="C331" t="s">
        <v>4380</v>
      </c>
      <c r="D331" t="s">
        <v>4381</v>
      </c>
      <c r="E331">
        <v>47300070563</v>
      </c>
      <c r="F331" t="s">
        <v>16</v>
      </c>
      <c r="G331" t="s">
        <v>28</v>
      </c>
      <c r="H331" t="s">
        <v>359</v>
      </c>
      <c r="K331" t="s">
        <v>3557</v>
      </c>
      <c r="L331" t="s">
        <v>19</v>
      </c>
      <c r="M331" t="s">
        <v>20</v>
      </c>
      <c r="P331">
        <v>22500</v>
      </c>
      <c r="Q331">
        <v>22500</v>
      </c>
      <c r="R331" t="s">
        <v>3627</v>
      </c>
      <c r="S331" t="s">
        <v>2362</v>
      </c>
      <c r="T331">
        <v>104.1</v>
      </c>
    </row>
    <row r="332" spans="1:20" x14ac:dyDescent="0.25">
      <c r="A332" t="s">
        <v>14</v>
      </c>
      <c r="B332" t="s">
        <v>2359</v>
      </c>
      <c r="C332" t="s">
        <v>4384</v>
      </c>
      <c r="D332" t="s">
        <v>4385</v>
      </c>
      <c r="E332">
        <v>47300026094</v>
      </c>
      <c r="F332" t="s">
        <v>35</v>
      </c>
      <c r="G332" t="s">
        <v>36</v>
      </c>
      <c r="H332" t="s">
        <v>4359</v>
      </c>
      <c r="K332" t="s">
        <v>4229</v>
      </c>
      <c r="L332" t="s">
        <v>19</v>
      </c>
      <c r="M332" t="s">
        <v>63</v>
      </c>
      <c r="N332" s="2">
        <v>45352</v>
      </c>
      <c r="O332" s="2">
        <v>45382</v>
      </c>
      <c r="P332">
        <v>100000</v>
      </c>
      <c r="Q332">
        <v>100000</v>
      </c>
      <c r="R332" t="s">
        <v>3342</v>
      </c>
      <c r="S332" t="s">
        <v>2360</v>
      </c>
      <c r="T332">
        <v>463</v>
      </c>
    </row>
    <row r="333" spans="1:20" x14ac:dyDescent="0.25">
      <c r="A333" t="s">
        <v>14</v>
      </c>
      <c r="B333" t="s">
        <v>2359</v>
      </c>
      <c r="C333" t="s">
        <v>3300</v>
      </c>
      <c r="D333" t="s">
        <v>3299</v>
      </c>
      <c r="E333">
        <v>47300026094</v>
      </c>
      <c r="F333" t="s">
        <v>35</v>
      </c>
      <c r="G333" t="s">
        <v>36</v>
      </c>
      <c r="H333" t="s">
        <v>4359</v>
      </c>
      <c r="K333" t="s">
        <v>3294</v>
      </c>
      <c r="L333" t="s">
        <v>19</v>
      </c>
      <c r="M333" t="s">
        <v>46</v>
      </c>
      <c r="N333" s="2">
        <v>45352</v>
      </c>
      <c r="O333" s="2">
        <v>45382</v>
      </c>
      <c r="P333">
        <v>500</v>
      </c>
      <c r="Q333">
        <v>500</v>
      </c>
      <c r="R333" t="s">
        <v>3342</v>
      </c>
    </row>
    <row r="334" spans="1:20" x14ac:dyDescent="0.25">
      <c r="A334" t="s">
        <v>14</v>
      </c>
      <c r="B334" t="s">
        <v>2357</v>
      </c>
      <c r="C334" t="s">
        <v>4367</v>
      </c>
      <c r="D334" t="s">
        <v>4368</v>
      </c>
      <c r="E334">
        <v>47300070555</v>
      </c>
      <c r="F334" t="s">
        <v>35</v>
      </c>
      <c r="G334" t="s">
        <v>35</v>
      </c>
      <c r="H334" t="s">
        <v>116</v>
      </c>
      <c r="K334" t="s">
        <v>4229</v>
      </c>
      <c r="L334" t="s">
        <v>19</v>
      </c>
      <c r="M334" t="s">
        <v>63</v>
      </c>
      <c r="N334" s="2">
        <v>45352</v>
      </c>
      <c r="O334" s="2">
        <v>45382</v>
      </c>
      <c r="P334">
        <v>20000</v>
      </c>
      <c r="Q334">
        <v>20000</v>
      </c>
      <c r="R334" t="s">
        <v>3343</v>
      </c>
      <c r="S334" t="s">
        <v>2358</v>
      </c>
      <c r="T334">
        <v>92.6</v>
      </c>
    </row>
    <row r="335" spans="1:20" x14ac:dyDescent="0.25">
      <c r="A335" t="s">
        <v>14</v>
      </c>
      <c r="B335" t="s">
        <v>2357</v>
      </c>
      <c r="C335" t="s">
        <v>4364</v>
      </c>
      <c r="D335" t="s">
        <v>4358</v>
      </c>
      <c r="E335">
        <v>47300070555</v>
      </c>
      <c r="F335" t="s">
        <v>35</v>
      </c>
      <c r="G335" t="s">
        <v>35</v>
      </c>
      <c r="H335" t="s">
        <v>116</v>
      </c>
      <c r="K335" t="s">
        <v>3294</v>
      </c>
      <c r="L335" t="s">
        <v>19</v>
      </c>
      <c r="M335" t="s">
        <v>46</v>
      </c>
      <c r="N335" s="2">
        <v>45352</v>
      </c>
      <c r="O335" s="2">
        <v>45382</v>
      </c>
      <c r="P335">
        <v>500</v>
      </c>
      <c r="Q335">
        <v>500</v>
      </c>
      <c r="R335" t="s">
        <v>3343</v>
      </c>
    </row>
    <row r="336" spans="1:20" x14ac:dyDescent="0.25">
      <c r="A336" t="s">
        <v>14</v>
      </c>
      <c r="B336" t="s">
        <v>2355</v>
      </c>
      <c r="C336" t="s">
        <v>4384</v>
      </c>
      <c r="D336" t="s">
        <v>4385</v>
      </c>
      <c r="E336">
        <v>47300046647</v>
      </c>
      <c r="F336" t="s">
        <v>16</v>
      </c>
      <c r="G336" t="s">
        <v>87</v>
      </c>
      <c r="H336" t="s">
        <v>100</v>
      </c>
      <c r="K336" t="s">
        <v>4229</v>
      </c>
      <c r="L336" t="s">
        <v>19</v>
      </c>
      <c r="M336" t="s">
        <v>63</v>
      </c>
      <c r="N336" s="2">
        <v>45352</v>
      </c>
      <c r="O336" s="2">
        <v>45382</v>
      </c>
      <c r="P336">
        <v>100000</v>
      </c>
      <c r="Q336">
        <v>100000</v>
      </c>
      <c r="R336" t="s">
        <v>2939</v>
      </c>
      <c r="S336" t="s">
        <v>2356</v>
      </c>
      <c r="T336">
        <v>463</v>
      </c>
    </row>
    <row r="337" spans="1:20" x14ac:dyDescent="0.25">
      <c r="A337" t="s">
        <v>14</v>
      </c>
      <c r="B337" t="s">
        <v>2355</v>
      </c>
      <c r="C337" t="s">
        <v>3300</v>
      </c>
      <c r="D337" t="s">
        <v>3299</v>
      </c>
      <c r="E337">
        <v>47300046647</v>
      </c>
      <c r="F337" t="s">
        <v>16</v>
      </c>
      <c r="G337" t="s">
        <v>87</v>
      </c>
      <c r="H337" t="s">
        <v>100</v>
      </c>
      <c r="K337" t="s">
        <v>3294</v>
      </c>
      <c r="L337" t="s">
        <v>19</v>
      </c>
      <c r="M337" t="s">
        <v>46</v>
      </c>
      <c r="N337" s="2">
        <v>45352</v>
      </c>
      <c r="O337" s="2">
        <v>45382</v>
      </c>
      <c r="P337">
        <v>500</v>
      </c>
      <c r="Q337">
        <v>500</v>
      </c>
      <c r="R337" t="s">
        <v>2939</v>
      </c>
    </row>
    <row r="338" spans="1:20" x14ac:dyDescent="0.25">
      <c r="A338" t="s">
        <v>14</v>
      </c>
      <c r="B338" t="s">
        <v>2355</v>
      </c>
      <c r="C338" t="s">
        <v>4367</v>
      </c>
      <c r="D338" t="s">
        <v>4368</v>
      </c>
      <c r="E338">
        <v>47300046647</v>
      </c>
      <c r="F338" t="s">
        <v>16</v>
      </c>
      <c r="G338" t="s">
        <v>87</v>
      </c>
      <c r="H338" t="s">
        <v>100</v>
      </c>
      <c r="K338" t="s">
        <v>2892</v>
      </c>
      <c r="L338" t="s">
        <v>19</v>
      </c>
      <c r="M338" t="s">
        <v>46</v>
      </c>
      <c r="N338" s="2">
        <v>45352</v>
      </c>
      <c r="O338" s="2">
        <v>45382</v>
      </c>
      <c r="P338">
        <v>10000</v>
      </c>
      <c r="Q338">
        <v>10000</v>
      </c>
      <c r="R338" t="s">
        <v>2939</v>
      </c>
    </row>
    <row r="339" spans="1:20" x14ac:dyDescent="0.25">
      <c r="A339" t="s">
        <v>14</v>
      </c>
      <c r="B339" t="s">
        <v>2353</v>
      </c>
      <c r="C339" t="s">
        <v>4384</v>
      </c>
      <c r="D339" t="s">
        <v>4385</v>
      </c>
      <c r="E339">
        <v>47300070704</v>
      </c>
      <c r="F339" t="s">
        <v>16</v>
      </c>
      <c r="G339" t="s">
        <v>28</v>
      </c>
      <c r="H339" t="s">
        <v>146</v>
      </c>
      <c r="K339" t="s">
        <v>4229</v>
      </c>
      <c r="L339" t="s">
        <v>19</v>
      </c>
      <c r="M339" t="s">
        <v>63</v>
      </c>
      <c r="N339" s="2">
        <v>45352</v>
      </c>
      <c r="O339" s="2">
        <v>45382</v>
      </c>
      <c r="P339">
        <v>200000</v>
      </c>
      <c r="Q339">
        <v>200000</v>
      </c>
      <c r="R339" t="s">
        <v>4241</v>
      </c>
      <c r="S339" t="s">
        <v>2354</v>
      </c>
      <c r="T339">
        <v>925.9</v>
      </c>
    </row>
    <row r="340" spans="1:20" x14ac:dyDescent="0.25">
      <c r="A340" t="s">
        <v>14</v>
      </c>
      <c r="B340" t="s">
        <v>2351</v>
      </c>
      <c r="C340" t="s">
        <v>4418</v>
      </c>
      <c r="D340" t="s">
        <v>4368</v>
      </c>
      <c r="E340">
        <v>47300088318</v>
      </c>
      <c r="F340" t="s">
        <v>35</v>
      </c>
      <c r="G340" t="s">
        <v>36</v>
      </c>
      <c r="H340" t="s">
        <v>1126</v>
      </c>
      <c r="K340" t="s">
        <v>4229</v>
      </c>
      <c r="L340" t="s">
        <v>19</v>
      </c>
      <c r="M340" t="s">
        <v>63</v>
      </c>
      <c r="N340" s="2">
        <v>45352</v>
      </c>
      <c r="O340" s="2">
        <v>45382</v>
      </c>
      <c r="P340">
        <v>10000</v>
      </c>
      <c r="Q340">
        <v>10000</v>
      </c>
      <c r="R340" t="s">
        <v>3344</v>
      </c>
      <c r="S340" t="s">
        <v>2352</v>
      </c>
      <c r="T340">
        <v>42.3</v>
      </c>
    </row>
    <row r="341" spans="1:20" x14ac:dyDescent="0.25">
      <c r="A341" t="s">
        <v>14</v>
      </c>
      <c r="B341" t="s">
        <v>2351</v>
      </c>
      <c r="C341" t="s">
        <v>4419</v>
      </c>
      <c r="D341" t="s">
        <v>4368</v>
      </c>
      <c r="E341">
        <v>47300088318</v>
      </c>
      <c r="F341" t="s">
        <v>35</v>
      </c>
      <c r="G341" t="s">
        <v>36</v>
      </c>
      <c r="H341" t="s">
        <v>1126</v>
      </c>
      <c r="K341" t="s">
        <v>3294</v>
      </c>
      <c r="L341" t="s">
        <v>19</v>
      </c>
      <c r="M341" t="s">
        <v>46</v>
      </c>
      <c r="N341" s="2">
        <v>45352</v>
      </c>
      <c r="O341" s="2">
        <v>45382</v>
      </c>
      <c r="P341">
        <v>500</v>
      </c>
      <c r="Q341">
        <v>500</v>
      </c>
      <c r="R341" t="s">
        <v>3344</v>
      </c>
    </row>
    <row r="342" spans="1:20" x14ac:dyDescent="0.25">
      <c r="A342" t="s">
        <v>14</v>
      </c>
      <c r="B342" t="s">
        <v>2349</v>
      </c>
      <c r="C342" t="s">
        <v>4371</v>
      </c>
      <c r="D342" t="s">
        <v>4368</v>
      </c>
      <c r="E342">
        <v>47300025690</v>
      </c>
      <c r="F342" t="s">
        <v>35</v>
      </c>
      <c r="G342" t="s">
        <v>36</v>
      </c>
      <c r="H342" t="s">
        <v>37</v>
      </c>
      <c r="K342" t="s">
        <v>4229</v>
      </c>
      <c r="L342" t="s">
        <v>19</v>
      </c>
      <c r="M342" t="s">
        <v>63</v>
      </c>
      <c r="N342" s="2">
        <v>45352</v>
      </c>
      <c r="O342" s="2">
        <v>45382</v>
      </c>
      <c r="P342">
        <v>50000</v>
      </c>
      <c r="Q342">
        <v>50000</v>
      </c>
      <c r="R342" t="s">
        <v>3345</v>
      </c>
      <c r="S342" t="s">
        <v>2350</v>
      </c>
      <c r="T342">
        <v>211.9</v>
      </c>
    </row>
    <row r="343" spans="1:20" x14ac:dyDescent="0.25">
      <c r="A343" t="s">
        <v>14</v>
      </c>
      <c r="B343" t="s">
        <v>2349</v>
      </c>
      <c r="C343" t="s">
        <v>4386</v>
      </c>
      <c r="D343" t="s">
        <v>4368</v>
      </c>
      <c r="E343">
        <v>47300025690</v>
      </c>
      <c r="F343" t="s">
        <v>35</v>
      </c>
      <c r="G343" t="s">
        <v>36</v>
      </c>
      <c r="H343" t="s">
        <v>37</v>
      </c>
      <c r="K343" t="s">
        <v>3294</v>
      </c>
      <c r="L343" t="s">
        <v>19</v>
      </c>
      <c r="M343" t="s">
        <v>46</v>
      </c>
      <c r="N343" s="2">
        <v>45352</v>
      </c>
      <c r="O343" s="2">
        <v>45382</v>
      </c>
      <c r="P343">
        <v>500</v>
      </c>
      <c r="Q343">
        <v>500</v>
      </c>
      <c r="R343" t="s">
        <v>3345</v>
      </c>
    </row>
    <row r="344" spans="1:20" x14ac:dyDescent="0.25">
      <c r="A344" t="s">
        <v>14</v>
      </c>
      <c r="B344" t="s">
        <v>2347</v>
      </c>
      <c r="C344" t="s">
        <v>4411</v>
      </c>
      <c r="D344" t="s">
        <v>3275</v>
      </c>
      <c r="E344">
        <v>47300025708</v>
      </c>
      <c r="F344" t="s">
        <v>35</v>
      </c>
      <c r="G344" t="s">
        <v>36</v>
      </c>
      <c r="H344" t="s">
        <v>4360</v>
      </c>
      <c r="K344" t="s">
        <v>4229</v>
      </c>
      <c r="L344" t="s">
        <v>19</v>
      </c>
      <c r="M344" t="s">
        <v>63</v>
      </c>
      <c r="N344" s="2">
        <v>45352</v>
      </c>
      <c r="O344" s="2">
        <v>45382</v>
      </c>
      <c r="P344">
        <v>50000</v>
      </c>
      <c r="Q344">
        <v>50000</v>
      </c>
      <c r="R344" t="s">
        <v>3346</v>
      </c>
      <c r="S344" t="s">
        <v>2348</v>
      </c>
      <c r="T344">
        <v>211.9</v>
      </c>
    </row>
    <row r="345" spans="1:20" x14ac:dyDescent="0.25">
      <c r="A345" t="s">
        <v>14</v>
      </c>
      <c r="B345" t="s">
        <v>2347</v>
      </c>
      <c r="C345" t="s">
        <v>4418</v>
      </c>
      <c r="D345" t="s">
        <v>4368</v>
      </c>
      <c r="E345">
        <v>47300025708</v>
      </c>
      <c r="F345" t="s">
        <v>35</v>
      </c>
      <c r="G345" t="s">
        <v>36</v>
      </c>
      <c r="H345" t="s">
        <v>4360</v>
      </c>
      <c r="K345" t="s">
        <v>3294</v>
      </c>
      <c r="L345" t="s">
        <v>19</v>
      </c>
      <c r="M345" t="s">
        <v>46</v>
      </c>
      <c r="N345" s="2">
        <v>45352</v>
      </c>
      <c r="O345" s="2">
        <v>45382</v>
      </c>
      <c r="P345">
        <v>500</v>
      </c>
      <c r="Q345">
        <v>500</v>
      </c>
      <c r="R345" t="s">
        <v>3346</v>
      </c>
    </row>
    <row r="346" spans="1:20" x14ac:dyDescent="0.25">
      <c r="A346" t="s">
        <v>14</v>
      </c>
      <c r="B346" t="s">
        <v>2345</v>
      </c>
      <c r="C346" t="s">
        <v>4419</v>
      </c>
      <c r="D346" t="s">
        <v>4368</v>
      </c>
      <c r="E346">
        <v>47300020147</v>
      </c>
      <c r="F346" t="s">
        <v>35</v>
      </c>
      <c r="G346" t="s">
        <v>36</v>
      </c>
      <c r="H346" t="s">
        <v>4363</v>
      </c>
      <c r="K346" t="s">
        <v>4229</v>
      </c>
      <c r="L346" t="s">
        <v>19</v>
      </c>
      <c r="M346" t="s">
        <v>63</v>
      </c>
      <c r="N346" s="2">
        <v>45352</v>
      </c>
      <c r="O346" s="2">
        <v>45382</v>
      </c>
      <c r="P346">
        <v>50000</v>
      </c>
      <c r="Q346">
        <v>50000</v>
      </c>
      <c r="R346" t="s">
        <v>3347</v>
      </c>
      <c r="S346" t="s">
        <v>2346</v>
      </c>
      <c r="T346">
        <v>211.9</v>
      </c>
    </row>
    <row r="347" spans="1:20" x14ac:dyDescent="0.25">
      <c r="A347" t="s">
        <v>14</v>
      </c>
      <c r="B347" t="s">
        <v>2345</v>
      </c>
      <c r="C347" t="s">
        <v>4371</v>
      </c>
      <c r="D347" t="s">
        <v>4368</v>
      </c>
      <c r="E347">
        <v>47300020147</v>
      </c>
      <c r="F347" t="s">
        <v>35</v>
      </c>
      <c r="G347" t="s">
        <v>36</v>
      </c>
      <c r="H347" t="s">
        <v>4363</v>
      </c>
      <c r="K347" t="s">
        <v>3294</v>
      </c>
      <c r="L347" t="s">
        <v>19</v>
      </c>
      <c r="M347" t="s">
        <v>46</v>
      </c>
      <c r="N347" s="2">
        <v>45352</v>
      </c>
      <c r="O347" s="2">
        <v>45382</v>
      </c>
      <c r="P347">
        <v>500</v>
      </c>
      <c r="Q347">
        <v>500</v>
      </c>
      <c r="R347" t="s">
        <v>3347</v>
      </c>
    </row>
    <row r="348" spans="1:20" x14ac:dyDescent="0.25">
      <c r="A348" t="s">
        <v>14</v>
      </c>
      <c r="B348" t="s">
        <v>2343</v>
      </c>
      <c r="C348" t="s">
        <v>4386</v>
      </c>
      <c r="D348" t="s">
        <v>4368</v>
      </c>
      <c r="E348">
        <v>47300012151</v>
      </c>
      <c r="F348" t="s">
        <v>35</v>
      </c>
      <c r="G348" t="s">
        <v>36</v>
      </c>
      <c r="H348" t="s">
        <v>4362</v>
      </c>
      <c r="K348" t="s">
        <v>4229</v>
      </c>
      <c r="L348" t="s">
        <v>19</v>
      </c>
      <c r="M348" t="s">
        <v>63</v>
      </c>
      <c r="N348" s="2">
        <v>45352</v>
      </c>
      <c r="O348" s="2">
        <v>45382</v>
      </c>
      <c r="P348">
        <v>50000</v>
      </c>
      <c r="Q348">
        <v>50000</v>
      </c>
      <c r="R348" t="s">
        <v>3348</v>
      </c>
      <c r="S348" t="s">
        <v>2344</v>
      </c>
      <c r="T348">
        <v>211.9</v>
      </c>
    </row>
    <row r="349" spans="1:20" x14ac:dyDescent="0.25">
      <c r="A349" t="s">
        <v>14</v>
      </c>
      <c r="B349" t="s">
        <v>2343</v>
      </c>
      <c r="C349" t="s">
        <v>4411</v>
      </c>
      <c r="D349" t="s">
        <v>3275</v>
      </c>
      <c r="E349">
        <v>47300012151</v>
      </c>
      <c r="F349" t="s">
        <v>35</v>
      </c>
      <c r="G349" t="s">
        <v>36</v>
      </c>
      <c r="H349" t="s">
        <v>4362</v>
      </c>
      <c r="K349" t="s">
        <v>3294</v>
      </c>
      <c r="L349" t="s">
        <v>19</v>
      </c>
      <c r="M349" t="s">
        <v>46</v>
      </c>
      <c r="N349" s="2">
        <v>45352</v>
      </c>
      <c r="O349" s="2">
        <v>45382</v>
      </c>
      <c r="P349">
        <v>500</v>
      </c>
      <c r="Q349">
        <v>500</v>
      </c>
      <c r="R349" t="s">
        <v>3348</v>
      </c>
    </row>
    <row r="350" spans="1:20" x14ac:dyDescent="0.25">
      <c r="A350" t="s">
        <v>14</v>
      </c>
      <c r="B350" t="s">
        <v>2342</v>
      </c>
      <c r="C350" t="s">
        <v>4365</v>
      </c>
      <c r="D350" t="s">
        <v>4403</v>
      </c>
      <c r="E350">
        <v>47300046720</v>
      </c>
      <c r="F350" t="s">
        <v>16</v>
      </c>
      <c r="G350" t="s">
        <v>28</v>
      </c>
      <c r="H350" t="s">
        <v>143</v>
      </c>
      <c r="K350" t="s">
        <v>3294</v>
      </c>
      <c r="L350" t="s">
        <v>19</v>
      </c>
      <c r="M350" t="s">
        <v>46</v>
      </c>
      <c r="N350" s="2">
        <v>45352</v>
      </c>
      <c r="O350" s="2">
        <v>45382</v>
      </c>
      <c r="P350">
        <v>500</v>
      </c>
      <c r="Q350">
        <v>500</v>
      </c>
      <c r="R350" t="s">
        <v>3349</v>
      </c>
    </row>
    <row r="351" spans="1:20" x14ac:dyDescent="0.25">
      <c r="A351" t="s">
        <v>14</v>
      </c>
      <c r="B351" t="s">
        <v>2340</v>
      </c>
      <c r="C351" t="s">
        <v>4376</v>
      </c>
      <c r="D351" t="s">
        <v>4377</v>
      </c>
      <c r="E351">
        <v>47300070654</v>
      </c>
      <c r="F351" t="s">
        <v>16</v>
      </c>
      <c r="G351" t="s">
        <v>28</v>
      </c>
      <c r="H351" t="s">
        <v>217</v>
      </c>
      <c r="K351" t="s">
        <v>4229</v>
      </c>
      <c r="L351" t="s">
        <v>19</v>
      </c>
      <c r="M351" t="s">
        <v>63</v>
      </c>
      <c r="N351" s="2">
        <v>45352</v>
      </c>
      <c r="O351" s="2">
        <v>45382</v>
      </c>
      <c r="P351">
        <v>10000</v>
      </c>
      <c r="Q351">
        <v>10000</v>
      </c>
      <c r="R351" t="s">
        <v>3350</v>
      </c>
      <c r="S351" t="s">
        <v>2341</v>
      </c>
      <c r="T351">
        <v>36.799999999999997</v>
      </c>
    </row>
    <row r="352" spans="1:20" x14ac:dyDescent="0.25">
      <c r="A352" t="s">
        <v>14</v>
      </c>
      <c r="B352" t="s">
        <v>2340</v>
      </c>
      <c r="C352" t="s">
        <v>4365</v>
      </c>
      <c r="D352" t="s">
        <v>4403</v>
      </c>
      <c r="E352">
        <v>47300070654</v>
      </c>
      <c r="F352" t="s">
        <v>16</v>
      </c>
      <c r="G352" t="s">
        <v>28</v>
      </c>
      <c r="H352" t="s">
        <v>217</v>
      </c>
      <c r="K352" t="s">
        <v>3294</v>
      </c>
      <c r="L352" t="s">
        <v>19</v>
      </c>
      <c r="M352" t="s">
        <v>46</v>
      </c>
      <c r="N352" s="2">
        <v>45352</v>
      </c>
      <c r="O352" s="2">
        <v>45382</v>
      </c>
      <c r="P352">
        <v>500</v>
      </c>
      <c r="Q352">
        <v>500</v>
      </c>
      <c r="R352" t="s">
        <v>3350</v>
      </c>
    </row>
    <row r="353" spans="1:20" x14ac:dyDescent="0.25">
      <c r="A353" t="s">
        <v>14</v>
      </c>
      <c r="B353" t="s">
        <v>2339</v>
      </c>
      <c r="C353" t="s">
        <v>4389</v>
      </c>
      <c r="D353" t="s">
        <v>4375</v>
      </c>
      <c r="E353">
        <v>47300046746</v>
      </c>
      <c r="F353" t="s">
        <v>16</v>
      </c>
      <c r="G353" t="s">
        <v>28</v>
      </c>
      <c r="H353" t="s">
        <v>32</v>
      </c>
      <c r="K353" t="s">
        <v>3294</v>
      </c>
      <c r="L353" t="s">
        <v>19</v>
      </c>
      <c r="M353" t="s">
        <v>46</v>
      </c>
      <c r="N353" s="2">
        <v>45352</v>
      </c>
      <c r="O353" s="2">
        <v>45382</v>
      </c>
      <c r="P353">
        <v>500</v>
      </c>
      <c r="Q353">
        <v>500</v>
      </c>
      <c r="R353" t="s">
        <v>2940</v>
      </c>
    </row>
    <row r="354" spans="1:20" x14ac:dyDescent="0.25">
      <c r="A354" t="s">
        <v>14</v>
      </c>
      <c r="B354" t="s">
        <v>2339</v>
      </c>
      <c r="C354" t="s">
        <v>4387</v>
      </c>
      <c r="D354" t="s">
        <v>4388</v>
      </c>
      <c r="E354">
        <v>47300046746</v>
      </c>
      <c r="F354" t="s">
        <v>16</v>
      </c>
      <c r="G354" t="s">
        <v>28</v>
      </c>
      <c r="H354" t="s">
        <v>32</v>
      </c>
      <c r="K354" t="s">
        <v>3197</v>
      </c>
      <c r="L354" t="s">
        <v>19</v>
      </c>
      <c r="M354" t="s">
        <v>46</v>
      </c>
      <c r="N354" s="2">
        <v>45352</v>
      </c>
      <c r="O354" s="2">
        <v>45382</v>
      </c>
      <c r="P354">
        <v>145500</v>
      </c>
      <c r="Q354">
        <v>145500</v>
      </c>
      <c r="R354" t="s">
        <v>2940</v>
      </c>
    </row>
    <row r="355" spans="1:20" x14ac:dyDescent="0.25">
      <c r="A355" t="s">
        <v>14</v>
      </c>
      <c r="B355" t="s">
        <v>2339</v>
      </c>
      <c r="C355" t="s">
        <v>4369</v>
      </c>
      <c r="D355" t="s">
        <v>4370</v>
      </c>
      <c r="E355">
        <v>47300046746</v>
      </c>
      <c r="F355" t="s">
        <v>16</v>
      </c>
      <c r="G355" t="s">
        <v>28</v>
      </c>
      <c r="H355" t="s">
        <v>32</v>
      </c>
      <c r="K355" t="s">
        <v>2892</v>
      </c>
      <c r="L355" t="s">
        <v>19</v>
      </c>
      <c r="M355" t="s">
        <v>46</v>
      </c>
      <c r="N355" s="2">
        <v>45352</v>
      </c>
      <c r="O355" s="2">
        <v>45382</v>
      </c>
      <c r="P355">
        <v>10000</v>
      </c>
      <c r="Q355">
        <v>10000</v>
      </c>
      <c r="R355" t="s">
        <v>2940</v>
      </c>
    </row>
    <row r="356" spans="1:20" x14ac:dyDescent="0.25">
      <c r="A356" t="s">
        <v>14</v>
      </c>
      <c r="B356" t="s">
        <v>2337</v>
      </c>
      <c r="C356" t="s">
        <v>4414</v>
      </c>
      <c r="D356" t="s">
        <v>4401</v>
      </c>
      <c r="E356">
        <v>47300086445</v>
      </c>
      <c r="F356" t="s">
        <v>16</v>
      </c>
      <c r="G356" t="s">
        <v>28</v>
      </c>
      <c r="H356" t="s">
        <v>187</v>
      </c>
      <c r="I356" t="s">
        <v>2777</v>
      </c>
      <c r="J356" t="s">
        <v>2776</v>
      </c>
      <c r="K356" t="s">
        <v>4229</v>
      </c>
      <c r="L356" t="s">
        <v>19</v>
      </c>
      <c r="M356" t="s">
        <v>63</v>
      </c>
      <c r="N356" s="2">
        <v>45352</v>
      </c>
      <c r="O356" s="2">
        <v>45382</v>
      </c>
      <c r="P356">
        <v>35000</v>
      </c>
      <c r="Q356">
        <v>35000</v>
      </c>
      <c r="R356" t="s">
        <v>2941</v>
      </c>
      <c r="S356" t="s">
        <v>2338</v>
      </c>
      <c r="T356">
        <v>129</v>
      </c>
    </row>
    <row r="357" spans="1:20" x14ac:dyDescent="0.25">
      <c r="A357" t="s">
        <v>14</v>
      </c>
      <c r="B357" t="s">
        <v>2337</v>
      </c>
      <c r="C357" t="s">
        <v>4389</v>
      </c>
      <c r="D357" t="s">
        <v>4375</v>
      </c>
      <c r="E357">
        <v>47300086445</v>
      </c>
      <c r="F357" t="s">
        <v>16</v>
      </c>
      <c r="G357" t="s">
        <v>28</v>
      </c>
      <c r="H357" t="s">
        <v>187</v>
      </c>
      <c r="I357" t="s">
        <v>2777</v>
      </c>
      <c r="J357" t="s">
        <v>2776</v>
      </c>
      <c r="K357" t="s">
        <v>3294</v>
      </c>
      <c r="L357" t="s">
        <v>19</v>
      </c>
      <c r="M357" t="s">
        <v>46</v>
      </c>
      <c r="N357" s="2">
        <v>45352</v>
      </c>
      <c r="O357" s="2">
        <v>45382</v>
      </c>
      <c r="P357">
        <v>500</v>
      </c>
      <c r="Q357">
        <v>500</v>
      </c>
      <c r="R357" t="s">
        <v>2941</v>
      </c>
    </row>
    <row r="358" spans="1:20" x14ac:dyDescent="0.25">
      <c r="A358" t="s">
        <v>14</v>
      </c>
      <c r="B358" t="s">
        <v>2337</v>
      </c>
      <c r="C358" t="s">
        <v>4387</v>
      </c>
      <c r="D358" t="s">
        <v>4388</v>
      </c>
      <c r="E358">
        <v>47300086445</v>
      </c>
      <c r="F358" t="s">
        <v>16</v>
      </c>
      <c r="G358" t="s">
        <v>28</v>
      </c>
      <c r="H358" t="s">
        <v>187</v>
      </c>
      <c r="I358" t="s">
        <v>2777</v>
      </c>
      <c r="J358" t="s">
        <v>2776</v>
      </c>
      <c r="K358" t="s">
        <v>2892</v>
      </c>
      <c r="L358" t="s">
        <v>19</v>
      </c>
      <c r="M358" t="s">
        <v>46</v>
      </c>
      <c r="N358" s="2">
        <v>45352</v>
      </c>
      <c r="O358" s="2">
        <v>45382</v>
      </c>
      <c r="P358">
        <v>10000</v>
      </c>
      <c r="Q358">
        <v>10000</v>
      </c>
      <c r="R358" t="s">
        <v>2941</v>
      </c>
    </row>
    <row r="359" spans="1:20" x14ac:dyDescent="0.25">
      <c r="A359" t="s">
        <v>14</v>
      </c>
      <c r="B359" t="s">
        <v>2335</v>
      </c>
      <c r="C359" t="s">
        <v>4369</v>
      </c>
      <c r="D359" t="s">
        <v>4370</v>
      </c>
      <c r="E359">
        <v>47300046761</v>
      </c>
      <c r="F359" t="s">
        <v>42</v>
      </c>
      <c r="G359" t="s">
        <v>28</v>
      </c>
      <c r="H359" t="s">
        <v>43</v>
      </c>
      <c r="K359" t="s">
        <v>4229</v>
      </c>
      <c r="L359" t="s">
        <v>19</v>
      </c>
      <c r="M359" t="s">
        <v>63</v>
      </c>
      <c r="N359" s="2">
        <v>45352</v>
      </c>
      <c r="O359" s="2">
        <v>45382</v>
      </c>
      <c r="P359">
        <v>50000</v>
      </c>
      <c r="Q359">
        <v>50000</v>
      </c>
      <c r="R359" t="s">
        <v>2942</v>
      </c>
      <c r="S359" t="s">
        <v>2336</v>
      </c>
      <c r="T359">
        <v>184.3</v>
      </c>
    </row>
    <row r="360" spans="1:20" x14ac:dyDescent="0.25">
      <c r="A360" t="s">
        <v>14</v>
      </c>
      <c r="B360" t="s">
        <v>2335</v>
      </c>
      <c r="C360" t="s">
        <v>4389</v>
      </c>
      <c r="D360" t="s">
        <v>4375</v>
      </c>
      <c r="E360">
        <v>47300046761</v>
      </c>
      <c r="F360" t="s">
        <v>42</v>
      </c>
      <c r="G360" t="s">
        <v>28</v>
      </c>
      <c r="H360" t="s">
        <v>43</v>
      </c>
      <c r="K360" t="s">
        <v>3294</v>
      </c>
      <c r="L360" t="s">
        <v>19</v>
      </c>
      <c r="M360" t="s">
        <v>46</v>
      </c>
      <c r="N360" s="2">
        <v>45352</v>
      </c>
      <c r="O360" s="2">
        <v>45382</v>
      </c>
      <c r="P360">
        <v>500</v>
      </c>
      <c r="Q360">
        <v>500</v>
      </c>
      <c r="R360" t="s">
        <v>2942</v>
      </c>
    </row>
    <row r="361" spans="1:20" x14ac:dyDescent="0.25">
      <c r="A361" t="s">
        <v>14</v>
      </c>
      <c r="B361" t="s">
        <v>2335</v>
      </c>
      <c r="C361" t="s">
        <v>4387</v>
      </c>
      <c r="D361" t="s">
        <v>4388</v>
      </c>
      <c r="E361">
        <v>47300046761</v>
      </c>
      <c r="F361" t="s">
        <v>42</v>
      </c>
      <c r="G361" t="s">
        <v>28</v>
      </c>
      <c r="H361" t="s">
        <v>43</v>
      </c>
      <c r="K361" t="s">
        <v>3197</v>
      </c>
      <c r="L361" t="s">
        <v>19</v>
      </c>
      <c r="M361" t="s">
        <v>46</v>
      </c>
      <c r="N361" s="2">
        <v>45352</v>
      </c>
      <c r="O361" s="2">
        <v>45382</v>
      </c>
      <c r="P361">
        <v>145500</v>
      </c>
      <c r="Q361">
        <v>145500</v>
      </c>
      <c r="R361" t="s">
        <v>2942</v>
      </c>
    </row>
    <row r="362" spans="1:20" x14ac:dyDescent="0.25">
      <c r="A362" t="s">
        <v>14</v>
      </c>
      <c r="B362" t="s">
        <v>2335</v>
      </c>
      <c r="C362" t="s">
        <v>4414</v>
      </c>
      <c r="D362" t="s">
        <v>4401</v>
      </c>
      <c r="E362">
        <v>47300046761</v>
      </c>
      <c r="F362" t="s">
        <v>42</v>
      </c>
      <c r="G362" t="s">
        <v>28</v>
      </c>
      <c r="H362" t="s">
        <v>43</v>
      </c>
      <c r="K362" t="s">
        <v>2892</v>
      </c>
      <c r="L362" t="s">
        <v>19</v>
      </c>
      <c r="M362" t="s">
        <v>46</v>
      </c>
      <c r="N362" s="2">
        <v>45352</v>
      </c>
      <c r="O362" s="2">
        <v>45382</v>
      </c>
      <c r="P362">
        <v>10000</v>
      </c>
      <c r="Q362">
        <v>10000</v>
      </c>
      <c r="R362" t="s">
        <v>2942</v>
      </c>
    </row>
    <row r="363" spans="1:20" x14ac:dyDescent="0.25">
      <c r="A363" t="s">
        <v>14</v>
      </c>
      <c r="B363" t="s">
        <v>2333</v>
      </c>
      <c r="C363" t="s">
        <v>4389</v>
      </c>
      <c r="D363" t="s">
        <v>4375</v>
      </c>
      <c r="E363">
        <v>47300070514</v>
      </c>
      <c r="F363" t="s">
        <v>27</v>
      </c>
      <c r="G363" t="s">
        <v>28</v>
      </c>
      <c r="H363" t="s">
        <v>29</v>
      </c>
      <c r="K363" t="s">
        <v>4229</v>
      </c>
      <c r="L363" t="s">
        <v>19</v>
      </c>
      <c r="M363" t="s">
        <v>63</v>
      </c>
      <c r="N363" s="2">
        <v>45352</v>
      </c>
      <c r="O363" s="2">
        <v>45382</v>
      </c>
      <c r="P363">
        <v>100000</v>
      </c>
      <c r="Q363">
        <v>100000</v>
      </c>
      <c r="R363" t="s">
        <v>2943</v>
      </c>
      <c r="S363" t="s">
        <v>2334</v>
      </c>
      <c r="T363">
        <v>368.8</v>
      </c>
    </row>
    <row r="364" spans="1:20" x14ac:dyDescent="0.25">
      <c r="A364" t="s">
        <v>14</v>
      </c>
      <c r="B364" t="s">
        <v>2333</v>
      </c>
      <c r="C364" t="s">
        <v>4387</v>
      </c>
      <c r="D364" t="s">
        <v>4388</v>
      </c>
      <c r="E364">
        <v>47300070514</v>
      </c>
      <c r="F364" t="s">
        <v>27</v>
      </c>
      <c r="G364" t="s">
        <v>28</v>
      </c>
      <c r="H364" t="s">
        <v>29</v>
      </c>
      <c r="K364" t="s">
        <v>3294</v>
      </c>
      <c r="L364" t="s">
        <v>19</v>
      </c>
      <c r="M364" t="s">
        <v>46</v>
      </c>
      <c r="N364" s="2">
        <v>45352</v>
      </c>
      <c r="O364" s="2">
        <v>45382</v>
      </c>
      <c r="P364">
        <v>500</v>
      </c>
      <c r="Q364">
        <v>500</v>
      </c>
      <c r="R364" t="s">
        <v>2943</v>
      </c>
    </row>
    <row r="365" spans="1:20" x14ac:dyDescent="0.25">
      <c r="A365" t="s">
        <v>14</v>
      </c>
      <c r="B365" t="s">
        <v>2333</v>
      </c>
      <c r="C365" t="s">
        <v>4369</v>
      </c>
      <c r="D365" t="s">
        <v>4370</v>
      </c>
      <c r="E365">
        <v>47300070514</v>
      </c>
      <c r="F365" t="s">
        <v>27</v>
      </c>
      <c r="G365" t="s">
        <v>28</v>
      </c>
      <c r="H365" t="s">
        <v>29</v>
      </c>
      <c r="K365" t="s">
        <v>3197</v>
      </c>
      <c r="L365" t="s">
        <v>19</v>
      </c>
      <c r="M365" t="s">
        <v>46</v>
      </c>
      <c r="N365" s="2">
        <v>45352</v>
      </c>
      <c r="O365" s="2">
        <v>45382</v>
      </c>
      <c r="P365">
        <v>145500</v>
      </c>
      <c r="Q365">
        <v>145500</v>
      </c>
      <c r="R365" t="s">
        <v>2943</v>
      </c>
    </row>
    <row r="366" spans="1:20" x14ac:dyDescent="0.25">
      <c r="A366" t="s">
        <v>14</v>
      </c>
      <c r="B366" t="s">
        <v>2333</v>
      </c>
      <c r="C366" t="s">
        <v>4414</v>
      </c>
      <c r="D366" t="s">
        <v>4401</v>
      </c>
      <c r="E366">
        <v>47300070514</v>
      </c>
      <c r="F366" t="s">
        <v>27</v>
      </c>
      <c r="G366" t="s">
        <v>28</v>
      </c>
      <c r="H366" t="s">
        <v>29</v>
      </c>
      <c r="K366" t="s">
        <v>2892</v>
      </c>
      <c r="L366" t="s">
        <v>19</v>
      </c>
      <c r="M366" t="s">
        <v>46</v>
      </c>
      <c r="N366" s="2">
        <v>45352</v>
      </c>
      <c r="O366" s="2">
        <v>45382</v>
      </c>
      <c r="P366">
        <v>10000</v>
      </c>
      <c r="Q366">
        <v>10000</v>
      </c>
      <c r="R366" t="s">
        <v>2943</v>
      </c>
    </row>
    <row r="367" spans="1:20" x14ac:dyDescent="0.25">
      <c r="A367" t="s">
        <v>14</v>
      </c>
      <c r="B367" t="s">
        <v>2332</v>
      </c>
      <c r="C367" t="s">
        <v>4412</v>
      </c>
      <c r="D367" t="s">
        <v>4377</v>
      </c>
      <c r="E367">
        <v>47300046282</v>
      </c>
      <c r="F367" t="s">
        <v>16</v>
      </c>
      <c r="G367" t="s">
        <v>17</v>
      </c>
      <c r="H367" t="s">
        <v>746</v>
      </c>
      <c r="K367" t="s">
        <v>3294</v>
      </c>
      <c r="L367" t="s">
        <v>19</v>
      </c>
      <c r="M367" t="s">
        <v>46</v>
      </c>
      <c r="N367" s="2">
        <v>45352</v>
      </c>
      <c r="O367" s="2">
        <v>45412</v>
      </c>
      <c r="P367">
        <v>500</v>
      </c>
      <c r="Q367">
        <v>1000</v>
      </c>
      <c r="R367" t="s">
        <v>2944</v>
      </c>
    </row>
    <row r="368" spans="1:20" x14ac:dyDescent="0.25">
      <c r="A368" t="s">
        <v>14</v>
      </c>
      <c r="B368" t="s">
        <v>2332</v>
      </c>
      <c r="C368" t="s">
        <v>4372</v>
      </c>
      <c r="D368" t="s">
        <v>4373</v>
      </c>
      <c r="E368">
        <v>47300046282</v>
      </c>
      <c r="F368" t="s">
        <v>16</v>
      </c>
      <c r="G368" t="s">
        <v>17</v>
      </c>
      <c r="H368" t="s">
        <v>746</v>
      </c>
      <c r="K368" t="s">
        <v>2892</v>
      </c>
      <c r="L368" t="s">
        <v>19</v>
      </c>
      <c r="M368" t="s">
        <v>46</v>
      </c>
      <c r="N368" s="2">
        <v>45352</v>
      </c>
      <c r="O368" s="2">
        <v>45412</v>
      </c>
      <c r="P368">
        <v>10000</v>
      </c>
      <c r="Q368">
        <v>20000</v>
      </c>
      <c r="R368" t="s">
        <v>2944</v>
      </c>
    </row>
    <row r="369" spans="1:20" x14ac:dyDescent="0.25">
      <c r="A369" t="s">
        <v>14</v>
      </c>
      <c r="B369" t="s">
        <v>2330</v>
      </c>
      <c r="C369" t="s">
        <v>4413</v>
      </c>
      <c r="D369" t="s">
        <v>4395</v>
      </c>
      <c r="E369">
        <v>47300046746</v>
      </c>
      <c r="F369" t="s">
        <v>16</v>
      </c>
      <c r="G369" t="s">
        <v>28</v>
      </c>
      <c r="H369" t="s">
        <v>32</v>
      </c>
      <c r="K369" t="s">
        <v>4229</v>
      </c>
      <c r="L369" t="s">
        <v>19</v>
      </c>
      <c r="M369" t="s">
        <v>63</v>
      </c>
      <c r="N369" s="2">
        <v>45352</v>
      </c>
      <c r="O369" s="2">
        <v>45382</v>
      </c>
      <c r="P369">
        <v>10000</v>
      </c>
      <c r="Q369">
        <v>10000</v>
      </c>
      <c r="R369" t="s">
        <v>4242</v>
      </c>
      <c r="S369" t="s">
        <v>2331</v>
      </c>
      <c r="T369">
        <v>36.9</v>
      </c>
    </row>
    <row r="370" spans="1:20" x14ac:dyDescent="0.25">
      <c r="A370" t="s">
        <v>14</v>
      </c>
      <c r="B370" t="s">
        <v>2329</v>
      </c>
      <c r="C370" t="s">
        <v>4412</v>
      </c>
      <c r="D370" t="s">
        <v>4377</v>
      </c>
      <c r="E370">
        <v>47300070548</v>
      </c>
      <c r="F370" t="s">
        <v>27</v>
      </c>
      <c r="G370" t="s">
        <v>17</v>
      </c>
      <c r="H370" t="s">
        <v>51</v>
      </c>
      <c r="K370" t="s">
        <v>3290</v>
      </c>
      <c r="L370" t="s">
        <v>47</v>
      </c>
      <c r="N370" s="2">
        <v>45323</v>
      </c>
      <c r="O370" s="2">
        <v>45351</v>
      </c>
      <c r="P370">
        <v>500</v>
      </c>
      <c r="Q370">
        <v>500</v>
      </c>
      <c r="R370" t="s">
        <v>3289</v>
      </c>
    </row>
    <row r="371" spans="1:20" x14ac:dyDescent="0.25">
      <c r="A371" t="s">
        <v>14</v>
      </c>
      <c r="B371" t="s">
        <v>2327</v>
      </c>
      <c r="C371" t="s">
        <v>4414</v>
      </c>
      <c r="D371" t="s">
        <v>4401</v>
      </c>
      <c r="E371">
        <v>47300046258</v>
      </c>
      <c r="F371" t="s">
        <v>16</v>
      </c>
      <c r="G371" t="s">
        <v>28</v>
      </c>
      <c r="H371" t="s">
        <v>160</v>
      </c>
      <c r="K371" t="s">
        <v>4229</v>
      </c>
      <c r="L371" t="s">
        <v>19</v>
      </c>
      <c r="M371" t="s">
        <v>63</v>
      </c>
      <c r="N371" s="2">
        <v>45352</v>
      </c>
      <c r="O371" s="2">
        <v>45382</v>
      </c>
      <c r="P371">
        <v>50000</v>
      </c>
      <c r="Q371">
        <v>50000</v>
      </c>
      <c r="R371" t="s">
        <v>3351</v>
      </c>
      <c r="S371" t="s">
        <v>2328</v>
      </c>
      <c r="T371">
        <v>184.4</v>
      </c>
    </row>
    <row r="372" spans="1:20" x14ac:dyDescent="0.25">
      <c r="A372" t="s">
        <v>14</v>
      </c>
      <c r="B372" t="s">
        <v>2327</v>
      </c>
      <c r="C372" t="s">
        <v>4372</v>
      </c>
      <c r="D372" t="s">
        <v>4373</v>
      </c>
      <c r="E372">
        <v>47300046258</v>
      </c>
      <c r="F372" t="s">
        <v>16</v>
      </c>
      <c r="G372" t="s">
        <v>28</v>
      </c>
      <c r="H372" t="s">
        <v>160</v>
      </c>
      <c r="K372" t="s">
        <v>3294</v>
      </c>
      <c r="L372" t="s">
        <v>19</v>
      </c>
      <c r="M372" t="s">
        <v>46</v>
      </c>
      <c r="N372" s="2">
        <v>45352</v>
      </c>
      <c r="O372" s="2">
        <v>45382</v>
      </c>
      <c r="P372">
        <v>500</v>
      </c>
      <c r="Q372">
        <v>500</v>
      </c>
      <c r="R372" t="s">
        <v>3351</v>
      </c>
    </row>
    <row r="373" spans="1:20" x14ac:dyDescent="0.25">
      <c r="A373" t="s">
        <v>14</v>
      </c>
      <c r="B373" t="s">
        <v>2326</v>
      </c>
      <c r="C373" t="s">
        <v>4394</v>
      </c>
      <c r="D373" t="s">
        <v>4395</v>
      </c>
      <c r="E373">
        <v>47300070753</v>
      </c>
      <c r="F373" t="s">
        <v>16</v>
      </c>
      <c r="G373" t="s">
        <v>17</v>
      </c>
      <c r="H373" t="s">
        <v>82</v>
      </c>
      <c r="K373" t="s">
        <v>3294</v>
      </c>
      <c r="L373" t="s">
        <v>19</v>
      </c>
      <c r="M373" t="s">
        <v>46</v>
      </c>
      <c r="N373" s="2">
        <v>45352</v>
      </c>
      <c r="O373" s="2">
        <v>45382</v>
      </c>
      <c r="P373">
        <v>500</v>
      </c>
      <c r="Q373">
        <v>500</v>
      </c>
      <c r="R373" t="s">
        <v>3352</v>
      </c>
    </row>
    <row r="374" spans="1:20" x14ac:dyDescent="0.25">
      <c r="A374" t="s">
        <v>14</v>
      </c>
      <c r="B374" t="s">
        <v>2324</v>
      </c>
      <c r="C374" t="s">
        <v>4408</v>
      </c>
      <c r="D374" t="s">
        <v>4407</v>
      </c>
      <c r="E374">
        <v>47300046241</v>
      </c>
      <c r="F374" t="s">
        <v>16</v>
      </c>
      <c r="G374" t="s">
        <v>23</v>
      </c>
      <c r="H374" t="s">
        <v>24</v>
      </c>
      <c r="I374" t="s">
        <v>2754</v>
      </c>
      <c r="J374">
        <v>0</v>
      </c>
      <c r="K374" t="s">
        <v>4229</v>
      </c>
      <c r="L374" t="s">
        <v>19</v>
      </c>
      <c r="M374" t="s">
        <v>63</v>
      </c>
      <c r="N374" s="2">
        <v>45352</v>
      </c>
      <c r="O374" s="2">
        <v>45382</v>
      </c>
      <c r="P374">
        <v>20000</v>
      </c>
      <c r="Q374">
        <v>20000</v>
      </c>
      <c r="R374" t="s">
        <v>2945</v>
      </c>
      <c r="S374" t="s">
        <v>2325</v>
      </c>
      <c r="T374">
        <v>73.7</v>
      </c>
    </row>
    <row r="375" spans="1:20" x14ac:dyDescent="0.25">
      <c r="A375" t="s">
        <v>14</v>
      </c>
      <c r="B375" t="s">
        <v>2324</v>
      </c>
      <c r="C375" t="s">
        <v>4394</v>
      </c>
      <c r="D375" t="s">
        <v>4395</v>
      </c>
      <c r="E375">
        <v>47300046241</v>
      </c>
      <c r="F375" t="s">
        <v>16</v>
      </c>
      <c r="G375" t="s">
        <v>23</v>
      </c>
      <c r="H375" t="s">
        <v>24</v>
      </c>
      <c r="I375" t="s">
        <v>2754</v>
      </c>
      <c r="J375">
        <v>0</v>
      </c>
      <c r="K375" t="s">
        <v>3294</v>
      </c>
      <c r="L375" t="s">
        <v>19</v>
      </c>
      <c r="M375" t="s">
        <v>46</v>
      </c>
      <c r="N375" s="2">
        <v>45352</v>
      </c>
      <c r="O375" s="2">
        <v>45382</v>
      </c>
      <c r="P375">
        <v>500</v>
      </c>
      <c r="Q375">
        <v>500</v>
      </c>
      <c r="R375" t="s">
        <v>2945</v>
      </c>
    </row>
    <row r="376" spans="1:20" x14ac:dyDescent="0.25">
      <c r="A376" t="s">
        <v>14</v>
      </c>
      <c r="B376" t="s">
        <v>2324</v>
      </c>
      <c r="C376" t="s">
        <v>4365</v>
      </c>
      <c r="D376" t="s">
        <v>4403</v>
      </c>
      <c r="E376">
        <v>47300046241</v>
      </c>
      <c r="F376" t="s">
        <v>16</v>
      </c>
      <c r="G376" t="s">
        <v>23</v>
      </c>
      <c r="H376" t="s">
        <v>24</v>
      </c>
      <c r="I376" t="s">
        <v>2754</v>
      </c>
      <c r="J376">
        <v>0</v>
      </c>
      <c r="K376" t="s">
        <v>2892</v>
      </c>
      <c r="L376" t="s">
        <v>19</v>
      </c>
      <c r="M376" t="s">
        <v>46</v>
      </c>
      <c r="N376" s="2">
        <v>45352</v>
      </c>
      <c r="O376" s="2">
        <v>45382</v>
      </c>
      <c r="P376">
        <v>10000</v>
      </c>
      <c r="Q376">
        <v>10000</v>
      </c>
      <c r="R376" t="s">
        <v>2945</v>
      </c>
    </row>
    <row r="377" spans="1:20" x14ac:dyDescent="0.25">
      <c r="A377" t="s">
        <v>14</v>
      </c>
      <c r="B377" t="s">
        <v>2322</v>
      </c>
      <c r="C377" t="s">
        <v>4365</v>
      </c>
      <c r="D377" t="s">
        <v>4403</v>
      </c>
      <c r="E377">
        <v>47300070654</v>
      </c>
      <c r="F377" t="s">
        <v>16</v>
      </c>
      <c r="G377" t="s">
        <v>28</v>
      </c>
      <c r="H377" t="s">
        <v>217</v>
      </c>
      <c r="K377" t="s">
        <v>3557</v>
      </c>
      <c r="L377" t="s">
        <v>19</v>
      </c>
      <c r="M377" t="s">
        <v>20</v>
      </c>
      <c r="P377">
        <v>20000</v>
      </c>
      <c r="Q377">
        <v>20000</v>
      </c>
      <c r="R377" t="s">
        <v>3628</v>
      </c>
      <c r="S377" t="s">
        <v>2323</v>
      </c>
      <c r="T377">
        <v>73.8</v>
      </c>
    </row>
    <row r="378" spans="1:20" x14ac:dyDescent="0.25">
      <c r="A378" t="s">
        <v>14</v>
      </c>
      <c r="B378" t="s">
        <v>2320</v>
      </c>
      <c r="C378" t="s">
        <v>4394</v>
      </c>
      <c r="D378" t="s">
        <v>4395</v>
      </c>
      <c r="E378">
        <v>47300070654</v>
      </c>
      <c r="F378" t="s">
        <v>16</v>
      </c>
      <c r="G378" t="s">
        <v>28</v>
      </c>
      <c r="H378" t="s">
        <v>217</v>
      </c>
      <c r="K378" t="s">
        <v>3557</v>
      </c>
      <c r="L378" t="s">
        <v>19</v>
      </c>
      <c r="M378" t="s">
        <v>20</v>
      </c>
      <c r="P378">
        <v>10000</v>
      </c>
      <c r="Q378">
        <v>10000</v>
      </c>
      <c r="R378" t="s">
        <v>3629</v>
      </c>
      <c r="S378" t="s">
        <v>2321</v>
      </c>
      <c r="T378">
        <v>36.9</v>
      </c>
    </row>
    <row r="379" spans="1:20" x14ac:dyDescent="0.25">
      <c r="A379" t="s">
        <v>14</v>
      </c>
      <c r="B379" t="s">
        <v>2318</v>
      </c>
      <c r="C379" t="s">
        <v>4409</v>
      </c>
      <c r="D379" t="s">
        <v>4410</v>
      </c>
      <c r="E379">
        <v>47300070555</v>
      </c>
      <c r="F379" t="s">
        <v>35</v>
      </c>
      <c r="G379" t="s">
        <v>35</v>
      </c>
      <c r="H379" t="s">
        <v>116</v>
      </c>
      <c r="K379" t="s">
        <v>3557</v>
      </c>
      <c r="L379" t="s">
        <v>19</v>
      </c>
      <c r="M379" t="s">
        <v>20</v>
      </c>
      <c r="P379">
        <v>20000</v>
      </c>
      <c r="Q379">
        <v>20000</v>
      </c>
      <c r="R379" t="s">
        <v>3630</v>
      </c>
      <c r="S379" t="s">
        <v>2319</v>
      </c>
      <c r="T379">
        <v>73.8</v>
      </c>
    </row>
    <row r="380" spans="1:20" x14ac:dyDescent="0.25">
      <c r="A380" t="s">
        <v>14</v>
      </c>
      <c r="B380" t="s">
        <v>2317</v>
      </c>
      <c r="C380" t="s">
        <v>4382</v>
      </c>
      <c r="D380" t="s">
        <v>4383</v>
      </c>
      <c r="E380">
        <v>47300047066</v>
      </c>
      <c r="F380" t="s">
        <v>16</v>
      </c>
      <c r="G380" t="s">
        <v>28</v>
      </c>
      <c r="H380" t="s">
        <v>57</v>
      </c>
      <c r="K380" t="s">
        <v>3294</v>
      </c>
      <c r="L380" t="s">
        <v>19</v>
      </c>
      <c r="M380" t="s">
        <v>46</v>
      </c>
      <c r="N380" s="2">
        <v>45352</v>
      </c>
      <c r="O380" s="2">
        <v>45382</v>
      </c>
      <c r="P380">
        <v>500</v>
      </c>
      <c r="Q380">
        <v>500</v>
      </c>
      <c r="R380" t="s">
        <v>2946</v>
      </c>
    </row>
    <row r="381" spans="1:20" x14ac:dyDescent="0.25">
      <c r="A381" t="s">
        <v>14</v>
      </c>
      <c r="B381" t="s">
        <v>2317</v>
      </c>
      <c r="C381" t="s">
        <v>4409</v>
      </c>
      <c r="D381" t="s">
        <v>4410</v>
      </c>
      <c r="E381">
        <v>47300047066</v>
      </c>
      <c r="F381" t="s">
        <v>16</v>
      </c>
      <c r="G381" t="s">
        <v>28</v>
      </c>
      <c r="H381" t="s">
        <v>57</v>
      </c>
      <c r="K381" t="s">
        <v>3197</v>
      </c>
      <c r="L381" t="s">
        <v>19</v>
      </c>
      <c r="M381" t="s">
        <v>46</v>
      </c>
      <c r="N381" s="2">
        <v>45352</v>
      </c>
      <c r="O381" s="2">
        <v>45382</v>
      </c>
      <c r="P381">
        <v>145500</v>
      </c>
      <c r="Q381">
        <v>145500</v>
      </c>
      <c r="R381" t="s">
        <v>2946</v>
      </c>
    </row>
    <row r="382" spans="1:20" x14ac:dyDescent="0.25">
      <c r="A382" t="s">
        <v>14</v>
      </c>
      <c r="B382" t="s">
        <v>2317</v>
      </c>
      <c r="C382" t="s">
        <v>4414</v>
      </c>
      <c r="D382" t="s">
        <v>4401</v>
      </c>
      <c r="E382">
        <v>47300047066</v>
      </c>
      <c r="F382" t="s">
        <v>16</v>
      </c>
      <c r="G382" t="s">
        <v>28</v>
      </c>
      <c r="H382" t="s">
        <v>57</v>
      </c>
      <c r="K382" t="s">
        <v>2892</v>
      </c>
      <c r="L382" t="s">
        <v>19</v>
      </c>
      <c r="M382" t="s">
        <v>46</v>
      </c>
      <c r="N382" s="2">
        <v>45352</v>
      </c>
      <c r="O382" s="2">
        <v>45382</v>
      </c>
      <c r="P382">
        <v>10000</v>
      </c>
      <c r="Q382">
        <v>10000</v>
      </c>
      <c r="R382" t="s">
        <v>2946</v>
      </c>
    </row>
    <row r="383" spans="1:20" x14ac:dyDescent="0.25">
      <c r="A383" t="s">
        <v>14</v>
      </c>
      <c r="B383" t="s">
        <v>2315</v>
      </c>
      <c r="C383" t="s">
        <v>4371</v>
      </c>
      <c r="D383" t="s">
        <v>4368</v>
      </c>
      <c r="E383">
        <v>47300026094</v>
      </c>
      <c r="F383" t="s">
        <v>35</v>
      </c>
      <c r="G383" t="s">
        <v>36</v>
      </c>
      <c r="H383" t="s">
        <v>4359</v>
      </c>
      <c r="K383" t="s">
        <v>3557</v>
      </c>
      <c r="L383" t="s">
        <v>19</v>
      </c>
      <c r="M383" t="s">
        <v>20</v>
      </c>
      <c r="P383">
        <v>100000</v>
      </c>
      <c r="Q383">
        <v>100000</v>
      </c>
      <c r="R383" t="s">
        <v>3631</v>
      </c>
      <c r="S383" t="s">
        <v>2316</v>
      </c>
      <c r="T383">
        <v>368.7</v>
      </c>
    </row>
    <row r="384" spans="1:20" x14ac:dyDescent="0.25">
      <c r="A384" t="s">
        <v>14</v>
      </c>
      <c r="B384" t="s">
        <v>2313</v>
      </c>
      <c r="C384" t="s">
        <v>4367</v>
      </c>
      <c r="D384" t="s">
        <v>4368</v>
      </c>
      <c r="E384">
        <v>47300025708</v>
      </c>
      <c r="F384" t="s">
        <v>35</v>
      </c>
      <c r="G384" t="s">
        <v>36</v>
      </c>
      <c r="H384" t="s">
        <v>4360</v>
      </c>
      <c r="K384" t="s">
        <v>3557</v>
      </c>
      <c r="L384" t="s">
        <v>19</v>
      </c>
      <c r="M384" t="s">
        <v>20</v>
      </c>
      <c r="P384">
        <v>50000</v>
      </c>
      <c r="Q384">
        <v>50000</v>
      </c>
      <c r="R384" t="s">
        <v>3632</v>
      </c>
      <c r="S384" t="s">
        <v>2314</v>
      </c>
      <c r="T384">
        <v>184.4</v>
      </c>
    </row>
    <row r="385" spans="1:25" x14ac:dyDescent="0.25">
      <c r="A385" t="s">
        <v>14</v>
      </c>
      <c r="B385" t="s">
        <v>2311</v>
      </c>
      <c r="C385" t="s">
        <v>3300</v>
      </c>
      <c r="D385" t="s">
        <v>3299</v>
      </c>
      <c r="E385">
        <v>47300026185</v>
      </c>
      <c r="F385" t="s">
        <v>35</v>
      </c>
      <c r="G385" t="s">
        <v>36</v>
      </c>
      <c r="H385" t="s">
        <v>4361</v>
      </c>
      <c r="K385" t="s">
        <v>4229</v>
      </c>
      <c r="L385" t="s">
        <v>19</v>
      </c>
      <c r="M385" t="s">
        <v>63</v>
      </c>
      <c r="N385" s="2">
        <v>45352</v>
      </c>
      <c r="O385" s="2">
        <v>45382</v>
      </c>
      <c r="P385">
        <v>50000</v>
      </c>
      <c r="Q385">
        <v>50000</v>
      </c>
      <c r="R385" t="s">
        <v>3353</v>
      </c>
      <c r="S385" t="s">
        <v>2312</v>
      </c>
      <c r="T385">
        <v>184.4</v>
      </c>
    </row>
    <row r="386" spans="1:25" x14ac:dyDescent="0.25">
      <c r="A386" t="s">
        <v>14</v>
      </c>
      <c r="B386" t="s">
        <v>2311</v>
      </c>
      <c r="C386" t="s">
        <v>4382</v>
      </c>
      <c r="D386" t="s">
        <v>4383</v>
      </c>
      <c r="E386">
        <v>47300026185</v>
      </c>
      <c r="F386" t="s">
        <v>35</v>
      </c>
      <c r="G386" t="s">
        <v>36</v>
      </c>
      <c r="H386" t="s">
        <v>4361</v>
      </c>
      <c r="K386" t="s">
        <v>3294</v>
      </c>
      <c r="L386" t="s">
        <v>19</v>
      </c>
      <c r="M386" t="s">
        <v>46</v>
      </c>
      <c r="N386" s="2">
        <v>45352</v>
      </c>
      <c r="O386" s="2">
        <v>45382</v>
      </c>
      <c r="P386">
        <v>500</v>
      </c>
      <c r="Q386">
        <v>500</v>
      </c>
      <c r="R386" t="s">
        <v>3353</v>
      </c>
    </row>
    <row r="387" spans="1:25" x14ac:dyDescent="0.25">
      <c r="A387" t="s">
        <v>14</v>
      </c>
      <c r="B387" t="s">
        <v>2309</v>
      </c>
      <c r="C387" t="s">
        <v>4382</v>
      </c>
      <c r="D387" t="s">
        <v>4383</v>
      </c>
      <c r="E387">
        <v>47300046746</v>
      </c>
      <c r="F387" t="s">
        <v>16</v>
      </c>
      <c r="G387" t="s">
        <v>28</v>
      </c>
      <c r="H387" t="s">
        <v>32</v>
      </c>
      <c r="K387" t="s">
        <v>3557</v>
      </c>
      <c r="L387" t="s">
        <v>19</v>
      </c>
      <c r="M387" t="s">
        <v>20</v>
      </c>
      <c r="P387">
        <v>20000</v>
      </c>
      <c r="Q387">
        <v>20000</v>
      </c>
      <c r="R387" t="s">
        <v>3633</v>
      </c>
      <c r="S387" t="s">
        <v>2310</v>
      </c>
      <c r="T387">
        <v>73.7</v>
      </c>
    </row>
    <row r="388" spans="1:25" x14ac:dyDescent="0.25">
      <c r="A388" t="s">
        <v>14</v>
      </c>
      <c r="B388" t="s">
        <v>2308</v>
      </c>
      <c r="C388" t="s">
        <v>4389</v>
      </c>
      <c r="D388" t="s">
        <v>4390</v>
      </c>
      <c r="E388">
        <v>47300070654</v>
      </c>
      <c r="F388" t="s">
        <v>16</v>
      </c>
      <c r="G388" t="s">
        <v>28</v>
      </c>
      <c r="H388" t="s">
        <v>217</v>
      </c>
      <c r="K388" t="s">
        <v>2796</v>
      </c>
      <c r="L388" t="s">
        <v>47</v>
      </c>
      <c r="N388" s="2">
        <v>45357</v>
      </c>
      <c r="O388" s="2">
        <v>45359</v>
      </c>
      <c r="P388">
        <v>100000</v>
      </c>
      <c r="Q388">
        <v>100000</v>
      </c>
      <c r="R388" t="s">
        <v>2795</v>
      </c>
    </row>
    <row r="389" spans="1:25" x14ac:dyDescent="0.25">
      <c r="A389" t="s">
        <v>14</v>
      </c>
      <c r="B389" t="s">
        <v>2307</v>
      </c>
      <c r="C389" t="s">
        <v>4394</v>
      </c>
      <c r="D389" t="s">
        <v>4421</v>
      </c>
      <c r="E389">
        <v>47300070498</v>
      </c>
      <c r="F389" t="s">
        <v>16</v>
      </c>
      <c r="G389" t="s">
        <v>28</v>
      </c>
      <c r="H389" t="s">
        <v>794</v>
      </c>
      <c r="I389" t="s">
        <v>2853</v>
      </c>
      <c r="J389" t="s">
        <v>2852</v>
      </c>
      <c r="K389" t="s">
        <v>3294</v>
      </c>
      <c r="L389" t="s">
        <v>19</v>
      </c>
      <c r="M389" t="s">
        <v>46</v>
      </c>
      <c r="N389" s="2">
        <v>45352</v>
      </c>
      <c r="O389" s="2">
        <v>45382</v>
      </c>
      <c r="P389">
        <v>500</v>
      </c>
      <c r="Q389">
        <v>500</v>
      </c>
      <c r="R389" t="s">
        <v>2947</v>
      </c>
      <c r="X389" t="s">
        <v>4422</v>
      </c>
      <c r="Y389" t="s">
        <v>4423</v>
      </c>
    </row>
    <row r="390" spans="1:25" x14ac:dyDescent="0.25">
      <c r="A390" t="s">
        <v>14</v>
      </c>
      <c r="B390" t="s">
        <v>2307</v>
      </c>
      <c r="C390" t="s">
        <v>4394</v>
      </c>
      <c r="D390" t="s">
        <v>4421</v>
      </c>
      <c r="E390">
        <v>47300070498</v>
      </c>
      <c r="F390" t="s">
        <v>16</v>
      </c>
      <c r="G390" t="s">
        <v>28</v>
      </c>
      <c r="H390" t="s">
        <v>794</v>
      </c>
      <c r="I390" t="s">
        <v>2853</v>
      </c>
      <c r="J390" t="s">
        <v>2852</v>
      </c>
      <c r="K390" t="s">
        <v>3290</v>
      </c>
      <c r="L390" t="s">
        <v>47</v>
      </c>
      <c r="N390" s="2">
        <v>45323</v>
      </c>
      <c r="O390" s="2">
        <v>45351</v>
      </c>
      <c r="P390">
        <v>500</v>
      </c>
      <c r="Q390">
        <v>500</v>
      </c>
      <c r="R390" t="s">
        <v>2947</v>
      </c>
      <c r="X390" t="s">
        <v>4422</v>
      </c>
      <c r="Y390" t="s">
        <v>4423</v>
      </c>
    </row>
    <row r="391" spans="1:25" x14ac:dyDescent="0.25">
      <c r="A391" t="s">
        <v>14</v>
      </c>
      <c r="B391" t="s">
        <v>2307</v>
      </c>
      <c r="C391" t="s">
        <v>4394</v>
      </c>
      <c r="D391" t="s">
        <v>4421</v>
      </c>
      <c r="E391">
        <v>47300070498</v>
      </c>
      <c r="F391" t="s">
        <v>16</v>
      </c>
      <c r="G391" t="s">
        <v>28</v>
      </c>
      <c r="H391" t="s">
        <v>794</v>
      </c>
      <c r="I391" t="s">
        <v>2853</v>
      </c>
      <c r="J391" t="s">
        <v>2852</v>
      </c>
      <c r="K391" t="s">
        <v>3287</v>
      </c>
      <c r="L391" t="s">
        <v>47</v>
      </c>
      <c r="N391" s="2">
        <v>45292</v>
      </c>
      <c r="O391" s="2">
        <v>45322</v>
      </c>
      <c r="P391">
        <v>500</v>
      </c>
      <c r="Q391">
        <v>500</v>
      </c>
      <c r="R391" t="s">
        <v>2947</v>
      </c>
      <c r="X391" t="s">
        <v>4422</v>
      </c>
      <c r="Y391" t="s">
        <v>4423</v>
      </c>
    </row>
    <row r="392" spans="1:25" x14ac:dyDescent="0.25">
      <c r="A392" t="s">
        <v>14</v>
      </c>
      <c r="B392" t="s">
        <v>2307</v>
      </c>
      <c r="C392" t="s">
        <v>4389</v>
      </c>
      <c r="D392" t="s">
        <v>4390</v>
      </c>
      <c r="E392">
        <v>47300070498</v>
      </c>
      <c r="F392" t="s">
        <v>16</v>
      </c>
      <c r="G392" t="s">
        <v>28</v>
      </c>
      <c r="H392" t="s">
        <v>794</v>
      </c>
      <c r="I392" t="s">
        <v>2853</v>
      </c>
      <c r="J392" t="s">
        <v>2852</v>
      </c>
      <c r="K392" t="s">
        <v>2892</v>
      </c>
      <c r="L392" t="s">
        <v>19</v>
      </c>
      <c r="M392" t="s">
        <v>46</v>
      </c>
      <c r="N392" s="2">
        <v>45352</v>
      </c>
      <c r="O392" s="2">
        <v>45382</v>
      </c>
      <c r="P392">
        <v>10000</v>
      </c>
      <c r="Q392">
        <v>10000</v>
      </c>
      <c r="R392" t="s">
        <v>2947</v>
      </c>
    </row>
    <row r="393" spans="1:25" x14ac:dyDescent="0.25">
      <c r="A393" t="s">
        <v>14</v>
      </c>
      <c r="B393" t="s">
        <v>2305</v>
      </c>
      <c r="C393" t="s">
        <v>4394</v>
      </c>
      <c r="D393" t="s">
        <v>4421</v>
      </c>
      <c r="E393">
        <v>47300070498</v>
      </c>
      <c r="F393" t="s">
        <v>16</v>
      </c>
      <c r="G393" t="s">
        <v>28</v>
      </c>
      <c r="H393" t="s">
        <v>794</v>
      </c>
      <c r="I393" t="s">
        <v>2853</v>
      </c>
      <c r="J393" t="s">
        <v>2852</v>
      </c>
      <c r="K393" t="s">
        <v>4229</v>
      </c>
      <c r="L393" t="s">
        <v>19</v>
      </c>
      <c r="M393" t="s">
        <v>63</v>
      </c>
      <c r="N393" s="2">
        <v>45352</v>
      </c>
      <c r="O393" s="2">
        <v>45382</v>
      </c>
      <c r="P393">
        <v>30000</v>
      </c>
      <c r="Q393">
        <v>30000</v>
      </c>
      <c r="R393" t="s">
        <v>3202</v>
      </c>
      <c r="S393" t="s">
        <v>2306</v>
      </c>
      <c r="T393">
        <v>110.6</v>
      </c>
      <c r="X393" t="s">
        <v>4422</v>
      </c>
      <c r="Y393" t="s">
        <v>4423</v>
      </c>
    </row>
    <row r="394" spans="1:25" x14ac:dyDescent="0.25">
      <c r="A394" t="s">
        <v>14</v>
      </c>
      <c r="B394" t="s">
        <v>2305</v>
      </c>
      <c r="C394" t="s">
        <v>4389</v>
      </c>
      <c r="D394" t="s">
        <v>4390</v>
      </c>
      <c r="E394">
        <v>47300070498</v>
      </c>
      <c r="F394" t="s">
        <v>16</v>
      </c>
      <c r="G394" t="s">
        <v>28</v>
      </c>
      <c r="H394" t="s">
        <v>794</v>
      </c>
      <c r="I394" t="s">
        <v>2853</v>
      </c>
      <c r="J394" t="s">
        <v>2852</v>
      </c>
      <c r="K394" t="s">
        <v>3197</v>
      </c>
      <c r="L394" t="s">
        <v>19</v>
      </c>
      <c r="M394" t="s">
        <v>46</v>
      </c>
      <c r="N394" s="2">
        <v>45352</v>
      </c>
      <c r="O394" s="2">
        <v>45382</v>
      </c>
      <c r="P394">
        <v>145500</v>
      </c>
      <c r="Q394">
        <v>145500</v>
      </c>
      <c r="R394" t="s">
        <v>3202</v>
      </c>
    </row>
    <row r="395" spans="1:25" x14ac:dyDescent="0.25">
      <c r="A395" t="s">
        <v>14</v>
      </c>
      <c r="B395" t="s">
        <v>2303</v>
      </c>
      <c r="C395" t="s">
        <v>4394</v>
      </c>
      <c r="D395" t="s">
        <v>4421</v>
      </c>
      <c r="E395">
        <v>47300070571</v>
      </c>
      <c r="F395" t="s">
        <v>42</v>
      </c>
      <c r="G395" t="s">
        <v>28</v>
      </c>
      <c r="H395" t="s">
        <v>72</v>
      </c>
      <c r="K395" t="s">
        <v>4229</v>
      </c>
      <c r="L395" t="s">
        <v>19</v>
      </c>
      <c r="M395" t="s">
        <v>63</v>
      </c>
      <c r="N395" s="2">
        <v>45352</v>
      </c>
      <c r="O395" s="2">
        <v>45382</v>
      </c>
      <c r="P395">
        <v>110000</v>
      </c>
      <c r="Q395">
        <v>110000</v>
      </c>
      <c r="R395" t="s">
        <v>2948</v>
      </c>
      <c r="S395" t="s">
        <v>2304</v>
      </c>
      <c r="T395">
        <v>405.6</v>
      </c>
      <c r="X395" t="s">
        <v>4422</v>
      </c>
      <c r="Y395" t="s">
        <v>4423</v>
      </c>
    </row>
    <row r="396" spans="1:25" x14ac:dyDescent="0.25">
      <c r="A396" t="s">
        <v>14</v>
      </c>
      <c r="B396" t="s">
        <v>2303</v>
      </c>
      <c r="C396" t="s">
        <v>4365</v>
      </c>
      <c r="D396" t="s">
        <v>4403</v>
      </c>
      <c r="E396">
        <v>47300070571</v>
      </c>
      <c r="F396" t="s">
        <v>42</v>
      </c>
      <c r="G396" t="s">
        <v>28</v>
      </c>
      <c r="H396" t="s">
        <v>72</v>
      </c>
      <c r="K396" t="s">
        <v>3294</v>
      </c>
      <c r="L396" t="s">
        <v>19</v>
      </c>
      <c r="M396" t="s">
        <v>46</v>
      </c>
      <c r="N396" s="2">
        <v>45352</v>
      </c>
      <c r="O396" s="2">
        <v>45382</v>
      </c>
      <c r="P396">
        <v>500</v>
      </c>
      <c r="Q396">
        <v>500</v>
      </c>
      <c r="R396" t="s">
        <v>2948</v>
      </c>
    </row>
    <row r="397" spans="1:25" x14ac:dyDescent="0.25">
      <c r="A397" t="s">
        <v>14</v>
      </c>
      <c r="B397" t="s">
        <v>2303</v>
      </c>
      <c r="C397" t="s">
        <v>4389</v>
      </c>
      <c r="D397" t="s">
        <v>4390</v>
      </c>
      <c r="E397">
        <v>47300070571</v>
      </c>
      <c r="F397" t="s">
        <v>42</v>
      </c>
      <c r="G397" t="s">
        <v>28</v>
      </c>
      <c r="H397" t="s">
        <v>72</v>
      </c>
      <c r="K397" t="s">
        <v>3197</v>
      </c>
      <c r="L397" t="s">
        <v>19</v>
      </c>
      <c r="M397" t="s">
        <v>46</v>
      </c>
      <c r="N397" s="2">
        <v>45352</v>
      </c>
      <c r="O397" s="2">
        <v>45382</v>
      </c>
      <c r="P397">
        <v>145500</v>
      </c>
      <c r="Q397">
        <v>145500</v>
      </c>
      <c r="R397" t="s">
        <v>2948</v>
      </c>
    </row>
    <row r="398" spans="1:25" x14ac:dyDescent="0.25">
      <c r="A398" t="s">
        <v>14</v>
      </c>
      <c r="B398" t="s">
        <v>2303</v>
      </c>
      <c r="C398" t="s">
        <v>4394</v>
      </c>
      <c r="D398" t="s">
        <v>4421</v>
      </c>
      <c r="E398">
        <v>47300070571</v>
      </c>
      <c r="F398" t="s">
        <v>42</v>
      </c>
      <c r="G398" t="s">
        <v>28</v>
      </c>
      <c r="H398" t="s">
        <v>72</v>
      </c>
      <c r="K398" t="s">
        <v>2892</v>
      </c>
      <c r="L398" t="s">
        <v>19</v>
      </c>
      <c r="M398" t="s">
        <v>46</v>
      </c>
      <c r="N398" s="2">
        <v>45352</v>
      </c>
      <c r="O398" s="2">
        <v>45382</v>
      </c>
      <c r="P398">
        <v>10000</v>
      </c>
      <c r="Q398">
        <v>10000</v>
      </c>
      <c r="R398" t="s">
        <v>2948</v>
      </c>
      <c r="X398" t="s">
        <v>4422</v>
      </c>
      <c r="Y398" t="s">
        <v>4423</v>
      </c>
    </row>
    <row r="399" spans="1:25" x14ac:dyDescent="0.25">
      <c r="A399" t="s">
        <v>14</v>
      </c>
      <c r="B399" t="s">
        <v>2301</v>
      </c>
      <c r="C399" t="s">
        <v>4402</v>
      </c>
      <c r="D399" t="s">
        <v>4379</v>
      </c>
      <c r="E399">
        <v>47300026094</v>
      </c>
      <c r="F399" t="s">
        <v>35</v>
      </c>
      <c r="G399" t="s">
        <v>36</v>
      </c>
      <c r="H399" t="s">
        <v>4359</v>
      </c>
      <c r="K399" t="s">
        <v>3557</v>
      </c>
      <c r="L399" t="s">
        <v>19</v>
      </c>
      <c r="M399" t="s">
        <v>20</v>
      </c>
      <c r="P399">
        <v>100000</v>
      </c>
      <c r="Q399">
        <v>100000</v>
      </c>
      <c r="R399" t="s">
        <v>3634</v>
      </c>
      <c r="S399" t="s">
        <v>2302</v>
      </c>
      <c r="T399">
        <v>368.8</v>
      </c>
    </row>
    <row r="400" spans="1:25" x14ac:dyDescent="0.25">
      <c r="A400" t="s">
        <v>14</v>
      </c>
      <c r="B400" t="s">
        <v>2300</v>
      </c>
      <c r="C400" t="s">
        <v>4402</v>
      </c>
      <c r="D400" t="s">
        <v>4379</v>
      </c>
      <c r="E400">
        <v>47300070597</v>
      </c>
      <c r="F400" t="s">
        <v>16</v>
      </c>
      <c r="G400" t="s">
        <v>28</v>
      </c>
      <c r="H400" t="s">
        <v>77</v>
      </c>
      <c r="K400" t="s">
        <v>3294</v>
      </c>
      <c r="L400" t="s">
        <v>19</v>
      </c>
      <c r="M400" t="s">
        <v>46</v>
      </c>
      <c r="N400" s="2">
        <v>45352</v>
      </c>
      <c r="O400" s="2">
        <v>45382</v>
      </c>
      <c r="P400">
        <v>500</v>
      </c>
      <c r="Q400">
        <v>500</v>
      </c>
      <c r="R400" t="s">
        <v>3354</v>
      </c>
    </row>
    <row r="401" spans="1:20" x14ac:dyDescent="0.25">
      <c r="A401" t="s">
        <v>14</v>
      </c>
      <c r="B401" t="s">
        <v>2299</v>
      </c>
      <c r="C401" t="s">
        <v>4402</v>
      </c>
      <c r="D401" t="s">
        <v>4379</v>
      </c>
      <c r="E401">
        <v>47300070597</v>
      </c>
      <c r="F401" t="s">
        <v>16</v>
      </c>
      <c r="G401" t="s">
        <v>28</v>
      </c>
      <c r="H401" t="s">
        <v>77</v>
      </c>
      <c r="K401" t="s">
        <v>2892</v>
      </c>
      <c r="L401" t="s">
        <v>19</v>
      </c>
      <c r="M401" t="s">
        <v>46</v>
      </c>
      <c r="N401" s="2">
        <v>45352</v>
      </c>
      <c r="O401" s="2">
        <v>45382</v>
      </c>
      <c r="P401">
        <v>10000</v>
      </c>
      <c r="Q401">
        <v>10000</v>
      </c>
      <c r="R401" t="s">
        <v>2949</v>
      </c>
    </row>
    <row r="402" spans="1:20" x14ac:dyDescent="0.25">
      <c r="A402" t="s">
        <v>14</v>
      </c>
      <c r="B402" t="s">
        <v>2297</v>
      </c>
      <c r="C402" t="s">
        <v>4367</v>
      </c>
      <c r="D402" t="s">
        <v>4368</v>
      </c>
      <c r="E402">
        <v>47300070597</v>
      </c>
      <c r="F402" t="s">
        <v>16</v>
      </c>
      <c r="G402" t="s">
        <v>28</v>
      </c>
      <c r="H402" t="s">
        <v>77</v>
      </c>
      <c r="K402" t="s">
        <v>4229</v>
      </c>
      <c r="L402" t="s">
        <v>19</v>
      </c>
      <c r="M402" t="s">
        <v>63</v>
      </c>
      <c r="N402" s="2">
        <v>45352</v>
      </c>
      <c r="O402" s="2">
        <v>45382</v>
      </c>
      <c r="P402">
        <v>10000</v>
      </c>
      <c r="Q402">
        <v>10000</v>
      </c>
      <c r="R402" t="s">
        <v>3203</v>
      </c>
      <c r="S402" t="s">
        <v>2298</v>
      </c>
      <c r="T402">
        <v>36.9</v>
      </c>
    </row>
    <row r="403" spans="1:20" x14ac:dyDescent="0.25">
      <c r="A403" t="s">
        <v>14</v>
      </c>
      <c r="B403" t="s">
        <v>2297</v>
      </c>
      <c r="C403" t="s">
        <v>4402</v>
      </c>
      <c r="D403" t="s">
        <v>4379</v>
      </c>
      <c r="E403">
        <v>47300070597</v>
      </c>
      <c r="F403" t="s">
        <v>16</v>
      </c>
      <c r="G403" t="s">
        <v>28</v>
      </c>
      <c r="H403" t="s">
        <v>77</v>
      </c>
      <c r="K403" t="s">
        <v>3197</v>
      </c>
      <c r="L403" t="s">
        <v>19</v>
      </c>
      <c r="M403" t="s">
        <v>46</v>
      </c>
      <c r="N403" s="2">
        <v>45352</v>
      </c>
      <c r="O403" s="2">
        <v>45382</v>
      </c>
      <c r="P403">
        <v>145500</v>
      </c>
      <c r="Q403">
        <v>145500</v>
      </c>
      <c r="R403" t="s">
        <v>3203</v>
      </c>
    </row>
    <row r="404" spans="1:20" x14ac:dyDescent="0.25">
      <c r="A404" t="s">
        <v>14</v>
      </c>
      <c r="B404" t="s">
        <v>2295</v>
      </c>
      <c r="C404" t="s">
        <v>4402</v>
      </c>
      <c r="D404" t="s">
        <v>4379</v>
      </c>
      <c r="E404">
        <v>47300070597</v>
      </c>
      <c r="F404" t="s">
        <v>16</v>
      </c>
      <c r="G404" t="s">
        <v>28</v>
      </c>
      <c r="H404" t="s">
        <v>77</v>
      </c>
      <c r="K404" t="s">
        <v>3557</v>
      </c>
      <c r="L404" t="s">
        <v>19</v>
      </c>
      <c r="M404" t="s">
        <v>20</v>
      </c>
      <c r="P404">
        <v>12000</v>
      </c>
      <c r="Q404">
        <v>12000</v>
      </c>
      <c r="R404" t="s">
        <v>3635</v>
      </c>
      <c r="S404" t="s">
        <v>2296</v>
      </c>
      <c r="T404">
        <v>44.2</v>
      </c>
    </row>
    <row r="405" spans="1:20" x14ac:dyDescent="0.25">
      <c r="A405" t="s">
        <v>14</v>
      </c>
      <c r="B405" t="s">
        <v>2293</v>
      </c>
      <c r="C405" t="s">
        <v>4400</v>
      </c>
      <c r="D405" t="s">
        <v>4401</v>
      </c>
      <c r="E405">
        <v>47300046761</v>
      </c>
      <c r="F405" t="s">
        <v>42</v>
      </c>
      <c r="G405" t="s">
        <v>28</v>
      </c>
      <c r="H405" t="s">
        <v>43</v>
      </c>
      <c r="K405" t="s">
        <v>3557</v>
      </c>
      <c r="L405" t="s">
        <v>19</v>
      </c>
      <c r="M405" t="s">
        <v>20</v>
      </c>
      <c r="P405">
        <v>50000</v>
      </c>
      <c r="Q405">
        <v>50000</v>
      </c>
      <c r="R405" t="s">
        <v>3636</v>
      </c>
      <c r="S405" t="s">
        <v>2294</v>
      </c>
      <c r="T405">
        <v>184.4</v>
      </c>
    </row>
    <row r="406" spans="1:20" x14ac:dyDescent="0.25">
      <c r="A406" t="s">
        <v>14</v>
      </c>
      <c r="B406" t="s">
        <v>2292</v>
      </c>
      <c r="C406" t="s">
        <v>4369</v>
      </c>
      <c r="D406" t="s">
        <v>4370</v>
      </c>
      <c r="E406">
        <v>47300070522</v>
      </c>
      <c r="F406" t="s">
        <v>16</v>
      </c>
      <c r="G406" t="s">
        <v>17</v>
      </c>
      <c r="H406" t="s">
        <v>18</v>
      </c>
      <c r="K406" t="s">
        <v>3294</v>
      </c>
      <c r="L406" t="s">
        <v>19</v>
      </c>
      <c r="M406" t="s">
        <v>46</v>
      </c>
      <c r="N406" s="2">
        <v>45352</v>
      </c>
      <c r="O406" s="2">
        <v>45382</v>
      </c>
      <c r="P406">
        <v>500</v>
      </c>
      <c r="Q406">
        <v>500</v>
      </c>
      <c r="R406" t="s">
        <v>2950</v>
      </c>
    </row>
    <row r="407" spans="1:20" x14ac:dyDescent="0.25">
      <c r="A407" t="s">
        <v>14</v>
      </c>
      <c r="B407" t="s">
        <v>2292</v>
      </c>
      <c r="C407" t="s">
        <v>4387</v>
      </c>
      <c r="D407" t="s">
        <v>4388</v>
      </c>
      <c r="E407">
        <v>47300070522</v>
      </c>
      <c r="F407" t="s">
        <v>16</v>
      </c>
      <c r="G407" t="s">
        <v>17</v>
      </c>
      <c r="H407" t="s">
        <v>18</v>
      </c>
      <c r="K407" t="s">
        <v>2892</v>
      </c>
      <c r="L407" t="s">
        <v>19</v>
      </c>
      <c r="M407" t="s">
        <v>46</v>
      </c>
      <c r="N407" s="2">
        <v>45352</v>
      </c>
      <c r="O407" s="2">
        <v>45382</v>
      </c>
      <c r="P407">
        <v>10000</v>
      </c>
      <c r="Q407">
        <v>10000</v>
      </c>
      <c r="R407" t="s">
        <v>2950</v>
      </c>
    </row>
    <row r="408" spans="1:20" x14ac:dyDescent="0.25">
      <c r="A408" t="s">
        <v>14</v>
      </c>
      <c r="B408" t="s">
        <v>2290</v>
      </c>
      <c r="C408" t="s">
        <v>4400</v>
      </c>
      <c r="D408" t="s">
        <v>4401</v>
      </c>
      <c r="E408">
        <v>47300086445</v>
      </c>
      <c r="F408" t="s">
        <v>16</v>
      </c>
      <c r="G408" t="s">
        <v>28</v>
      </c>
      <c r="H408" t="s">
        <v>187</v>
      </c>
      <c r="I408" t="s">
        <v>2777</v>
      </c>
      <c r="J408" t="s">
        <v>2776</v>
      </c>
      <c r="K408" t="s">
        <v>3557</v>
      </c>
      <c r="L408" t="s">
        <v>19</v>
      </c>
      <c r="M408" t="s">
        <v>20</v>
      </c>
      <c r="P408">
        <v>35000</v>
      </c>
      <c r="Q408">
        <v>35000</v>
      </c>
      <c r="R408" t="s">
        <v>3637</v>
      </c>
      <c r="S408" t="s">
        <v>2291</v>
      </c>
      <c r="T408">
        <v>129.1</v>
      </c>
    </row>
    <row r="409" spans="1:20" x14ac:dyDescent="0.25">
      <c r="A409" t="s">
        <v>14</v>
      </c>
      <c r="B409" t="s">
        <v>2289</v>
      </c>
      <c r="C409" t="s">
        <v>2927</v>
      </c>
      <c r="D409" t="s">
        <v>4375</v>
      </c>
      <c r="E409">
        <v>47300046688</v>
      </c>
      <c r="F409" t="s">
        <v>16</v>
      </c>
      <c r="G409" t="s">
        <v>17</v>
      </c>
      <c r="H409" t="s">
        <v>154</v>
      </c>
      <c r="K409" t="s">
        <v>3294</v>
      </c>
      <c r="L409" t="s">
        <v>19</v>
      </c>
      <c r="M409" t="s">
        <v>46</v>
      </c>
      <c r="N409" s="2">
        <v>45352</v>
      </c>
      <c r="O409" s="2">
        <v>45382</v>
      </c>
      <c r="P409">
        <v>500</v>
      </c>
      <c r="Q409">
        <v>500</v>
      </c>
      <c r="R409" t="s">
        <v>3355</v>
      </c>
    </row>
    <row r="410" spans="1:20" x14ac:dyDescent="0.25">
      <c r="A410" t="s">
        <v>14</v>
      </c>
      <c r="B410" t="s">
        <v>2287</v>
      </c>
      <c r="C410" t="s">
        <v>4406</v>
      </c>
      <c r="D410" t="s">
        <v>4394</v>
      </c>
      <c r="E410">
        <v>47300046688</v>
      </c>
      <c r="F410" t="s">
        <v>16</v>
      </c>
      <c r="G410" t="s">
        <v>17</v>
      </c>
      <c r="H410" t="s">
        <v>154</v>
      </c>
      <c r="K410" t="s">
        <v>4229</v>
      </c>
      <c r="L410" t="s">
        <v>19</v>
      </c>
      <c r="M410" t="s">
        <v>63</v>
      </c>
      <c r="N410" s="2">
        <v>45352</v>
      </c>
      <c r="O410" s="2">
        <v>45382</v>
      </c>
      <c r="P410">
        <v>70000</v>
      </c>
      <c r="Q410">
        <v>70000</v>
      </c>
      <c r="R410" t="s">
        <v>4243</v>
      </c>
      <c r="S410" t="s">
        <v>2288</v>
      </c>
      <c r="T410">
        <v>258.10000000000002</v>
      </c>
    </row>
    <row r="411" spans="1:20" x14ac:dyDescent="0.25">
      <c r="A411" t="s">
        <v>14</v>
      </c>
      <c r="B411" t="s">
        <v>2285</v>
      </c>
      <c r="C411" t="s">
        <v>2927</v>
      </c>
      <c r="D411" t="s">
        <v>4375</v>
      </c>
      <c r="E411">
        <v>47300070837</v>
      </c>
      <c r="F411" t="s">
        <v>16</v>
      </c>
      <c r="G411" t="s">
        <v>23</v>
      </c>
      <c r="H411" t="s">
        <v>165</v>
      </c>
      <c r="K411" t="s">
        <v>4229</v>
      </c>
      <c r="L411" t="s">
        <v>19</v>
      </c>
      <c r="M411" t="s">
        <v>63</v>
      </c>
      <c r="N411" s="2">
        <v>45352</v>
      </c>
      <c r="O411" s="2">
        <v>45382</v>
      </c>
      <c r="P411">
        <v>80000</v>
      </c>
      <c r="Q411">
        <v>80000</v>
      </c>
      <c r="R411" t="s">
        <v>3356</v>
      </c>
      <c r="S411" t="s">
        <v>2286</v>
      </c>
      <c r="T411">
        <v>295</v>
      </c>
    </row>
    <row r="412" spans="1:20" x14ac:dyDescent="0.25">
      <c r="A412" t="s">
        <v>14</v>
      </c>
      <c r="B412" t="s">
        <v>2285</v>
      </c>
      <c r="C412" t="s">
        <v>4406</v>
      </c>
      <c r="D412" t="s">
        <v>4394</v>
      </c>
      <c r="E412">
        <v>47300070837</v>
      </c>
      <c r="F412" t="s">
        <v>16</v>
      </c>
      <c r="G412" t="s">
        <v>23</v>
      </c>
      <c r="H412" t="s">
        <v>165</v>
      </c>
      <c r="K412" t="s">
        <v>3294</v>
      </c>
      <c r="L412" t="s">
        <v>19</v>
      </c>
      <c r="M412" t="s">
        <v>46</v>
      </c>
      <c r="N412" s="2">
        <v>45352</v>
      </c>
      <c r="O412" s="2">
        <v>45382</v>
      </c>
      <c r="P412">
        <v>500</v>
      </c>
      <c r="Q412">
        <v>500</v>
      </c>
      <c r="R412" t="s">
        <v>3356</v>
      </c>
    </row>
    <row r="413" spans="1:20" x14ac:dyDescent="0.25">
      <c r="A413" t="s">
        <v>14</v>
      </c>
      <c r="B413" t="s">
        <v>2283</v>
      </c>
      <c r="C413" t="s">
        <v>4376</v>
      </c>
      <c r="D413" t="s">
        <v>4377</v>
      </c>
      <c r="E413">
        <v>47300046720</v>
      </c>
      <c r="F413" t="s">
        <v>16</v>
      </c>
      <c r="G413" t="s">
        <v>28</v>
      </c>
      <c r="H413" t="s">
        <v>143</v>
      </c>
      <c r="K413" t="s">
        <v>4229</v>
      </c>
      <c r="L413" t="s">
        <v>19</v>
      </c>
      <c r="M413" t="s">
        <v>63</v>
      </c>
      <c r="N413" s="2">
        <v>45352</v>
      </c>
      <c r="O413" s="2">
        <v>45382</v>
      </c>
      <c r="P413">
        <v>55000</v>
      </c>
      <c r="Q413">
        <v>55000</v>
      </c>
      <c r="R413" t="s">
        <v>4244</v>
      </c>
      <c r="S413" t="s">
        <v>2284</v>
      </c>
      <c r="T413">
        <v>202.8</v>
      </c>
    </row>
    <row r="414" spans="1:20" x14ac:dyDescent="0.25">
      <c r="A414" t="s">
        <v>14</v>
      </c>
      <c r="B414" t="s">
        <v>2281</v>
      </c>
      <c r="C414" t="s">
        <v>4396</v>
      </c>
      <c r="D414" t="s">
        <v>4397</v>
      </c>
      <c r="E414">
        <v>47300046662</v>
      </c>
      <c r="F414" t="s">
        <v>16</v>
      </c>
      <c r="G414" t="s">
        <v>28</v>
      </c>
      <c r="H414" t="s">
        <v>129</v>
      </c>
      <c r="K414" t="s">
        <v>4229</v>
      </c>
      <c r="L414" t="s">
        <v>19</v>
      </c>
      <c r="M414" t="s">
        <v>63</v>
      </c>
      <c r="N414" s="2">
        <v>45352</v>
      </c>
      <c r="O414" s="2">
        <v>45382</v>
      </c>
      <c r="P414">
        <v>30000</v>
      </c>
      <c r="Q414">
        <v>30000</v>
      </c>
      <c r="R414" t="s">
        <v>2951</v>
      </c>
      <c r="S414" t="s">
        <v>2282</v>
      </c>
      <c r="T414">
        <v>110.7</v>
      </c>
    </row>
    <row r="415" spans="1:20" x14ac:dyDescent="0.25">
      <c r="A415" t="s">
        <v>14</v>
      </c>
      <c r="B415" t="s">
        <v>2281</v>
      </c>
      <c r="C415" t="s">
        <v>4396</v>
      </c>
      <c r="D415" t="s">
        <v>4397</v>
      </c>
      <c r="E415">
        <v>47300046662</v>
      </c>
      <c r="F415" t="s">
        <v>16</v>
      </c>
      <c r="G415" t="s">
        <v>28</v>
      </c>
      <c r="H415" t="s">
        <v>129</v>
      </c>
      <c r="K415" t="s">
        <v>3294</v>
      </c>
      <c r="L415" t="s">
        <v>19</v>
      </c>
      <c r="M415" t="s">
        <v>46</v>
      </c>
      <c r="N415" s="2">
        <v>45352</v>
      </c>
      <c r="O415" s="2">
        <v>45382</v>
      </c>
      <c r="P415">
        <v>500</v>
      </c>
      <c r="Q415">
        <v>500</v>
      </c>
      <c r="R415" t="s">
        <v>2951</v>
      </c>
    </row>
    <row r="416" spans="1:20" x14ac:dyDescent="0.25">
      <c r="A416" t="s">
        <v>14</v>
      </c>
      <c r="B416" t="s">
        <v>2281</v>
      </c>
      <c r="C416" t="s">
        <v>4396</v>
      </c>
      <c r="D416" t="s">
        <v>4397</v>
      </c>
      <c r="E416">
        <v>47300046662</v>
      </c>
      <c r="F416" t="s">
        <v>16</v>
      </c>
      <c r="G416" t="s">
        <v>28</v>
      </c>
      <c r="H416" t="s">
        <v>129</v>
      </c>
      <c r="K416" t="s">
        <v>2892</v>
      </c>
      <c r="L416" t="s">
        <v>19</v>
      </c>
      <c r="M416" t="s">
        <v>46</v>
      </c>
      <c r="N416" s="2">
        <v>45352</v>
      </c>
      <c r="O416" s="2">
        <v>45382</v>
      </c>
      <c r="P416">
        <v>10000</v>
      </c>
      <c r="Q416">
        <v>10000</v>
      </c>
      <c r="R416" t="s">
        <v>2951</v>
      </c>
    </row>
    <row r="417" spans="1:20" x14ac:dyDescent="0.25">
      <c r="A417" t="s">
        <v>14</v>
      </c>
      <c r="B417" t="s">
        <v>2279</v>
      </c>
      <c r="C417" t="s">
        <v>4384</v>
      </c>
      <c r="D417" t="s">
        <v>4379</v>
      </c>
      <c r="E417">
        <v>47300070514</v>
      </c>
      <c r="F417" t="s">
        <v>27</v>
      </c>
      <c r="G417" t="s">
        <v>28</v>
      </c>
      <c r="H417" t="s">
        <v>29</v>
      </c>
      <c r="K417" t="s">
        <v>3557</v>
      </c>
      <c r="L417" t="s">
        <v>19</v>
      </c>
      <c r="M417" t="s">
        <v>20</v>
      </c>
      <c r="P417">
        <v>50000</v>
      </c>
      <c r="Q417">
        <v>50000</v>
      </c>
      <c r="R417" t="s">
        <v>3638</v>
      </c>
      <c r="S417" t="s">
        <v>2280</v>
      </c>
      <c r="T417">
        <v>184.4</v>
      </c>
    </row>
    <row r="418" spans="1:20" x14ac:dyDescent="0.25">
      <c r="A418" t="s">
        <v>14</v>
      </c>
      <c r="B418" t="s">
        <v>2278</v>
      </c>
      <c r="C418" t="s">
        <v>4389</v>
      </c>
      <c r="D418" t="s">
        <v>4390</v>
      </c>
      <c r="E418">
        <v>47300070480</v>
      </c>
      <c r="F418" t="s">
        <v>16</v>
      </c>
      <c r="G418" t="s">
        <v>28</v>
      </c>
      <c r="H418" t="s">
        <v>184</v>
      </c>
      <c r="K418" t="s">
        <v>3294</v>
      </c>
      <c r="L418" t="s">
        <v>19</v>
      </c>
      <c r="M418" t="s">
        <v>46</v>
      </c>
      <c r="N418" s="2">
        <v>45352</v>
      </c>
      <c r="O418" s="2">
        <v>45382</v>
      </c>
      <c r="P418">
        <v>500</v>
      </c>
      <c r="Q418">
        <v>500</v>
      </c>
      <c r="R418" t="s">
        <v>3357</v>
      </c>
    </row>
    <row r="419" spans="1:20" x14ac:dyDescent="0.25">
      <c r="A419" t="s">
        <v>14</v>
      </c>
      <c r="B419" t="s">
        <v>2276</v>
      </c>
      <c r="C419" t="s">
        <v>4389</v>
      </c>
      <c r="D419" t="s">
        <v>4375</v>
      </c>
      <c r="E419">
        <v>47300070571</v>
      </c>
      <c r="F419" t="s">
        <v>42</v>
      </c>
      <c r="G419" t="s">
        <v>28</v>
      </c>
      <c r="H419" t="s">
        <v>72</v>
      </c>
      <c r="K419" t="s">
        <v>3557</v>
      </c>
      <c r="L419" t="s">
        <v>19</v>
      </c>
      <c r="M419" t="s">
        <v>20</v>
      </c>
      <c r="P419">
        <v>110000</v>
      </c>
      <c r="Q419">
        <v>110000</v>
      </c>
      <c r="R419" t="s">
        <v>3639</v>
      </c>
      <c r="S419" t="s">
        <v>2277</v>
      </c>
      <c r="T419">
        <v>405.7</v>
      </c>
    </row>
    <row r="420" spans="1:20" x14ac:dyDescent="0.25">
      <c r="A420" t="s">
        <v>14</v>
      </c>
      <c r="B420" t="s">
        <v>2274</v>
      </c>
      <c r="C420" t="s">
        <v>4402</v>
      </c>
      <c r="D420" t="s">
        <v>4379</v>
      </c>
      <c r="E420">
        <v>47300086445</v>
      </c>
      <c r="F420" t="s">
        <v>16</v>
      </c>
      <c r="G420" t="s">
        <v>28</v>
      </c>
      <c r="H420" t="s">
        <v>187</v>
      </c>
      <c r="I420" t="s">
        <v>2777</v>
      </c>
      <c r="J420" t="s">
        <v>2776</v>
      </c>
      <c r="K420" t="s">
        <v>3557</v>
      </c>
      <c r="L420" t="s">
        <v>19</v>
      </c>
      <c r="M420" t="s">
        <v>20</v>
      </c>
      <c r="P420">
        <v>25000</v>
      </c>
      <c r="Q420">
        <v>25000</v>
      </c>
      <c r="R420" t="s">
        <v>3640</v>
      </c>
      <c r="S420" t="s">
        <v>2275</v>
      </c>
      <c r="T420">
        <v>92.2</v>
      </c>
    </row>
    <row r="421" spans="1:20" x14ac:dyDescent="0.25">
      <c r="A421" t="s">
        <v>14</v>
      </c>
      <c r="B421" t="s">
        <v>2272</v>
      </c>
      <c r="C421" t="s">
        <v>4412</v>
      </c>
      <c r="D421" t="s">
        <v>4377</v>
      </c>
      <c r="E421">
        <v>47300026094</v>
      </c>
      <c r="F421" t="s">
        <v>35</v>
      </c>
      <c r="G421" t="s">
        <v>36</v>
      </c>
      <c r="H421" t="s">
        <v>4359</v>
      </c>
      <c r="K421" t="s">
        <v>3557</v>
      </c>
      <c r="L421" t="s">
        <v>19</v>
      </c>
      <c r="M421" t="s">
        <v>20</v>
      </c>
      <c r="P421">
        <v>80000</v>
      </c>
      <c r="Q421">
        <v>80000</v>
      </c>
      <c r="R421" t="s">
        <v>3641</v>
      </c>
      <c r="S421" t="s">
        <v>2273</v>
      </c>
      <c r="T421">
        <v>295</v>
      </c>
    </row>
    <row r="422" spans="1:20" x14ac:dyDescent="0.25">
      <c r="A422" t="s">
        <v>14</v>
      </c>
      <c r="B422" t="s">
        <v>2270</v>
      </c>
      <c r="C422" t="s">
        <v>4371</v>
      </c>
      <c r="D422" t="s">
        <v>4368</v>
      </c>
      <c r="E422">
        <v>47300025708</v>
      </c>
      <c r="F422" t="s">
        <v>35</v>
      </c>
      <c r="G422" t="s">
        <v>36</v>
      </c>
      <c r="H422" t="s">
        <v>4360</v>
      </c>
      <c r="K422" t="s">
        <v>3557</v>
      </c>
      <c r="L422" t="s">
        <v>19</v>
      </c>
      <c r="M422" t="s">
        <v>20</v>
      </c>
      <c r="P422">
        <v>34000</v>
      </c>
      <c r="Q422">
        <v>34000</v>
      </c>
      <c r="R422" t="s">
        <v>3642</v>
      </c>
      <c r="S422" t="s">
        <v>2271</v>
      </c>
      <c r="T422">
        <v>125.3</v>
      </c>
    </row>
    <row r="423" spans="1:20" x14ac:dyDescent="0.25">
      <c r="A423" t="s">
        <v>14</v>
      </c>
      <c r="B423" t="s">
        <v>2268</v>
      </c>
      <c r="C423" t="s">
        <v>4367</v>
      </c>
      <c r="D423" t="s">
        <v>4368</v>
      </c>
      <c r="E423">
        <v>47300046258</v>
      </c>
      <c r="F423" t="s">
        <v>16</v>
      </c>
      <c r="G423" t="s">
        <v>28</v>
      </c>
      <c r="H423" t="s">
        <v>160</v>
      </c>
      <c r="K423" t="s">
        <v>3557</v>
      </c>
      <c r="L423" t="s">
        <v>19</v>
      </c>
      <c r="M423" t="s">
        <v>20</v>
      </c>
      <c r="P423">
        <v>50000</v>
      </c>
      <c r="Q423">
        <v>50000</v>
      </c>
      <c r="R423" t="s">
        <v>3643</v>
      </c>
      <c r="S423" t="s">
        <v>2269</v>
      </c>
      <c r="T423">
        <v>184.4</v>
      </c>
    </row>
    <row r="424" spans="1:20" x14ac:dyDescent="0.25">
      <c r="A424" t="s">
        <v>14</v>
      </c>
      <c r="B424" t="s">
        <v>2266</v>
      </c>
      <c r="C424" t="s">
        <v>4369</v>
      </c>
      <c r="D424" t="s">
        <v>4370</v>
      </c>
      <c r="E424">
        <v>47300070597</v>
      </c>
      <c r="F424" t="s">
        <v>16</v>
      </c>
      <c r="G424" t="s">
        <v>28</v>
      </c>
      <c r="H424" t="s">
        <v>77</v>
      </c>
      <c r="K424" t="s">
        <v>3557</v>
      </c>
      <c r="L424" t="s">
        <v>19</v>
      </c>
      <c r="M424" t="s">
        <v>20</v>
      </c>
      <c r="P424">
        <v>20000</v>
      </c>
      <c r="Q424">
        <v>20000</v>
      </c>
      <c r="R424" t="s">
        <v>3644</v>
      </c>
      <c r="S424" t="s">
        <v>2267</v>
      </c>
      <c r="T424">
        <v>73.8</v>
      </c>
    </row>
    <row r="425" spans="1:20" x14ac:dyDescent="0.25">
      <c r="A425" t="s">
        <v>14</v>
      </c>
      <c r="B425" t="s">
        <v>2264</v>
      </c>
      <c r="C425" t="s">
        <v>4414</v>
      </c>
      <c r="D425" t="s">
        <v>4401</v>
      </c>
      <c r="E425">
        <v>47300046746</v>
      </c>
      <c r="F425" t="s">
        <v>16</v>
      </c>
      <c r="G425" t="s">
        <v>28</v>
      </c>
      <c r="H425" t="s">
        <v>32</v>
      </c>
      <c r="K425" t="s">
        <v>3557</v>
      </c>
      <c r="L425" t="s">
        <v>19</v>
      </c>
      <c r="M425" t="s">
        <v>20</v>
      </c>
      <c r="P425">
        <v>10000</v>
      </c>
      <c r="Q425">
        <v>10000</v>
      </c>
      <c r="R425" t="s">
        <v>3645</v>
      </c>
      <c r="S425" t="s">
        <v>2265</v>
      </c>
      <c r="T425">
        <v>36.9</v>
      </c>
    </row>
    <row r="426" spans="1:20" x14ac:dyDescent="0.25">
      <c r="A426" t="s">
        <v>14</v>
      </c>
      <c r="B426" t="s">
        <v>2263</v>
      </c>
      <c r="C426" t="s">
        <v>4402</v>
      </c>
      <c r="D426" t="s">
        <v>4403</v>
      </c>
      <c r="E426">
        <v>47300046977</v>
      </c>
      <c r="F426" t="s">
        <v>16</v>
      </c>
      <c r="G426" t="s">
        <v>17</v>
      </c>
      <c r="H426" t="s">
        <v>175</v>
      </c>
      <c r="K426" t="s">
        <v>3294</v>
      </c>
      <c r="L426" t="s">
        <v>19</v>
      </c>
      <c r="M426" t="s">
        <v>46</v>
      </c>
      <c r="N426" s="2">
        <v>45352</v>
      </c>
      <c r="O426" s="2">
        <v>45382</v>
      </c>
      <c r="P426">
        <v>500</v>
      </c>
      <c r="Q426">
        <v>500</v>
      </c>
      <c r="R426" t="s">
        <v>2952</v>
      </c>
    </row>
    <row r="427" spans="1:20" x14ac:dyDescent="0.25">
      <c r="A427" t="s">
        <v>14</v>
      </c>
      <c r="B427" t="s">
        <v>2263</v>
      </c>
      <c r="C427" t="s">
        <v>4413</v>
      </c>
      <c r="D427" t="s">
        <v>4395</v>
      </c>
      <c r="E427">
        <v>47300046977</v>
      </c>
      <c r="F427" t="s">
        <v>16</v>
      </c>
      <c r="G427" t="s">
        <v>17</v>
      </c>
      <c r="H427" t="s">
        <v>175</v>
      </c>
      <c r="K427" t="s">
        <v>3197</v>
      </c>
      <c r="L427" t="s">
        <v>19</v>
      </c>
      <c r="M427" t="s">
        <v>46</v>
      </c>
      <c r="N427" s="2">
        <v>45352</v>
      </c>
      <c r="O427" s="2">
        <v>45382</v>
      </c>
      <c r="P427">
        <v>145500</v>
      </c>
      <c r="Q427">
        <v>145500</v>
      </c>
      <c r="R427" t="s">
        <v>2952</v>
      </c>
    </row>
    <row r="428" spans="1:20" x14ac:dyDescent="0.25">
      <c r="A428" t="s">
        <v>14</v>
      </c>
      <c r="B428" t="s">
        <v>2263</v>
      </c>
      <c r="C428" t="s">
        <v>4384</v>
      </c>
      <c r="D428" t="s">
        <v>4391</v>
      </c>
      <c r="E428">
        <v>47300046977</v>
      </c>
      <c r="F428" t="s">
        <v>16</v>
      </c>
      <c r="G428" t="s">
        <v>17</v>
      </c>
      <c r="H428" t="s">
        <v>175</v>
      </c>
      <c r="K428" t="s">
        <v>2892</v>
      </c>
      <c r="L428" t="s">
        <v>19</v>
      </c>
      <c r="M428" t="s">
        <v>46</v>
      </c>
      <c r="N428" s="2">
        <v>45352</v>
      </c>
      <c r="O428" s="2">
        <v>45382</v>
      </c>
      <c r="P428">
        <v>10000</v>
      </c>
      <c r="Q428">
        <v>10000</v>
      </c>
      <c r="R428" t="s">
        <v>2952</v>
      </c>
    </row>
    <row r="429" spans="1:20" x14ac:dyDescent="0.25">
      <c r="A429" t="s">
        <v>14</v>
      </c>
      <c r="B429" t="s">
        <v>2261</v>
      </c>
      <c r="C429" t="s">
        <v>4418</v>
      </c>
      <c r="D429" t="s">
        <v>4368</v>
      </c>
      <c r="E429">
        <v>47300025690</v>
      </c>
      <c r="F429" t="s">
        <v>35</v>
      </c>
      <c r="G429" t="s">
        <v>36</v>
      </c>
      <c r="H429" t="s">
        <v>37</v>
      </c>
      <c r="K429" t="s">
        <v>3557</v>
      </c>
      <c r="L429" t="s">
        <v>19</v>
      </c>
      <c r="M429" t="s">
        <v>20</v>
      </c>
      <c r="P429">
        <v>50000</v>
      </c>
      <c r="Q429">
        <v>50000</v>
      </c>
      <c r="R429" t="s">
        <v>3646</v>
      </c>
      <c r="S429" t="s">
        <v>2262</v>
      </c>
      <c r="T429">
        <v>184.4</v>
      </c>
    </row>
    <row r="430" spans="1:20" x14ac:dyDescent="0.25">
      <c r="A430" t="s">
        <v>14</v>
      </c>
      <c r="B430" t="s">
        <v>2259</v>
      </c>
      <c r="C430" t="s">
        <v>4419</v>
      </c>
      <c r="D430" t="s">
        <v>4368</v>
      </c>
      <c r="E430">
        <v>47300026185</v>
      </c>
      <c r="F430" t="s">
        <v>35</v>
      </c>
      <c r="G430" t="s">
        <v>36</v>
      </c>
      <c r="H430" t="s">
        <v>4361</v>
      </c>
      <c r="K430" t="s">
        <v>3557</v>
      </c>
      <c r="L430" t="s">
        <v>19</v>
      </c>
      <c r="M430" t="s">
        <v>20</v>
      </c>
      <c r="P430">
        <v>50000</v>
      </c>
      <c r="Q430">
        <v>50000</v>
      </c>
      <c r="R430" t="s">
        <v>3647</v>
      </c>
      <c r="S430" t="s">
        <v>2260</v>
      </c>
      <c r="T430">
        <v>184.4</v>
      </c>
    </row>
    <row r="431" spans="1:20" x14ac:dyDescent="0.25">
      <c r="A431" t="s">
        <v>14</v>
      </c>
      <c r="B431" t="s">
        <v>2257</v>
      </c>
      <c r="C431" t="s">
        <v>4409</v>
      </c>
      <c r="D431" t="s">
        <v>4410</v>
      </c>
      <c r="E431">
        <v>47300020147</v>
      </c>
      <c r="F431" t="s">
        <v>35</v>
      </c>
      <c r="G431" t="s">
        <v>36</v>
      </c>
      <c r="H431" t="s">
        <v>4363</v>
      </c>
      <c r="K431" t="s">
        <v>3557</v>
      </c>
      <c r="L431" t="s">
        <v>19</v>
      </c>
      <c r="M431" t="s">
        <v>20</v>
      </c>
      <c r="P431">
        <v>50000</v>
      </c>
      <c r="Q431">
        <v>50000</v>
      </c>
      <c r="R431" t="s">
        <v>3648</v>
      </c>
      <c r="S431" t="s">
        <v>2258</v>
      </c>
      <c r="T431">
        <v>184.4</v>
      </c>
    </row>
    <row r="432" spans="1:20" x14ac:dyDescent="0.25">
      <c r="A432" t="s">
        <v>14</v>
      </c>
      <c r="B432" t="s">
        <v>2255</v>
      </c>
      <c r="C432" t="s">
        <v>4386</v>
      </c>
      <c r="D432" t="s">
        <v>4368</v>
      </c>
      <c r="E432">
        <v>47300012151</v>
      </c>
      <c r="F432" t="s">
        <v>35</v>
      </c>
      <c r="G432" t="s">
        <v>36</v>
      </c>
      <c r="H432" t="s">
        <v>4362</v>
      </c>
      <c r="K432" t="s">
        <v>3557</v>
      </c>
      <c r="L432" t="s">
        <v>19</v>
      </c>
      <c r="M432" t="s">
        <v>20</v>
      </c>
      <c r="P432">
        <v>50000</v>
      </c>
      <c r="Q432">
        <v>50000</v>
      </c>
      <c r="R432" t="s">
        <v>3649</v>
      </c>
      <c r="S432" t="s">
        <v>2256</v>
      </c>
      <c r="T432">
        <v>184.4</v>
      </c>
    </row>
    <row r="433" spans="1:25" x14ac:dyDescent="0.25">
      <c r="A433" t="s">
        <v>14</v>
      </c>
      <c r="B433" t="s">
        <v>2254</v>
      </c>
      <c r="C433" t="s">
        <v>4413</v>
      </c>
      <c r="D433" t="s">
        <v>4395</v>
      </c>
      <c r="E433">
        <v>47300070548</v>
      </c>
      <c r="F433" t="s">
        <v>27</v>
      </c>
      <c r="G433" t="s">
        <v>17</v>
      </c>
      <c r="H433" t="s">
        <v>51</v>
      </c>
      <c r="K433" t="s">
        <v>3294</v>
      </c>
      <c r="L433" t="s">
        <v>19</v>
      </c>
      <c r="M433" t="s">
        <v>46</v>
      </c>
      <c r="N433" s="2">
        <v>45352</v>
      </c>
      <c r="O433" s="2">
        <v>45382</v>
      </c>
      <c r="P433">
        <v>500</v>
      </c>
      <c r="Q433">
        <v>500</v>
      </c>
      <c r="R433" t="s">
        <v>3204</v>
      </c>
    </row>
    <row r="434" spans="1:25" x14ac:dyDescent="0.25">
      <c r="A434" t="s">
        <v>14</v>
      </c>
      <c r="B434" t="s">
        <v>2254</v>
      </c>
      <c r="C434" t="s">
        <v>4384</v>
      </c>
      <c r="D434" t="s">
        <v>4391</v>
      </c>
      <c r="E434">
        <v>47300070548</v>
      </c>
      <c r="F434" t="s">
        <v>27</v>
      </c>
      <c r="G434" t="s">
        <v>17</v>
      </c>
      <c r="H434" t="s">
        <v>51</v>
      </c>
      <c r="K434" t="s">
        <v>3197</v>
      </c>
      <c r="L434" t="s">
        <v>19</v>
      </c>
      <c r="M434" t="s">
        <v>46</v>
      </c>
      <c r="N434" s="2">
        <v>45352</v>
      </c>
      <c r="O434" s="2">
        <v>45382</v>
      </c>
      <c r="P434">
        <v>145500</v>
      </c>
      <c r="Q434">
        <v>145500</v>
      </c>
      <c r="R434" t="s">
        <v>3204</v>
      </c>
    </row>
    <row r="435" spans="1:25" x14ac:dyDescent="0.25">
      <c r="A435" t="s">
        <v>14</v>
      </c>
      <c r="B435" t="s">
        <v>2253</v>
      </c>
      <c r="C435" t="s">
        <v>4402</v>
      </c>
      <c r="D435" t="s">
        <v>4403</v>
      </c>
      <c r="E435">
        <v>47300070845</v>
      </c>
      <c r="F435" t="s">
        <v>16</v>
      </c>
      <c r="G435" t="s">
        <v>23</v>
      </c>
      <c r="H435" t="s">
        <v>157</v>
      </c>
      <c r="K435" t="s">
        <v>3294</v>
      </c>
      <c r="L435" t="s">
        <v>19</v>
      </c>
      <c r="M435" t="s">
        <v>46</v>
      </c>
      <c r="N435" s="2">
        <v>45352</v>
      </c>
      <c r="O435" s="2">
        <v>45382</v>
      </c>
      <c r="P435">
        <v>500</v>
      </c>
      <c r="Q435">
        <v>500</v>
      </c>
      <c r="R435" t="s">
        <v>2953</v>
      </c>
    </row>
    <row r="436" spans="1:25" x14ac:dyDescent="0.25">
      <c r="A436" t="s">
        <v>14</v>
      </c>
      <c r="B436" t="s">
        <v>2253</v>
      </c>
      <c r="C436" t="s">
        <v>4384</v>
      </c>
      <c r="D436" t="s">
        <v>4391</v>
      </c>
      <c r="E436">
        <v>47300070845</v>
      </c>
      <c r="F436" t="s">
        <v>16</v>
      </c>
      <c r="G436" t="s">
        <v>23</v>
      </c>
      <c r="H436" t="s">
        <v>157</v>
      </c>
      <c r="K436" t="s">
        <v>2892</v>
      </c>
      <c r="L436" t="s">
        <v>19</v>
      </c>
      <c r="M436" t="s">
        <v>46</v>
      </c>
      <c r="N436" s="2">
        <v>45352</v>
      </c>
      <c r="O436" s="2">
        <v>45382</v>
      </c>
      <c r="P436">
        <v>10000</v>
      </c>
      <c r="Q436">
        <v>10000</v>
      </c>
      <c r="R436" t="s">
        <v>2953</v>
      </c>
    </row>
    <row r="437" spans="1:25" x14ac:dyDescent="0.25">
      <c r="A437" t="s">
        <v>14</v>
      </c>
      <c r="B437" t="s">
        <v>2251</v>
      </c>
      <c r="C437" t="s">
        <v>4365</v>
      </c>
      <c r="D437" t="s">
        <v>4403</v>
      </c>
      <c r="E437">
        <v>47300070654</v>
      </c>
      <c r="F437" t="s">
        <v>16</v>
      </c>
      <c r="G437" t="s">
        <v>28</v>
      </c>
      <c r="H437" t="s">
        <v>217</v>
      </c>
      <c r="K437" t="s">
        <v>3557</v>
      </c>
      <c r="L437" t="s">
        <v>19</v>
      </c>
      <c r="M437" t="s">
        <v>20</v>
      </c>
      <c r="P437">
        <v>20000</v>
      </c>
      <c r="Q437">
        <v>20000</v>
      </c>
      <c r="R437" t="s">
        <v>3650</v>
      </c>
      <c r="S437" t="s">
        <v>2252</v>
      </c>
      <c r="T437">
        <v>73.7</v>
      </c>
    </row>
    <row r="438" spans="1:25" x14ac:dyDescent="0.25">
      <c r="A438" t="s">
        <v>14</v>
      </c>
      <c r="B438" t="s">
        <v>2250</v>
      </c>
      <c r="C438" t="s">
        <v>4376</v>
      </c>
      <c r="D438" t="s">
        <v>4407</v>
      </c>
      <c r="E438">
        <v>47300046217</v>
      </c>
      <c r="F438" t="s">
        <v>16</v>
      </c>
      <c r="G438" t="s">
        <v>28</v>
      </c>
      <c r="H438" t="s">
        <v>108</v>
      </c>
      <c r="K438" t="s">
        <v>3294</v>
      </c>
      <c r="L438" t="s">
        <v>19</v>
      </c>
      <c r="M438" t="s">
        <v>46</v>
      </c>
      <c r="N438" s="2">
        <v>45352</v>
      </c>
      <c r="O438" s="2">
        <v>45382</v>
      </c>
      <c r="P438">
        <v>500</v>
      </c>
      <c r="Q438">
        <v>500</v>
      </c>
      <c r="R438" t="s">
        <v>3358</v>
      </c>
    </row>
    <row r="439" spans="1:25" x14ac:dyDescent="0.25">
      <c r="A439" t="s">
        <v>14</v>
      </c>
      <c r="B439" t="s">
        <v>2248</v>
      </c>
      <c r="C439" t="s">
        <v>4415</v>
      </c>
      <c r="D439" t="s">
        <v>4416</v>
      </c>
      <c r="E439">
        <v>47300070498</v>
      </c>
      <c r="F439" t="s">
        <v>16</v>
      </c>
      <c r="G439" t="s">
        <v>28</v>
      </c>
      <c r="H439" t="s">
        <v>794</v>
      </c>
      <c r="I439" t="s">
        <v>2853</v>
      </c>
      <c r="J439" t="s">
        <v>2852</v>
      </c>
      <c r="K439" t="s">
        <v>3557</v>
      </c>
      <c r="L439" t="s">
        <v>19</v>
      </c>
      <c r="M439" t="s">
        <v>20</v>
      </c>
      <c r="P439">
        <v>30000</v>
      </c>
      <c r="Q439">
        <v>30000</v>
      </c>
      <c r="R439" t="s">
        <v>3651</v>
      </c>
      <c r="S439" t="s">
        <v>2249</v>
      </c>
      <c r="T439">
        <v>110.6</v>
      </c>
    </row>
    <row r="440" spans="1:25" x14ac:dyDescent="0.25">
      <c r="A440" t="s">
        <v>14</v>
      </c>
      <c r="B440" t="s">
        <v>2246</v>
      </c>
      <c r="C440" t="s">
        <v>4376</v>
      </c>
      <c r="D440" t="s">
        <v>4407</v>
      </c>
      <c r="E440">
        <v>47300046761</v>
      </c>
      <c r="F440" t="s">
        <v>42</v>
      </c>
      <c r="G440" t="s">
        <v>28</v>
      </c>
      <c r="H440" t="s">
        <v>43</v>
      </c>
      <c r="K440" t="s">
        <v>3557</v>
      </c>
      <c r="L440" t="s">
        <v>19</v>
      </c>
      <c r="M440" t="s">
        <v>20</v>
      </c>
      <c r="P440">
        <v>50000</v>
      </c>
      <c r="Q440">
        <v>50000</v>
      </c>
      <c r="R440" t="s">
        <v>3652</v>
      </c>
      <c r="S440" t="s">
        <v>2247</v>
      </c>
      <c r="T440">
        <v>184.4</v>
      </c>
    </row>
    <row r="441" spans="1:25" x14ac:dyDescent="0.25">
      <c r="A441" t="s">
        <v>14</v>
      </c>
      <c r="B441" t="s">
        <v>2244</v>
      </c>
      <c r="C441" t="s">
        <v>4389</v>
      </c>
      <c r="D441" t="s">
        <v>4375</v>
      </c>
      <c r="E441">
        <v>47300025708</v>
      </c>
      <c r="F441" t="s">
        <v>35</v>
      </c>
      <c r="G441" t="s">
        <v>36</v>
      </c>
      <c r="H441" t="s">
        <v>4360</v>
      </c>
      <c r="K441" t="s">
        <v>3557</v>
      </c>
      <c r="L441" t="s">
        <v>19</v>
      </c>
      <c r="M441" t="s">
        <v>20</v>
      </c>
      <c r="P441">
        <v>50000</v>
      </c>
      <c r="Q441">
        <v>50000</v>
      </c>
      <c r="R441" t="s">
        <v>3653</v>
      </c>
      <c r="S441" t="s">
        <v>2245</v>
      </c>
      <c r="T441">
        <v>184.4</v>
      </c>
    </row>
    <row r="442" spans="1:25" x14ac:dyDescent="0.25">
      <c r="A442" t="s">
        <v>14</v>
      </c>
      <c r="B442" t="s">
        <v>2242</v>
      </c>
      <c r="C442" t="s">
        <v>4414</v>
      </c>
      <c r="D442" t="s">
        <v>4401</v>
      </c>
      <c r="E442">
        <v>47300070589</v>
      </c>
      <c r="F442" t="s">
        <v>16</v>
      </c>
      <c r="G442" t="s">
        <v>28</v>
      </c>
      <c r="H442" t="s">
        <v>221</v>
      </c>
      <c r="K442" t="s">
        <v>4229</v>
      </c>
      <c r="L442" t="s">
        <v>19</v>
      </c>
      <c r="M442" t="s">
        <v>63</v>
      </c>
      <c r="N442" s="2">
        <v>45352</v>
      </c>
      <c r="O442" s="2">
        <v>45382</v>
      </c>
      <c r="P442">
        <v>15000</v>
      </c>
      <c r="Q442">
        <v>15000</v>
      </c>
      <c r="R442" t="s">
        <v>3359</v>
      </c>
      <c r="S442" t="s">
        <v>2243</v>
      </c>
      <c r="T442">
        <v>55.3</v>
      </c>
    </row>
    <row r="443" spans="1:25" x14ac:dyDescent="0.25">
      <c r="A443" t="s">
        <v>14</v>
      </c>
      <c r="B443" t="s">
        <v>2242</v>
      </c>
      <c r="C443" t="s">
        <v>4369</v>
      </c>
      <c r="D443" t="s">
        <v>4370</v>
      </c>
      <c r="E443">
        <v>47300070589</v>
      </c>
      <c r="F443" t="s">
        <v>16</v>
      </c>
      <c r="G443" t="s">
        <v>28</v>
      </c>
      <c r="H443" t="s">
        <v>221</v>
      </c>
      <c r="K443" t="s">
        <v>3294</v>
      </c>
      <c r="L443" t="s">
        <v>19</v>
      </c>
      <c r="M443" t="s">
        <v>46</v>
      </c>
      <c r="N443" s="2">
        <v>45352</v>
      </c>
      <c r="O443" s="2">
        <v>45382</v>
      </c>
      <c r="P443">
        <v>500</v>
      </c>
      <c r="Q443">
        <v>500</v>
      </c>
      <c r="R443" t="s">
        <v>3359</v>
      </c>
    </row>
    <row r="444" spans="1:25" x14ac:dyDescent="0.25">
      <c r="A444" t="s">
        <v>14</v>
      </c>
      <c r="B444" t="s">
        <v>2240</v>
      </c>
      <c r="C444" t="s">
        <v>4371</v>
      </c>
      <c r="D444" t="s">
        <v>4368</v>
      </c>
      <c r="E444">
        <v>47300086445</v>
      </c>
      <c r="F444" t="s">
        <v>16</v>
      </c>
      <c r="G444" t="s">
        <v>28</v>
      </c>
      <c r="H444" t="s">
        <v>187</v>
      </c>
      <c r="I444" t="s">
        <v>2777</v>
      </c>
      <c r="J444" t="s">
        <v>2776</v>
      </c>
      <c r="K444" t="s">
        <v>3557</v>
      </c>
      <c r="L444" t="s">
        <v>19</v>
      </c>
      <c r="M444" t="s">
        <v>20</v>
      </c>
      <c r="P444">
        <v>20500</v>
      </c>
      <c r="Q444">
        <v>20500</v>
      </c>
      <c r="R444" t="s">
        <v>3654</v>
      </c>
      <c r="S444" t="s">
        <v>2241</v>
      </c>
      <c r="T444">
        <v>75.599999999999994</v>
      </c>
    </row>
    <row r="445" spans="1:25" x14ac:dyDescent="0.25">
      <c r="A445" t="s">
        <v>14</v>
      </c>
      <c r="B445" t="s">
        <v>2238</v>
      </c>
      <c r="C445" t="s">
        <v>4387</v>
      </c>
      <c r="D445" t="s">
        <v>4388</v>
      </c>
      <c r="E445">
        <v>47300046746</v>
      </c>
      <c r="F445" t="s">
        <v>16</v>
      </c>
      <c r="G445" t="s">
        <v>28</v>
      </c>
      <c r="H445" t="s">
        <v>32</v>
      </c>
      <c r="K445" t="s">
        <v>3557</v>
      </c>
      <c r="L445" t="s">
        <v>19</v>
      </c>
      <c r="M445" t="s">
        <v>20</v>
      </c>
      <c r="P445">
        <v>10000</v>
      </c>
      <c r="Q445">
        <v>10000</v>
      </c>
      <c r="R445" t="s">
        <v>3655</v>
      </c>
      <c r="S445" t="s">
        <v>2239</v>
      </c>
      <c r="T445">
        <v>36.9</v>
      </c>
    </row>
    <row r="446" spans="1:25" x14ac:dyDescent="0.25">
      <c r="A446" t="s">
        <v>14</v>
      </c>
      <c r="B446" t="s">
        <v>2236</v>
      </c>
      <c r="C446" t="s">
        <v>4394</v>
      </c>
      <c r="D446" t="s">
        <v>4421</v>
      </c>
      <c r="E446">
        <v>47300070514</v>
      </c>
      <c r="F446" t="s">
        <v>27</v>
      </c>
      <c r="G446" t="s">
        <v>28</v>
      </c>
      <c r="H446" t="s">
        <v>29</v>
      </c>
      <c r="K446" t="s">
        <v>3557</v>
      </c>
      <c r="L446" t="s">
        <v>19</v>
      </c>
      <c r="M446" t="s">
        <v>20</v>
      </c>
      <c r="P446">
        <v>30000</v>
      </c>
      <c r="Q446">
        <v>30000</v>
      </c>
      <c r="R446" t="s">
        <v>3656</v>
      </c>
      <c r="S446" t="s">
        <v>2237</v>
      </c>
      <c r="T446">
        <v>110.6</v>
      </c>
      <c r="X446" t="s">
        <v>4422</v>
      </c>
      <c r="Y446" t="s">
        <v>4423</v>
      </c>
    </row>
    <row r="447" spans="1:25" x14ac:dyDescent="0.25">
      <c r="A447" t="s">
        <v>14</v>
      </c>
      <c r="B447" t="s">
        <v>2234</v>
      </c>
      <c r="C447" t="s">
        <v>4405</v>
      </c>
      <c r="D447" t="s">
        <v>4390</v>
      </c>
      <c r="E447">
        <v>47300046241</v>
      </c>
      <c r="F447" t="s">
        <v>16</v>
      </c>
      <c r="G447" t="s">
        <v>23</v>
      </c>
      <c r="H447" t="s">
        <v>24</v>
      </c>
      <c r="I447" t="s">
        <v>2754</v>
      </c>
      <c r="J447">
        <v>0</v>
      </c>
      <c r="K447" t="s">
        <v>3557</v>
      </c>
      <c r="L447" t="s">
        <v>19</v>
      </c>
      <c r="M447" t="s">
        <v>20</v>
      </c>
      <c r="P447">
        <v>20000</v>
      </c>
      <c r="Q447">
        <v>20000</v>
      </c>
      <c r="R447" t="s">
        <v>3657</v>
      </c>
      <c r="S447" t="s">
        <v>2235</v>
      </c>
      <c r="T447">
        <v>73.7</v>
      </c>
    </row>
    <row r="448" spans="1:25" x14ac:dyDescent="0.25">
      <c r="A448" t="s">
        <v>14</v>
      </c>
      <c r="B448" t="s">
        <v>2232</v>
      </c>
      <c r="C448" t="s">
        <v>4405</v>
      </c>
      <c r="D448" t="s">
        <v>4390</v>
      </c>
      <c r="E448">
        <v>47300026094</v>
      </c>
      <c r="F448" t="s">
        <v>35</v>
      </c>
      <c r="G448" t="s">
        <v>36</v>
      </c>
      <c r="H448" t="s">
        <v>4359</v>
      </c>
      <c r="K448" t="s">
        <v>3557</v>
      </c>
      <c r="L448" t="s">
        <v>19</v>
      </c>
      <c r="M448" t="s">
        <v>20</v>
      </c>
      <c r="P448">
        <v>100000</v>
      </c>
      <c r="Q448">
        <v>100000</v>
      </c>
      <c r="R448" t="s">
        <v>3658</v>
      </c>
      <c r="S448" t="s">
        <v>2233</v>
      </c>
      <c r="T448">
        <v>368.7</v>
      </c>
    </row>
    <row r="449" spans="1:20" x14ac:dyDescent="0.25">
      <c r="A449" t="s">
        <v>14</v>
      </c>
      <c r="B449" t="s">
        <v>2230</v>
      </c>
      <c r="C449" t="s">
        <v>4367</v>
      </c>
      <c r="D449" t="s">
        <v>4368</v>
      </c>
      <c r="E449">
        <v>47300070605</v>
      </c>
      <c r="F449" t="s">
        <v>16</v>
      </c>
      <c r="G449" t="s">
        <v>28</v>
      </c>
      <c r="H449" t="s">
        <v>178</v>
      </c>
      <c r="K449" t="s">
        <v>4229</v>
      </c>
      <c r="L449" t="s">
        <v>19</v>
      </c>
      <c r="M449" t="s">
        <v>63</v>
      </c>
      <c r="N449" s="2">
        <v>45352</v>
      </c>
      <c r="O449" s="2">
        <v>45382</v>
      </c>
      <c r="P449">
        <v>20000</v>
      </c>
      <c r="Q449">
        <v>20000</v>
      </c>
      <c r="R449" t="s">
        <v>2954</v>
      </c>
      <c r="S449" t="s">
        <v>2231</v>
      </c>
      <c r="T449">
        <v>73.8</v>
      </c>
    </row>
    <row r="450" spans="1:20" x14ac:dyDescent="0.25">
      <c r="A450" t="s">
        <v>14</v>
      </c>
      <c r="B450" t="s">
        <v>2230</v>
      </c>
      <c r="C450" t="s">
        <v>4394</v>
      </c>
      <c r="D450" t="s">
        <v>4395</v>
      </c>
      <c r="E450">
        <v>47300070605</v>
      </c>
      <c r="F450" t="s">
        <v>16</v>
      </c>
      <c r="G450" t="s">
        <v>28</v>
      </c>
      <c r="H450" t="s">
        <v>178</v>
      </c>
      <c r="K450" t="s">
        <v>3294</v>
      </c>
      <c r="L450" t="s">
        <v>19</v>
      </c>
      <c r="M450" t="s">
        <v>46</v>
      </c>
      <c r="N450" s="2">
        <v>45352</v>
      </c>
      <c r="O450" s="2">
        <v>45382</v>
      </c>
      <c r="P450">
        <v>500</v>
      </c>
      <c r="Q450">
        <v>500</v>
      </c>
      <c r="R450" t="s">
        <v>2954</v>
      </c>
    </row>
    <row r="451" spans="1:20" x14ac:dyDescent="0.25">
      <c r="A451" t="s">
        <v>14</v>
      </c>
      <c r="B451" t="s">
        <v>2230</v>
      </c>
      <c r="C451" t="s">
        <v>4405</v>
      </c>
      <c r="D451" t="s">
        <v>4390</v>
      </c>
      <c r="E451">
        <v>47300070605</v>
      </c>
      <c r="F451" t="s">
        <v>16</v>
      </c>
      <c r="G451" t="s">
        <v>28</v>
      </c>
      <c r="H451" t="s">
        <v>178</v>
      </c>
      <c r="K451" t="s">
        <v>3197</v>
      </c>
      <c r="L451" t="s">
        <v>19</v>
      </c>
      <c r="M451" t="s">
        <v>46</v>
      </c>
      <c r="N451" s="2">
        <v>45352</v>
      </c>
      <c r="O451" s="2">
        <v>45382</v>
      </c>
      <c r="P451">
        <v>145500</v>
      </c>
      <c r="Q451">
        <v>145500</v>
      </c>
      <c r="R451" t="s">
        <v>2954</v>
      </c>
    </row>
    <row r="452" spans="1:20" x14ac:dyDescent="0.25">
      <c r="A452" t="s">
        <v>14</v>
      </c>
      <c r="B452" t="s">
        <v>2230</v>
      </c>
      <c r="C452" t="s">
        <v>4405</v>
      </c>
      <c r="D452" t="s">
        <v>4390</v>
      </c>
      <c r="E452">
        <v>47300070605</v>
      </c>
      <c r="F452" t="s">
        <v>16</v>
      </c>
      <c r="G452" t="s">
        <v>28</v>
      </c>
      <c r="H452" t="s">
        <v>178</v>
      </c>
      <c r="K452" t="s">
        <v>2892</v>
      </c>
      <c r="L452" t="s">
        <v>19</v>
      </c>
      <c r="M452" t="s">
        <v>46</v>
      </c>
      <c r="N452" s="2">
        <v>45352</v>
      </c>
      <c r="O452" s="2">
        <v>45382</v>
      </c>
      <c r="P452">
        <v>10000</v>
      </c>
      <c r="Q452">
        <v>10000</v>
      </c>
      <c r="R452" t="s">
        <v>2954</v>
      </c>
    </row>
    <row r="453" spans="1:20" x14ac:dyDescent="0.25">
      <c r="A453" t="s">
        <v>14</v>
      </c>
      <c r="B453" t="s">
        <v>2228</v>
      </c>
      <c r="C453" t="s">
        <v>4380</v>
      </c>
      <c r="D453" t="s">
        <v>4381</v>
      </c>
      <c r="E453">
        <v>47300046720</v>
      </c>
      <c r="F453" t="s">
        <v>16</v>
      </c>
      <c r="G453" t="s">
        <v>28</v>
      </c>
      <c r="H453" t="s">
        <v>143</v>
      </c>
      <c r="K453" t="s">
        <v>3557</v>
      </c>
      <c r="L453" t="s">
        <v>19</v>
      </c>
      <c r="M453" t="s">
        <v>20</v>
      </c>
      <c r="P453">
        <v>62500</v>
      </c>
      <c r="Q453">
        <v>62500</v>
      </c>
      <c r="R453" t="s">
        <v>3659</v>
      </c>
      <c r="S453" t="s">
        <v>2229</v>
      </c>
      <c r="T453">
        <v>230.5</v>
      </c>
    </row>
    <row r="454" spans="1:20" x14ac:dyDescent="0.25">
      <c r="A454" t="s">
        <v>14</v>
      </c>
      <c r="B454" t="s">
        <v>2227</v>
      </c>
      <c r="C454" t="s">
        <v>4414</v>
      </c>
      <c r="D454" t="s">
        <v>4401</v>
      </c>
      <c r="E454">
        <v>47300046605</v>
      </c>
      <c r="F454" t="s">
        <v>16</v>
      </c>
      <c r="G454" t="s">
        <v>17</v>
      </c>
      <c r="H454" t="s">
        <v>49</v>
      </c>
      <c r="K454" t="s">
        <v>3294</v>
      </c>
      <c r="L454" t="s">
        <v>19</v>
      </c>
      <c r="M454" t="s">
        <v>46</v>
      </c>
      <c r="N454" s="2">
        <v>45352</v>
      </c>
      <c r="O454" s="2">
        <v>45382</v>
      </c>
      <c r="P454">
        <v>500</v>
      </c>
      <c r="Q454">
        <v>500</v>
      </c>
      <c r="R454" t="s">
        <v>3360</v>
      </c>
    </row>
    <row r="455" spans="1:20" x14ac:dyDescent="0.25">
      <c r="A455" t="s">
        <v>14</v>
      </c>
      <c r="B455" t="s">
        <v>2225</v>
      </c>
      <c r="C455" t="s">
        <v>4376</v>
      </c>
      <c r="D455" t="s">
        <v>4377</v>
      </c>
      <c r="E455">
        <v>47300046746</v>
      </c>
      <c r="F455" t="s">
        <v>16</v>
      </c>
      <c r="G455" t="s">
        <v>28</v>
      </c>
      <c r="H455" t="s">
        <v>32</v>
      </c>
      <c r="K455" t="s">
        <v>3557</v>
      </c>
      <c r="L455" t="s">
        <v>19</v>
      </c>
      <c r="M455" t="s">
        <v>20</v>
      </c>
      <c r="P455">
        <v>15000</v>
      </c>
      <c r="Q455">
        <v>15000</v>
      </c>
      <c r="R455" t="s">
        <v>3660</v>
      </c>
      <c r="S455" t="s">
        <v>2226</v>
      </c>
      <c r="T455">
        <v>55.3</v>
      </c>
    </row>
    <row r="456" spans="1:20" x14ac:dyDescent="0.25">
      <c r="A456" t="s">
        <v>14</v>
      </c>
      <c r="B456" t="s">
        <v>2223</v>
      </c>
      <c r="C456" t="s">
        <v>4369</v>
      </c>
      <c r="D456" t="s">
        <v>4370</v>
      </c>
      <c r="E456">
        <v>47300070514</v>
      </c>
      <c r="F456" t="s">
        <v>27</v>
      </c>
      <c r="G456" t="s">
        <v>28</v>
      </c>
      <c r="H456" t="s">
        <v>29</v>
      </c>
      <c r="K456" t="s">
        <v>3557</v>
      </c>
      <c r="L456" t="s">
        <v>19</v>
      </c>
      <c r="M456" t="s">
        <v>20</v>
      </c>
      <c r="P456">
        <v>100000</v>
      </c>
      <c r="Q456">
        <v>100000</v>
      </c>
      <c r="R456" t="s">
        <v>3661</v>
      </c>
      <c r="S456" t="s">
        <v>2224</v>
      </c>
      <c r="T456">
        <v>368.8</v>
      </c>
    </row>
    <row r="457" spans="1:20" x14ac:dyDescent="0.25">
      <c r="A457" t="s">
        <v>14</v>
      </c>
      <c r="B457" t="s">
        <v>2221</v>
      </c>
      <c r="C457" t="s">
        <v>4387</v>
      </c>
      <c r="D457" t="s">
        <v>4388</v>
      </c>
      <c r="E457">
        <v>47300046761</v>
      </c>
      <c r="F457" t="s">
        <v>42</v>
      </c>
      <c r="G457" t="s">
        <v>28</v>
      </c>
      <c r="H457" t="s">
        <v>43</v>
      </c>
      <c r="K457" t="s">
        <v>3557</v>
      </c>
      <c r="L457" t="s">
        <v>19</v>
      </c>
      <c r="M457" t="s">
        <v>20</v>
      </c>
      <c r="P457">
        <v>50000</v>
      </c>
      <c r="Q457">
        <v>50000</v>
      </c>
      <c r="R457" t="s">
        <v>3662</v>
      </c>
      <c r="S457" t="s">
        <v>2222</v>
      </c>
      <c r="T457">
        <v>184.4</v>
      </c>
    </row>
    <row r="458" spans="1:20" x14ac:dyDescent="0.25">
      <c r="A458" t="s">
        <v>14</v>
      </c>
      <c r="B458" t="s">
        <v>2219</v>
      </c>
      <c r="C458" t="s">
        <v>4389</v>
      </c>
      <c r="D458" t="s">
        <v>4375</v>
      </c>
      <c r="E458">
        <v>47300086445</v>
      </c>
      <c r="F458" t="s">
        <v>16</v>
      </c>
      <c r="G458" t="s">
        <v>28</v>
      </c>
      <c r="H458" t="s">
        <v>187</v>
      </c>
      <c r="I458" t="s">
        <v>2777</v>
      </c>
      <c r="J458" t="s">
        <v>2776</v>
      </c>
      <c r="K458" t="s">
        <v>3557</v>
      </c>
      <c r="L458" t="s">
        <v>19</v>
      </c>
      <c r="M458" t="s">
        <v>20</v>
      </c>
      <c r="P458">
        <v>30000</v>
      </c>
      <c r="Q458">
        <v>30000</v>
      </c>
      <c r="R458" t="s">
        <v>3663</v>
      </c>
      <c r="S458" t="s">
        <v>2220</v>
      </c>
      <c r="T458">
        <v>110.6</v>
      </c>
    </row>
    <row r="459" spans="1:20" x14ac:dyDescent="0.25">
      <c r="A459" t="s">
        <v>14</v>
      </c>
      <c r="B459" t="s">
        <v>2217</v>
      </c>
      <c r="C459" t="s">
        <v>4365</v>
      </c>
      <c r="D459" t="s">
        <v>4366</v>
      </c>
      <c r="E459">
        <v>47300046217</v>
      </c>
      <c r="F459" t="s">
        <v>16</v>
      </c>
      <c r="G459" t="s">
        <v>28</v>
      </c>
      <c r="H459" t="s">
        <v>108</v>
      </c>
      <c r="K459" t="s">
        <v>4229</v>
      </c>
      <c r="L459" t="s">
        <v>19</v>
      </c>
      <c r="M459" t="s">
        <v>63</v>
      </c>
      <c r="N459" s="2">
        <v>45352</v>
      </c>
      <c r="O459" s="2">
        <v>45382</v>
      </c>
      <c r="P459">
        <v>50000</v>
      </c>
      <c r="Q459">
        <v>50000</v>
      </c>
      <c r="R459" t="s">
        <v>4245</v>
      </c>
      <c r="S459" t="s">
        <v>2218</v>
      </c>
      <c r="T459">
        <v>184.4</v>
      </c>
    </row>
    <row r="460" spans="1:20" x14ac:dyDescent="0.25">
      <c r="A460" t="s">
        <v>14</v>
      </c>
      <c r="B460" t="s">
        <v>2215</v>
      </c>
      <c r="C460" t="s">
        <v>4365</v>
      </c>
      <c r="D460" t="s">
        <v>4366</v>
      </c>
      <c r="E460">
        <v>47300070563</v>
      </c>
      <c r="F460" t="s">
        <v>16</v>
      </c>
      <c r="G460" t="s">
        <v>28</v>
      </c>
      <c r="H460" t="s">
        <v>359</v>
      </c>
      <c r="K460" t="s">
        <v>4229</v>
      </c>
      <c r="L460" t="s">
        <v>19</v>
      </c>
      <c r="M460" t="s">
        <v>63</v>
      </c>
      <c r="N460" s="2">
        <v>45352</v>
      </c>
      <c r="O460" s="2">
        <v>45382</v>
      </c>
      <c r="P460">
        <v>50000</v>
      </c>
      <c r="Q460">
        <v>50000</v>
      </c>
      <c r="R460" t="s">
        <v>2955</v>
      </c>
      <c r="S460" t="s">
        <v>2216</v>
      </c>
      <c r="T460">
        <v>184.4</v>
      </c>
    </row>
    <row r="461" spans="1:20" x14ac:dyDescent="0.25">
      <c r="A461" t="s">
        <v>14</v>
      </c>
      <c r="B461" t="s">
        <v>2215</v>
      </c>
      <c r="C461" t="s">
        <v>4415</v>
      </c>
      <c r="D461" t="s">
        <v>4416</v>
      </c>
      <c r="E461">
        <v>47300070563</v>
      </c>
      <c r="F461" t="s">
        <v>16</v>
      </c>
      <c r="G461" t="s">
        <v>28</v>
      </c>
      <c r="H461" t="s">
        <v>359</v>
      </c>
      <c r="K461" t="s">
        <v>3294</v>
      </c>
      <c r="L461" t="s">
        <v>19</v>
      </c>
      <c r="M461" t="s">
        <v>46</v>
      </c>
      <c r="N461" s="2">
        <v>45352</v>
      </c>
      <c r="O461" s="2">
        <v>45382</v>
      </c>
      <c r="P461">
        <v>500</v>
      </c>
      <c r="Q461">
        <v>500</v>
      </c>
      <c r="R461" t="s">
        <v>2955</v>
      </c>
    </row>
    <row r="462" spans="1:20" x14ac:dyDescent="0.25">
      <c r="A462" t="s">
        <v>14</v>
      </c>
      <c r="B462" t="s">
        <v>2215</v>
      </c>
      <c r="C462" t="s">
        <v>4365</v>
      </c>
      <c r="D462" t="s">
        <v>4366</v>
      </c>
      <c r="E462">
        <v>47300070563</v>
      </c>
      <c r="F462" t="s">
        <v>16</v>
      </c>
      <c r="G462" t="s">
        <v>28</v>
      </c>
      <c r="H462" t="s">
        <v>359</v>
      </c>
      <c r="K462" t="s">
        <v>2892</v>
      </c>
      <c r="L462" t="s">
        <v>19</v>
      </c>
      <c r="M462" t="s">
        <v>46</v>
      </c>
      <c r="N462" s="2">
        <v>45352</v>
      </c>
      <c r="O462" s="2">
        <v>45382</v>
      </c>
      <c r="P462">
        <v>10000</v>
      </c>
      <c r="Q462">
        <v>10000</v>
      </c>
      <c r="R462" t="s">
        <v>2955</v>
      </c>
    </row>
    <row r="463" spans="1:20" x14ac:dyDescent="0.25">
      <c r="A463" t="s">
        <v>14</v>
      </c>
      <c r="B463" t="s">
        <v>2213</v>
      </c>
      <c r="C463" t="s">
        <v>4365</v>
      </c>
      <c r="D463" t="s">
        <v>4366</v>
      </c>
      <c r="E463">
        <v>47300070563</v>
      </c>
      <c r="F463" t="s">
        <v>16</v>
      </c>
      <c r="G463" t="s">
        <v>28</v>
      </c>
      <c r="H463" t="s">
        <v>359</v>
      </c>
      <c r="K463" t="s">
        <v>3557</v>
      </c>
      <c r="L463" t="s">
        <v>19</v>
      </c>
      <c r="M463" t="s">
        <v>20</v>
      </c>
      <c r="P463">
        <v>40000</v>
      </c>
      <c r="Q463">
        <v>40000</v>
      </c>
      <c r="R463" t="s">
        <v>3664</v>
      </c>
      <c r="S463" t="s">
        <v>2214</v>
      </c>
      <c r="T463">
        <v>147.5</v>
      </c>
    </row>
    <row r="464" spans="1:20" x14ac:dyDescent="0.25">
      <c r="A464" t="s">
        <v>14</v>
      </c>
      <c r="B464" t="s">
        <v>2211</v>
      </c>
      <c r="C464" t="s">
        <v>4365</v>
      </c>
      <c r="D464" t="s">
        <v>4366</v>
      </c>
      <c r="E464">
        <v>47300070563</v>
      </c>
      <c r="F464" t="s">
        <v>16</v>
      </c>
      <c r="G464" t="s">
        <v>28</v>
      </c>
      <c r="H464" t="s">
        <v>359</v>
      </c>
      <c r="K464" t="s">
        <v>3557</v>
      </c>
      <c r="L464" t="s">
        <v>19</v>
      </c>
      <c r="M464" t="s">
        <v>20</v>
      </c>
      <c r="P464">
        <v>25000</v>
      </c>
      <c r="Q464">
        <v>25000</v>
      </c>
      <c r="R464" t="s">
        <v>3665</v>
      </c>
      <c r="S464" t="s">
        <v>2212</v>
      </c>
      <c r="T464">
        <v>92.2</v>
      </c>
    </row>
    <row r="465" spans="1:20" x14ac:dyDescent="0.25">
      <c r="A465" t="s">
        <v>14</v>
      </c>
      <c r="B465" t="s">
        <v>2209</v>
      </c>
      <c r="C465" t="s">
        <v>4398</v>
      </c>
      <c r="D465" t="s">
        <v>4399</v>
      </c>
      <c r="E465">
        <v>47300046365</v>
      </c>
      <c r="F465" t="s">
        <v>16</v>
      </c>
      <c r="G465" t="s">
        <v>28</v>
      </c>
      <c r="H465" t="s">
        <v>62</v>
      </c>
      <c r="K465" t="s">
        <v>4229</v>
      </c>
      <c r="L465" t="s">
        <v>19</v>
      </c>
      <c r="M465" t="s">
        <v>63</v>
      </c>
      <c r="N465" s="2">
        <v>45352</v>
      </c>
      <c r="O465" s="2">
        <v>45382</v>
      </c>
      <c r="P465">
        <v>60000</v>
      </c>
      <c r="Q465">
        <v>60000</v>
      </c>
      <c r="R465" t="s">
        <v>2956</v>
      </c>
      <c r="S465" t="s">
        <v>2210</v>
      </c>
      <c r="T465">
        <v>221.3</v>
      </c>
    </row>
    <row r="466" spans="1:20" x14ac:dyDescent="0.25">
      <c r="A466" t="s">
        <v>14</v>
      </c>
      <c r="B466" t="s">
        <v>2209</v>
      </c>
      <c r="C466" t="s">
        <v>2927</v>
      </c>
      <c r="D466" t="s">
        <v>4385</v>
      </c>
      <c r="E466">
        <v>47300046365</v>
      </c>
      <c r="F466" t="s">
        <v>16</v>
      </c>
      <c r="G466" t="s">
        <v>28</v>
      </c>
      <c r="H466" t="s">
        <v>62</v>
      </c>
      <c r="K466" t="s">
        <v>3294</v>
      </c>
      <c r="L466" t="s">
        <v>19</v>
      </c>
      <c r="M466" t="s">
        <v>46</v>
      </c>
      <c r="N466" s="2">
        <v>45352</v>
      </c>
      <c r="O466" s="2">
        <v>45382</v>
      </c>
      <c r="P466">
        <v>500</v>
      </c>
      <c r="Q466">
        <v>500</v>
      </c>
      <c r="R466" t="s">
        <v>2956</v>
      </c>
    </row>
    <row r="467" spans="1:20" x14ac:dyDescent="0.25">
      <c r="A467" t="s">
        <v>14</v>
      </c>
      <c r="B467" t="s">
        <v>2209</v>
      </c>
      <c r="C467" t="s">
        <v>2927</v>
      </c>
      <c r="D467" t="s">
        <v>4385</v>
      </c>
      <c r="E467">
        <v>47300046365</v>
      </c>
      <c r="F467" t="s">
        <v>16</v>
      </c>
      <c r="G467" t="s">
        <v>28</v>
      </c>
      <c r="H467" t="s">
        <v>62</v>
      </c>
      <c r="K467" t="s">
        <v>3197</v>
      </c>
      <c r="L467" t="s">
        <v>19</v>
      </c>
      <c r="M467" t="s">
        <v>46</v>
      </c>
      <c r="N467" s="2">
        <v>45352</v>
      </c>
      <c r="O467" s="2">
        <v>45382</v>
      </c>
      <c r="P467">
        <v>145500</v>
      </c>
      <c r="Q467">
        <v>145500</v>
      </c>
      <c r="R467" t="s">
        <v>2956</v>
      </c>
    </row>
    <row r="468" spans="1:20" x14ac:dyDescent="0.25">
      <c r="A468" t="s">
        <v>14</v>
      </c>
      <c r="B468" t="s">
        <v>2209</v>
      </c>
      <c r="C468" t="s">
        <v>4376</v>
      </c>
      <c r="D468" t="s">
        <v>4407</v>
      </c>
      <c r="E468">
        <v>47300046365</v>
      </c>
      <c r="F468" t="s">
        <v>16</v>
      </c>
      <c r="G468" t="s">
        <v>28</v>
      </c>
      <c r="H468" t="s">
        <v>62</v>
      </c>
      <c r="K468" t="s">
        <v>2892</v>
      </c>
      <c r="L468" t="s">
        <v>19</v>
      </c>
      <c r="M468" t="s">
        <v>46</v>
      </c>
      <c r="N468" s="2">
        <v>45352</v>
      </c>
      <c r="O468" s="2">
        <v>45382</v>
      </c>
      <c r="P468">
        <v>10000</v>
      </c>
      <c r="Q468">
        <v>10000</v>
      </c>
      <c r="R468" t="s">
        <v>2956</v>
      </c>
    </row>
    <row r="469" spans="1:20" x14ac:dyDescent="0.25">
      <c r="A469" t="s">
        <v>14</v>
      </c>
      <c r="B469" t="s">
        <v>2207</v>
      </c>
      <c r="C469" t="s">
        <v>4396</v>
      </c>
      <c r="D469" t="s">
        <v>4397</v>
      </c>
      <c r="E469">
        <v>47300025708</v>
      </c>
      <c r="F469" t="s">
        <v>35</v>
      </c>
      <c r="G469" t="s">
        <v>36</v>
      </c>
      <c r="H469" t="s">
        <v>4360</v>
      </c>
      <c r="K469" t="s">
        <v>3557</v>
      </c>
      <c r="L469" t="s">
        <v>19</v>
      </c>
      <c r="M469" t="s">
        <v>20</v>
      </c>
      <c r="P469">
        <v>50000</v>
      </c>
      <c r="Q469">
        <v>50000</v>
      </c>
      <c r="R469" t="s">
        <v>3666</v>
      </c>
      <c r="S469" t="s">
        <v>2208</v>
      </c>
      <c r="T469">
        <v>184.4</v>
      </c>
    </row>
    <row r="470" spans="1:20" x14ac:dyDescent="0.25">
      <c r="A470" t="s">
        <v>14</v>
      </c>
      <c r="B470" t="s">
        <v>2205</v>
      </c>
      <c r="C470" t="s">
        <v>4371</v>
      </c>
      <c r="D470" t="s">
        <v>4368</v>
      </c>
      <c r="E470">
        <v>47300046662</v>
      </c>
      <c r="F470" t="s">
        <v>16</v>
      </c>
      <c r="G470" t="s">
        <v>28</v>
      </c>
      <c r="H470" t="s">
        <v>129</v>
      </c>
      <c r="K470" t="s">
        <v>3557</v>
      </c>
      <c r="L470" t="s">
        <v>19</v>
      </c>
      <c r="M470" t="s">
        <v>20</v>
      </c>
      <c r="P470">
        <v>40000</v>
      </c>
      <c r="Q470">
        <v>40000</v>
      </c>
      <c r="R470" t="s">
        <v>3667</v>
      </c>
      <c r="S470" t="s">
        <v>2206</v>
      </c>
      <c r="T470">
        <v>147.5</v>
      </c>
    </row>
    <row r="471" spans="1:20" x14ac:dyDescent="0.25">
      <c r="A471" t="s">
        <v>14</v>
      </c>
      <c r="B471" t="s">
        <v>2203</v>
      </c>
      <c r="C471" t="s">
        <v>4398</v>
      </c>
      <c r="D471" t="s">
        <v>4399</v>
      </c>
      <c r="E471">
        <v>47300070589</v>
      </c>
      <c r="F471" t="s">
        <v>16</v>
      </c>
      <c r="G471" t="s">
        <v>28</v>
      </c>
      <c r="H471" t="s">
        <v>221</v>
      </c>
      <c r="K471" t="s">
        <v>3557</v>
      </c>
      <c r="L471" t="s">
        <v>19</v>
      </c>
      <c r="M471" t="s">
        <v>20</v>
      </c>
      <c r="P471">
        <v>60000</v>
      </c>
      <c r="Q471">
        <v>60000</v>
      </c>
      <c r="R471" t="s">
        <v>3668</v>
      </c>
      <c r="S471" t="s">
        <v>2204</v>
      </c>
      <c r="T471">
        <v>221.3</v>
      </c>
    </row>
    <row r="472" spans="1:20" x14ac:dyDescent="0.25">
      <c r="A472" t="s">
        <v>14</v>
      </c>
      <c r="B472" t="s">
        <v>2202</v>
      </c>
      <c r="C472" t="s">
        <v>2927</v>
      </c>
      <c r="D472" t="s">
        <v>4385</v>
      </c>
      <c r="E472">
        <v>47300046779</v>
      </c>
      <c r="F472" t="s">
        <v>42</v>
      </c>
      <c r="G472" t="s">
        <v>28</v>
      </c>
      <c r="H472" t="s">
        <v>199</v>
      </c>
      <c r="K472" t="s">
        <v>3294</v>
      </c>
      <c r="L472" t="s">
        <v>19</v>
      </c>
      <c r="M472" t="s">
        <v>46</v>
      </c>
      <c r="N472" s="2">
        <v>45352</v>
      </c>
      <c r="O472" s="2">
        <v>45382</v>
      </c>
      <c r="P472">
        <v>500</v>
      </c>
      <c r="Q472">
        <v>500</v>
      </c>
      <c r="R472" t="s">
        <v>2957</v>
      </c>
    </row>
    <row r="473" spans="1:20" x14ac:dyDescent="0.25">
      <c r="A473" t="s">
        <v>14</v>
      </c>
      <c r="B473" t="s">
        <v>2202</v>
      </c>
      <c r="C473" t="s">
        <v>4398</v>
      </c>
      <c r="D473" t="s">
        <v>4399</v>
      </c>
      <c r="E473">
        <v>47300046779</v>
      </c>
      <c r="F473" t="s">
        <v>42</v>
      </c>
      <c r="G473" t="s">
        <v>28</v>
      </c>
      <c r="H473" t="s">
        <v>199</v>
      </c>
      <c r="K473" t="s">
        <v>3197</v>
      </c>
      <c r="L473" t="s">
        <v>19</v>
      </c>
      <c r="M473" t="s">
        <v>46</v>
      </c>
      <c r="N473" s="2">
        <v>45352</v>
      </c>
      <c r="O473" s="2">
        <v>45382</v>
      </c>
      <c r="P473">
        <v>145500</v>
      </c>
      <c r="Q473">
        <v>145500</v>
      </c>
      <c r="R473" t="s">
        <v>2957</v>
      </c>
    </row>
    <row r="474" spans="1:20" x14ac:dyDescent="0.25">
      <c r="A474" t="s">
        <v>14</v>
      </c>
      <c r="B474" t="s">
        <v>2202</v>
      </c>
      <c r="C474" t="s">
        <v>2927</v>
      </c>
      <c r="D474" t="s">
        <v>4385</v>
      </c>
      <c r="E474">
        <v>47300046779</v>
      </c>
      <c r="F474" t="s">
        <v>42</v>
      </c>
      <c r="G474" t="s">
        <v>28</v>
      </c>
      <c r="H474" t="s">
        <v>199</v>
      </c>
      <c r="K474" t="s">
        <v>2892</v>
      </c>
      <c r="L474" t="s">
        <v>19</v>
      </c>
      <c r="M474" t="s">
        <v>46</v>
      </c>
      <c r="N474" s="2">
        <v>45352</v>
      </c>
      <c r="O474" s="2">
        <v>45382</v>
      </c>
      <c r="P474">
        <v>10000</v>
      </c>
      <c r="Q474">
        <v>10000</v>
      </c>
      <c r="R474" t="s">
        <v>2957</v>
      </c>
    </row>
    <row r="475" spans="1:20" x14ac:dyDescent="0.25">
      <c r="A475" t="s">
        <v>14</v>
      </c>
      <c r="B475" t="s">
        <v>2200</v>
      </c>
      <c r="C475" t="s">
        <v>4420</v>
      </c>
      <c r="D475" t="s">
        <v>4394</v>
      </c>
      <c r="E475">
        <v>47300046258</v>
      </c>
      <c r="F475" t="s">
        <v>16</v>
      </c>
      <c r="G475" t="s">
        <v>28</v>
      </c>
      <c r="H475" t="s">
        <v>160</v>
      </c>
      <c r="K475" t="s">
        <v>3557</v>
      </c>
      <c r="L475" t="s">
        <v>19</v>
      </c>
      <c r="M475" t="s">
        <v>20</v>
      </c>
      <c r="P475">
        <v>40000</v>
      </c>
      <c r="Q475">
        <v>40000</v>
      </c>
      <c r="R475" t="s">
        <v>3669</v>
      </c>
      <c r="S475" t="s">
        <v>2201</v>
      </c>
      <c r="T475">
        <v>147.5</v>
      </c>
    </row>
    <row r="476" spans="1:20" x14ac:dyDescent="0.25">
      <c r="A476" t="s">
        <v>14</v>
      </c>
      <c r="B476" t="s">
        <v>2198</v>
      </c>
      <c r="C476" t="s">
        <v>4420</v>
      </c>
      <c r="D476" t="s">
        <v>4394</v>
      </c>
      <c r="E476">
        <v>47300026094</v>
      </c>
      <c r="F476" t="s">
        <v>35</v>
      </c>
      <c r="G476" t="s">
        <v>36</v>
      </c>
      <c r="H476" t="s">
        <v>4359</v>
      </c>
      <c r="K476" t="s">
        <v>3557</v>
      </c>
      <c r="L476" t="s">
        <v>19</v>
      </c>
      <c r="M476" t="s">
        <v>20</v>
      </c>
      <c r="P476">
        <v>100000</v>
      </c>
      <c r="Q476">
        <v>100000</v>
      </c>
      <c r="R476" t="s">
        <v>3670</v>
      </c>
      <c r="S476" t="s">
        <v>2199</v>
      </c>
      <c r="T476">
        <v>368.8</v>
      </c>
    </row>
    <row r="477" spans="1:20" x14ac:dyDescent="0.25">
      <c r="A477" t="s">
        <v>14</v>
      </c>
      <c r="B477" t="s">
        <v>2196</v>
      </c>
      <c r="C477" t="s">
        <v>4414</v>
      </c>
      <c r="D477" t="s">
        <v>4401</v>
      </c>
      <c r="E477">
        <v>47300046191</v>
      </c>
      <c r="F477" t="s">
        <v>16</v>
      </c>
      <c r="G477" t="s">
        <v>28</v>
      </c>
      <c r="H477" t="s">
        <v>119</v>
      </c>
      <c r="I477" t="s">
        <v>2799</v>
      </c>
      <c r="J477">
        <v>8033011626</v>
      </c>
      <c r="K477" t="s">
        <v>4229</v>
      </c>
      <c r="L477" t="s">
        <v>19</v>
      </c>
      <c r="M477" t="s">
        <v>63</v>
      </c>
      <c r="N477" s="2">
        <v>45352</v>
      </c>
      <c r="O477" s="2">
        <v>45382</v>
      </c>
      <c r="P477">
        <v>50000</v>
      </c>
      <c r="Q477">
        <v>50000</v>
      </c>
      <c r="R477" t="s">
        <v>2797</v>
      </c>
      <c r="S477" t="s">
        <v>2197</v>
      </c>
      <c r="T477">
        <v>184.4</v>
      </c>
    </row>
    <row r="478" spans="1:20" x14ac:dyDescent="0.25">
      <c r="A478" t="s">
        <v>14</v>
      </c>
      <c r="B478" t="s">
        <v>2196</v>
      </c>
      <c r="C478" t="s">
        <v>4367</v>
      </c>
      <c r="D478" t="s">
        <v>4368</v>
      </c>
      <c r="E478">
        <v>47300046191</v>
      </c>
      <c r="F478" t="s">
        <v>16</v>
      </c>
      <c r="G478" t="s">
        <v>28</v>
      </c>
      <c r="H478" t="s">
        <v>119</v>
      </c>
      <c r="I478" t="s">
        <v>2799</v>
      </c>
      <c r="J478">
        <v>8033011626</v>
      </c>
      <c r="K478" t="s">
        <v>3294</v>
      </c>
      <c r="L478" t="s">
        <v>19</v>
      </c>
      <c r="M478" t="s">
        <v>46</v>
      </c>
      <c r="N478" s="2">
        <v>45352</v>
      </c>
      <c r="O478" s="2">
        <v>45382</v>
      </c>
      <c r="P478">
        <v>500</v>
      </c>
      <c r="Q478">
        <v>500</v>
      </c>
      <c r="R478" t="s">
        <v>2797</v>
      </c>
    </row>
    <row r="479" spans="1:20" x14ac:dyDescent="0.25">
      <c r="A479" t="s">
        <v>14</v>
      </c>
      <c r="B479" t="s">
        <v>2196</v>
      </c>
      <c r="C479" t="s">
        <v>4412</v>
      </c>
      <c r="D479" t="s">
        <v>4377</v>
      </c>
      <c r="E479">
        <v>47300046191</v>
      </c>
      <c r="F479" t="s">
        <v>16</v>
      </c>
      <c r="G479" t="s">
        <v>28</v>
      </c>
      <c r="H479" t="s">
        <v>119</v>
      </c>
      <c r="I479" t="s">
        <v>2799</v>
      </c>
      <c r="J479">
        <v>8033011626</v>
      </c>
      <c r="K479" t="s">
        <v>3197</v>
      </c>
      <c r="L479" t="s">
        <v>19</v>
      </c>
      <c r="M479" t="s">
        <v>46</v>
      </c>
      <c r="N479" s="2">
        <v>45352</v>
      </c>
      <c r="O479" s="2">
        <v>45382</v>
      </c>
      <c r="P479">
        <v>145500</v>
      </c>
      <c r="Q479">
        <v>145500</v>
      </c>
      <c r="R479" t="s">
        <v>2797</v>
      </c>
    </row>
    <row r="480" spans="1:20" x14ac:dyDescent="0.25">
      <c r="A480" t="s">
        <v>14</v>
      </c>
      <c r="B480" t="s">
        <v>2196</v>
      </c>
      <c r="C480" t="s">
        <v>4420</v>
      </c>
      <c r="D480" t="s">
        <v>4394</v>
      </c>
      <c r="E480">
        <v>47300046191</v>
      </c>
      <c r="F480" t="s">
        <v>16</v>
      </c>
      <c r="G480" t="s">
        <v>28</v>
      </c>
      <c r="H480" t="s">
        <v>119</v>
      </c>
      <c r="I480" t="s">
        <v>2799</v>
      </c>
      <c r="J480">
        <v>8033011626</v>
      </c>
      <c r="K480" t="s">
        <v>2892</v>
      </c>
      <c r="L480" t="s">
        <v>19</v>
      </c>
      <c r="M480" t="s">
        <v>46</v>
      </c>
      <c r="N480" s="2">
        <v>45352</v>
      </c>
      <c r="O480" s="2">
        <v>45382</v>
      </c>
      <c r="P480">
        <v>10000</v>
      </c>
      <c r="Q480">
        <v>10000</v>
      </c>
      <c r="R480" t="s">
        <v>2797</v>
      </c>
    </row>
    <row r="481" spans="1:20" x14ac:dyDescent="0.25">
      <c r="A481" t="s">
        <v>14</v>
      </c>
      <c r="B481" t="s">
        <v>2196</v>
      </c>
      <c r="C481" t="s">
        <v>4420</v>
      </c>
      <c r="D481" t="s">
        <v>4394</v>
      </c>
      <c r="E481">
        <v>47300046191</v>
      </c>
      <c r="F481" t="s">
        <v>16</v>
      </c>
      <c r="G481" t="s">
        <v>28</v>
      </c>
      <c r="H481" t="s">
        <v>119</v>
      </c>
      <c r="I481" t="s">
        <v>2799</v>
      </c>
      <c r="J481">
        <v>8033011626</v>
      </c>
      <c r="K481" t="s">
        <v>2798</v>
      </c>
      <c r="L481" t="s">
        <v>47</v>
      </c>
      <c r="N481" s="2">
        <v>45377</v>
      </c>
      <c r="O481" s="2">
        <v>45381</v>
      </c>
      <c r="P481">
        <v>107688.62</v>
      </c>
      <c r="Q481">
        <v>107688.62</v>
      </c>
      <c r="R481" t="s">
        <v>2797</v>
      </c>
    </row>
    <row r="482" spans="1:20" x14ac:dyDescent="0.25">
      <c r="A482" t="s">
        <v>14</v>
      </c>
      <c r="B482" t="s">
        <v>2194</v>
      </c>
      <c r="C482" t="s">
        <v>4420</v>
      </c>
      <c r="D482" t="s">
        <v>4394</v>
      </c>
      <c r="E482">
        <v>47300046746</v>
      </c>
      <c r="F482" t="s">
        <v>16</v>
      </c>
      <c r="G482" t="s">
        <v>28</v>
      </c>
      <c r="H482" t="s">
        <v>32</v>
      </c>
      <c r="K482" t="s">
        <v>3557</v>
      </c>
      <c r="L482" t="s">
        <v>19</v>
      </c>
      <c r="M482" t="s">
        <v>20</v>
      </c>
      <c r="P482">
        <v>10000</v>
      </c>
      <c r="Q482">
        <v>10000</v>
      </c>
      <c r="R482" t="s">
        <v>3671</v>
      </c>
      <c r="S482" t="s">
        <v>2195</v>
      </c>
      <c r="T482">
        <v>36.9</v>
      </c>
    </row>
    <row r="483" spans="1:20" x14ac:dyDescent="0.25">
      <c r="A483" t="s">
        <v>14</v>
      </c>
      <c r="B483" t="s">
        <v>2193</v>
      </c>
      <c r="C483" t="s">
        <v>4398</v>
      </c>
      <c r="D483" t="s">
        <v>4377</v>
      </c>
      <c r="E483">
        <v>47300046399</v>
      </c>
      <c r="F483" t="s">
        <v>16</v>
      </c>
      <c r="G483" t="s">
        <v>28</v>
      </c>
      <c r="H483" t="s">
        <v>122</v>
      </c>
      <c r="K483" t="s">
        <v>3294</v>
      </c>
      <c r="L483" t="s">
        <v>19</v>
      </c>
      <c r="M483" t="s">
        <v>46</v>
      </c>
      <c r="N483" s="2">
        <v>45352</v>
      </c>
      <c r="O483" s="2">
        <v>45382</v>
      </c>
      <c r="P483">
        <v>500</v>
      </c>
      <c r="Q483">
        <v>500</v>
      </c>
      <c r="R483" t="s">
        <v>3361</v>
      </c>
    </row>
    <row r="484" spans="1:20" x14ac:dyDescent="0.25">
      <c r="A484" t="s">
        <v>14</v>
      </c>
      <c r="B484" t="s">
        <v>2191</v>
      </c>
      <c r="C484" t="s">
        <v>4378</v>
      </c>
      <c r="D484" t="s">
        <v>4379</v>
      </c>
      <c r="E484">
        <v>47300046241</v>
      </c>
      <c r="F484" t="s">
        <v>16</v>
      </c>
      <c r="G484" t="s">
        <v>23</v>
      </c>
      <c r="H484" t="s">
        <v>24</v>
      </c>
      <c r="I484" t="s">
        <v>2754</v>
      </c>
      <c r="J484">
        <v>0</v>
      </c>
      <c r="K484" t="s">
        <v>3557</v>
      </c>
      <c r="L484" t="s">
        <v>19</v>
      </c>
      <c r="M484" t="s">
        <v>20</v>
      </c>
      <c r="P484">
        <v>20000</v>
      </c>
      <c r="Q484">
        <v>20000</v>
      </c>
      <c r="R484" t="s">
        <v>3672</v>
      </c>
      <c r="S484" t="s">
        <v>2192</v>
      </c>
      <c r="T484">
        <v>73.8</v>
      </c>
    </row>
    <row r="485" spans="1:20" x14ac:dyDescent="0.25">
      <c r="A485" t="s">
        <v>14</v>
      </c>
      <c r="B485" t="s">
        <v>2189</v>
      </c>
      <c r="C485" t="s">
        <v>4382</v>
      </c>
      <c r="D485" t="s">
        <v>4383</v>
      </c>
      <c r="E485">
        <v>47300046746</v>
      </c>
      <c r="F485" t="s">
        <v>16</v>
      </c>
      <c r="G485" t="s">
        <v>28</v>
      </c>
      <c r="H485" t="s">
        <v>32</v>
      </c>
      <c r="K485" t="s">
        <v>3557</v>
      </c>
      <c r="L485" t="s">
        <v>19</v>
      </c>
      <c r="M485" t="s">
        <v>20</v>
      </c>
      <c r="P485">
        <v>15000</v>
      </c>
      <c r="Q485">
        <v>15000</v>
      </c>
      <c r="R485" t="s">
        <v>3673</v>
      </c>
      <c r="S485" t="s">
        <v>2190</v>
      </c>
      <c r="T485">
        <v>55.3</v>
      </c>
    </row>
    <row r="486" spans="1:20" x14ac:dyDescent="0.25">
      <c r="A486" t="s">
        <v>14</v>
      </c>
      <c r="B486" t="s">
        <v>2187</v>
      </c>
      <c r="C486" t="s">
        <v>4398</v>
      </c>
      <c r="D486" t="s">
        <v>4377</v>
      </c>
      <c r="E486">
        <v>47300046316</v>
      </c>
      <c r="F486" t="s">
        <v>42</v>
      </c>
      <c r="G486" t="s">
        <v>28</v>
      </c>
      <c r="H486" t="s">
        <v>69</v>
      </c>
      <c r="K486" t="s">
        <v>4229</v>
      </c>
      <c r="L486" t="s">
        <v>19</v>
      </c>
      <c r="M486" t="s">
        <v>63</v>
      </c>
      <c r="N486" s="2">
        <v>45352</v>
      </c>
      <c r="O486" s="2">
        <v>45382</v>
      </c>
      <c r="P486">
        <v>80000</v>
      </c>
      <c r="Q486">
        <v>80000</v>
      </c>
      <c r="R486" t="s">
        <v>2958</v>
      </c>
      <c r="S486" t="s">
        <v>2188</v>
      </c>
      <c r="T486">
        <v>295</v>
      </c>
    </row>
    <row r="487" spans="1:20" x14ac:dyDescent="0.25">
      <c r="A487" t="s">
        <v>14</v>
      </c>
      <c r="B487" t="s">
        <v>2187</v>
      </c>
      <c r="C487" t="s">
        <v>4414</v>
      </c>
      <c r="D487" t="s">
        <v>4401</v>
      </c>
      <c r="E487">
        <v>47300046316</v>
      </c>
      <c r="F487" t="s">
        <v>42</v>
      </c>
      <c r="G487" t="s">
        <v>28</v>
      </c>
      <c r="H487" t="s">
        <v>69</v>
      </c>
      <c r="K487" t="s">
        <v>3294</v>
      </c>
      <c r="L487" t="s">
        <v>19</v>
      </c>
      <c r="M487" t="s">
        <v>46</v>
      </c>
      <c r="N487" s="2">
        <v>45352</v>
      </c>
      <c r="O487" s="2">
        <v>45382</v>
      </c>
      <c r="P487">
        <v>500</v>
      </c>
      <c r="Q487">
        <v>500</v>
      </c>
      <c r="R487" t="s">
        <v>2958</v>
      </c>
    </row>
    <row r="488" spans="1:20" x14ac:dyDescent="0.25">
      <c r="A488" t="s">
        <v>14</v>
      </c>
      <c r="B488" t="s">
        <v>2187</v>
      </c>
      <c r="C488" t="s">
        <v>4394</v>
      </c>
      <c r="D488" t="s">
        <v>4395</v>
      </c>
      <c r="E488">
        <v>47300046316</v>
      </c>
      <c r="F488" t="s">
        <v>42</v>
      </c>
      <c r="G488" t="s">
        <v>28</v>
      </c>
      <c r="H488" t="s">
        <v>69</v>
      </c>
      <c r="K488" t="s">
        <v>2892</v>
      </c>
      <c r="L488" t="s">
        <v>19</v>
      </c>
      <c r="M488" t="s">
        <v>46</v>
      </c>
      <c r="N488" s="2">
        <v>45352</v>
      </c>
      <c r="O488" s="2">
        <v>45382</v>
      </c>
      <c r="P488">
        <v>10000</v>
      </c>
      <c r="Q488">
        <v>10000</v>
      </c>
      <c r="R488" t="s">
        <v>2958</v>
      </c>
    </row>
    <row r="489" spans="1:20" x14ac:dyDescent="0.25">
      <c r="A489" t="s">
        <v>14</v>
      </c>
      <c r="B489" t="s">
        <v>2185</v>
      </c>
      <c r="C489" t="s">
        <v>4398</v>
      </c>
      <c r="D489" t="s">
        <v>4377</v>
      </c>
      <c r="E489">
        <v>47300047066</v>
      </c>
      <c r="F489" t="s">
        <v>16</v>
      </c>
      <c r="G489" t="s">
        <v>28</v>
      </c>
      <c r="H489" t="s">
        <v>57</v>
      </c>
      <c r="K489" t="s">
        <v>4229</v>
      </c>
      <c r="L489" t="s">
        <v>19</v>
      </c>
      <c r="M489" t="s">
        <v>63</v>
      </c>
      <c r="N489" s="2">
        <v>45352</v>
      </c>
      <c r="O489" s="2">
        <v>45382</v>
      </c>
      <c r="P489">
        <v>110000</v>
      </c>
      <c r="Q489">
        <v>110000</v>
      </c>
      <c r="R489" t="s">
        <v>4246</v>
      </c>
      <c r="S489" t="s">
        <v>2186</v>
      </c>
      <c r="T489">
        <v>405.7</v>
      </c>
    </row>
    <row r="490" spans="1:20" x14ac:dyDescent="0.25">
      <c r="A490" t="s">
        <v>14</v>
      </c>
      <c r="B490" t="s">
        <v>2183</v>
      </c>
      <c r="C490" t="s">
        <v>4389</v>
      </c>
      <c r="D490" t="s">
        <v>4390</v>
      </c>
      <c r="E490">
        <v>47300070571</v>
      </c>
      <c r="F490" t="s">
        <v>42</v>
      </c>
      <c r="G490" t="s">
        <v>28</v>
      </c>
      <c r="H490" t="s">
        <v>72</v>
      </c>
      <c r="K490" t="s">
        <v>3557</v>
      </c>
      <c r="L490" t="s">
        <v>19</v>
      </c>
      <c r="M490" t="s">
        <v>20</v>
      </c>
      <c r="P490">
        <v>110000</v>
      </c>
      <c r="Q490">
        <v>110000</v>
      </c>
      <c r="R490" t="s">
        <v>3674</v>
      </c>
      <c r="S490" t="s">
        <v>2184</v>
      </c>
      <c r="T490">
        <v>405.6</v>
      </c>
    </row>
    <row r="491" spans="1:20" x14ac:dyDescent="0.25">
      <c r="A491" t="s">
        <v>14</v>
      </c>
      <c r="B491" t="s">
        <v>2181</v>
      </c>
      <c r="C491" t="s">
        <v>4392</v>
      </c>
      <c r="D491" t="s">
        <v>4393</v>
      </c>
      <c r="E491">
        <v>47300070688</v>
      </c>
      <c r="F491" t="s">
        <v>16</v>
      </c>
      <c r="G491" t="s">
        <v>17</v>
      </c>
      <c r="H491" t="s">
        <v>149</v>
      </c>
      <c r="K491" t="s">
        <v>4229</v>
      </c>
      <c r="L491" t="s">
        <v>19</v>
      </c>
      <c r="M491" t="s">
        <v>63</v>
      </c>
      <c r="N491" s="2">
        <v>45352</v>
      </c>
      <c r="O491" s="2">
        <v>45382</v>
      </c>
      <c r="P491">
        <v>50000</v>
      </c>
      <c r="Q491">
        <v>50000</v>
      </c>
      <c r="R491" t="s">
        <v>2959</v>
      </c>
      <c r="S491" t="s">
        <v>2182</v>
      </c>
      <c r="T491">
        <v>184.4</v>
      </c>
    </row>
    <row r="492" spans="1:20" x14ac:dyDescent="0.25">
      <c r="A492" t="s">
        <v>14</v>
      </c>
      <c r="B492" t="s">
        <v>2181</v>
      </c>
      <c r="C492" t="s">
        <v>4400</v>
      </c>
      <c r="D492" t="s">
        <v>4401</v>
      </c>
      <c r="E492">
        <v>47300070688</v>
      </c>
      <c r="F492" t="s">
        <v>16</v>
      </c>
      <c r="G492" t="s">
        <v>17</v>
      </c>
      <c r="H492" t="s">
        <v>149</v>
      </c>
      <c r="K492" t="s">
        <v>3294</v>
      </c>
      <c r="L492" t="s">
        <v>19</v>
      </c>
      <c r="M492" t="s">
        <v>46</v>
      </c>
      <c r="N492" s="2">
        <v>45352</v>
      </c>
      <c r="O492" s="2">
        <v>45382</v>
      </c>
      <c r="P492">
        <v>500</v>
      </c>
      <c r="Q492">
        <v>500</v>
      </c>
      <c r="R492" t="s">
        <v>2959</v>
      </c>
    </row>
    <row r="493" spans="1:20" x14ac:dyDescent="0.25">
      <c r="A493" t="s">
        <v>14</v>
      </c>
      <c r="B493" t="s">
        <v>2181</v>
      </c>
      <c r="C493" t="s">
        <v>4384</v>
      </c>
      <c r="D493" t="s">
        <v>4391</v>
      </c>
      <c r="E493">
        <v>47300070688</v>
      </c>
      <c r="F493" t="s">
        <v>16</v>
      </c>
      <c r="G493" t="s">
        <v>17</v>
      </c>
      <c r="H493" t="s">
        <v>149</v>
      </c>
      <c r="K493" t="s">
        <v>3197</v>
      </c>
      <c r="L493" t="s">
        <v>19</v>
      </c>
      <c r="M493" t="s">
        <v>46</v>
      </c>
      <c r="N493" s="2">
        <v>45352</v>
      </c>
      <c r="O493" s="2">
        <v>45382</v>
      </c>
      <c r="P493">
        <v>145500</v>
      </c>
      <c r="Q493">
        <v>145500</v>
      </c>
      <c r="R493" t="s">
        <v>2959</v>
      </c>
    </row>
    <row r="494" spans="1:20" x14ac:dyDescent="0.25">
      <c r="A494" t="s">
        <v>14</v>
      </c>
      <c r="B494" t="s">
        <v>2181</v>
      </c>
      <c r="C494" t="s">
        <v>4408</v>
      </c>
      <c r="D494" t="s">
        <v>4407</v>
      </c>
      <c r="E494">
        <v>47300070688</v>
      </c>
      <c r="F494" t="s">
        <v>16</v>
      </c>
      <c r="G494" t="s">
        <v>17</v>
      </c>
      <c r="H494" t="s">
        <v>149</v>
      </c>
      <c r="K494" t="s">
        <v>2892</v>
      </c>
      <c r="L494" t="s">
        <v>19</v>
      </c>
      <c r="M494" t="s">
        <v>46</v>
      </c>
      <c r="N494" s="2">
        <v>45352</v>
      </c>
      <c r="O494" s="2">
        <v>45382</v>
      </c>
      <c r="P494">
        <v>10000</v>
      </c>
      <c r="Q494">
        <v>10000</v>
      </c>
      <c r="R494" t="s">
        <v>2959</v>
      </c>
    </row>
    <row r="495" spans="1:20" x14ac:dyDescent="0.25">
      <c r="A495" t="s">
        <v>14</v>
      </c>
      <c r="B495" t="s">
        <v>2179</v>
      </c>
      <c r="C495" t="s">
        <v>4380</v>
      </c>
      <c r="D495" t="s">
        <v>4381</v>
      </c>
      <c r="E495">
        <v>47300046605</v>
      </c>
      <c r="F495" t="s">
        <v>16</v>
      </c>
      <c r="G495" t="s">
        <v>17</v>
      </c>
      <c r="H495" t="s">
        <v>49</v>
      </c>
      <c r="K495" t="s">
        <v>4229</v>
      </c>
      <c r="L495" t="s">
        <v>19</v>
      </c>
      <c r="M495" t="s">
        <v>63</v>
      </c>
      <c r="N495" s="2">
        <v>45352</v>
      </c>
      <c r="O495" s="2">
        <v>45382</v>
      </c>
      <c r="P495">
        <v>80000</v>
      </c>
      <c r="Q495">
        <v>80000</v>
      </c>
      <c r="R495" t="s">
        <v>4247</v>
      </c>
      <c r="S495" t="s">
        <v>2180</v>
      </c>
      <c r="T495">
        <v>295</v>
      </c>
    </row>
    <row r="496" spans="1:20" x14ac:dyDescent="0.25">
      <c r="A496" t="s">
        <v>14</v>
      </c>
      <c r="B496" t="s">
        <v>2177</v>
      </c>
      <c r="C496" t="s">
        <v>4392</v>
      </c>
      <c r="D496" t="s">
        <v>4393</v>
      </c>
      <c r="E496">
        <v>47300070753</v>
      </c>
      <c r="F496" t="s">
        <v>16</v>
      </c>
      <c r="G496" t="s">
        <v>17</v>
      </c>
      <c r="H496" t="s">
        <v>82</v>
      </c>
      <c r="K496" t="s">
        <v>4229</v>
      </c>
      <c r="L496" t="s">
        <v>19</v>
      </c>
      <c r="M496" t="s">
        <v>63</v>
      </c>
      <c r="N496" s="2">
        <v>45352</v>
      </c>
      <c r="O496" s="2">
        <v>45382</v>
      </c>
      <c r="P496">
        <v>80000</v>
      </c>
      <c r="Q496">
        <v>80000</v>
      </c>
      <c r="R496" t="s">
        <v>4248</v>
      </c>
      <c r="S496" t="s">
        <v>2178</v>
      </c>
      <c r="T496">
        <v>295</v>
      </c>
    </row>
    <row r="497" spans="1:20" x14ac:dyDescent="0.25">
      <c r="A497" t="s">
        <v>14</v>
      </c>
      <c r="B497" t="s">
        <v>2175</v>
      </c>
      <c r="C497" t="s">
        <v>4392</v>
      </c>
      <c r="D497" t="s">
        <v>4393</v>
      </c>
      <c r="E497">
        <v>47300046977</v>
      </c>
      <c r="F497" t="s">
        <v>16</v>
      </c>
      <c r="G497" t="s">
        <v>17</v>
      </c>
      <c r="H497" t="s">
        <v>175</v>
      </c>
      <c r="K497" t="s">
        <v>4229</v>
      </c>
      <c r="L497" t="s">
        <v>19</v>
      </c>
      <c r="M497" t="s">
        <v>63</v>
      </c>
      <c r="N497" s="2">
        <v>45352</v>
      </c>
      <c r="O497" s="2">
        <v>45382</v>
      </c>
      <c r="P497">
        <v>30000</v>
      </c>
      <c r="Q497">
        <v>30000</v>
      </c>
      <c r="R497" t="s">
        <v>4249</v>
      </c>
      <c r="S497" t="s">
        <v>2176</v>
      </c>
      <c r="T497">
        <v>110.6</v>
      </c>
    </row>
    <row r="498" spans="1:20" x14ac:dyDescent="0.25">
      <c r="A498" t="s">
        <v>14</v>
      </c>
      <c r="B498" t="s">
        <v>2173</v>
      </c>
      <c r="C498" t="s">
        <v>4392</v>
      </c>
      <c r="D498" t="s">
        <v>4393</v>
      </c>
      <c r="E498">
        <v>47300070522</v>
      </c>
      <c r="F498" t="s">
        <v>16</v>
      </c>
      <c r="G498" t="s">
        <v>17</v>
      </c>
      <c r="H498" t="s">
        <v>18</v>
      </c>
      <c r="K498" t="s">
        <v>4229</v>
      </c>
      <c r="L498" t="s">
        <v>19</v>
      </c>
      <c r="M498" t="s">
        <v>63</v>
      </c>
      <c r="N498" s="2">
        <v>45352</v>
      </c>
      <c r="O498" s="2">
        <v>45382</v>
      </c>
      <c r="P498">
        <v>100000</v>
      </c>
      <c r="Q498">
        <v>100000</v>
      </c>
      <c r="R498" t="s">
        <v>4250</v>
      </c>
      <c r="S498" t="s">
        <v>2174</v>
      </c>
      <c r="T498">
        <v>368.8</v>
      </c>
    </row>
    <row r="499" spans="1:20" x14ac:dyDescent="0.25">
      <c r="A499" t="s">
        <v>14</v>
      </c>
      <c r="B499" t="s">
        <v>2171</v>
      </c>
      <c r="C499" t="s">
        <v>4414</v>
      </c>
      <c r="D499" t="s">
        <v>4401</v>
      </c>
      <c r="E499">
        <v>47300046746</v>
      </c>
      <c r="F499" t="s">
        <v>16</v>
      </c>
      <c r="G499" t="s">
        <v>28</v>
      </c>
      <c r="H499" t="s">
        <v>32</v>
      </c>
      <c r="K499" t="s">
        <v>3557</v>
      </c>
      <c r="L499" t="s">
        <v>19</v>
      </c>
      <c r="M499" t="s">
        <v>20</v>
      </c>
      <c r="P499">
        <v>10000</v>
      </c>
      <c r="Q499">
        <v>10000</v>
      </c>
      <c r="R499" t="s">
        <v>3675</v>
      </c>
      <c r="S499" t="s">
        <v>2172</v>
      </c>
      <c r="T499">
        <v>36.9</v>
      </c>
    </row>
    <row r="500" spans="1:20" x14ac:dyDescent="0.25">
      <c r="A500" t="s">
        <v>14</v>
      </c>
      <c r="B500" t="s">
        <v>2169</v>
      </c>
      <c r="C500" t="s">
        <v>4414</v>
      </c>
      <c r="D500" t="s">
        <v>4401</v>
      </c>
      <c r="E500">
        <v>47300046746</v>
      </c>
      <c r="F500" t="s">
        <v>16</v>
      </c>
      <c r="G500" t="s">
        <v>28</v>
      </c>
      <c r="H500" t="s">
        <v>32</v>
      </c>
      <c r="K500" t="s">
        <v>3557</v>
      </c>
      <c r="L500" t="s">
        <v>19</v>
      </c>
      <c r="M500" t="s">
        <v>20</v>
      </c>
      <c r="P500">
        <v>10000</v>
      </c>
      <c r="Q500">
        <v>10000</v>
      </c>
      <c r="R500" t="s">
        <v>3676</v>
      </c>
      <c r="S500" t="s">
        <v>2170</v>
      </c>
      <c r="T500">
        <v>36.9</v>
      </c>
    </row>
    <row r="501" spans="1:20" x14ac:dyDescent="0.25">
      <c r="A501" t="s">
        <v>14</v>
      </c>
      <c r="B501" t="s">
        <v>2168</v>
      </c>
      <c r="C501" t="s">
        <v>4376</v>
      </c>
      <c r="D501" t="s">
        <v>4377</v>
      </c>
      <c r="E501">
        <v>47300070795</v>
      </c>
      <c r="F501" t="s">
        <v>16</v>
      </c>
      <c r="G501" t="s">
        <v>87</v>
      </c>
      <c r="H501" t="s">
        <v>88</v>
      </c>
      <c r="K501" t="s">
        <v>3280</v>
      </c>
      <c r="L501" t="s">
        <v>47</v>
      </c>
      <c r="N501" s="2">
        <v>45352</v>
      </c>
      <c r="O501" s="2">
        <v>45382</v>
      </c>
      <c r="P501">
        <v>500</v>
      </c>
      <c r="Q501">
        <v>500</v>
      </c>
      <c r="R501" t="s">
        <v>3279</v>
      </c>
    </row>
    <row r="502" spans="1:20" x14ac:dyDescent="0.25">
      <c r="A502" t="s">
        <v>14</v>
      </c>
      <c r="B502" t="s">
        <v>2166</v>
      </c>
      <c r="C502" t="s">
        <v>4365</v>
      </c>
      <c r="D502" t="s">
        <v>4403</v>
      </c>
      <c r="E502">
        <v>47300086445</v>
      </c>
      <c r="F502" t="s">
        <v>16</v>
      </c>
      <c r="G502" t="s">
        <v>28</v>
      </c>
      <c r="H502" t="s">
        <v>187</v>
      </c>
      <c r="I502" t="s">
        <v>2777</v>
      </c>
      <c r="J502" t="s">
        <v>2776</v>
      </c>
      <c r="K502" t="s">
        <v>4229</v>
      </c>
      <c r="L502" t="s">
        <v>19</v>
      </c>
      <c r="M502" t="s">
        <v>63</v>
      </c>
      <c r="N502" s="2">
        <v>45383</v>
      </c>
      <c r="O502" s="2">
        <v>45412</v>
      </c>
      <c r="P502">
        <v>35000</v>
      </c>
      <c r="Q502">
        <v>35000</v>
      </c>
      <c r="R502" t="s">
        <v>3362</v>
      </c>
      <c r="S502" t="s">
        <v>2167</v>
      </c>
      <c r="T502">
        <v>129</v>
      </c>
    </row>
    <row r="503" spans="1:20" x14ac:dyDescent="0.25">
      <c r="A503" t="s">
        <v>14</v>
      </c>
      <c r="B503" t="s">
        <v>2166</v>
      </c>
      <c r="C503" t="s">
        <v>4369</v>
      </c>
      <c r="D503" t="s">
        <v>4370</v>
      </c>
      <c r="E503">
        <v>47300086445</v>
      </c>
      <c r="F503" t="s">
        <v>16</v>
      </c>
      <c r="G503" t="s">
        <v>28</v>
      </c>
      <c r="H503" t="s">
        <v>187</v>
      </c>
      <c r="I503" t="s">
        <v>2777</v>
      </c>
      <c r="J503" t="s">
        <v>2776</v>
      </c>
      <c r="K503" t="s">
        <v>3294</v>
      </c>
      <c r="L503" t="s">
        <v>19</v>
      </c>
      <c r="M503" t="s">
        <v>46</v>
      </c>
      <c r="N503" s="2">
        <v>45383</v>
      </c>
      <c r="O503" s="2">
        <v>45412</v>
      </c>
      <c r="P503">
        <v>500</v>
      </c>
      <c r="Q503">
        <v>500</v>
      </c>
      <c r="R503" t="s">
        <v>3362</v>
      </c>
    </row>
    <row r="504" spans="1:20" x14ac:dyDescent="0.25">
      <c r="A504" t="s">
        <v>14</v>
      </c>
      <c r="B504" t="s">
        <v>2164</v>
      </c>
      <c r="C504" t="s">
        <v>4374</v>
      </c>
      <c r="D504" t="s">
        <v>4375</v>
      </c>
      <c r="E504">
        <v>47300070654</v>
      </c>
      <c r="F504" t="s">
        <v>16</v>
      </c>
      <c r="G504" t="s">
        <v>28</v>
      </c>
      <c r="H504" t="s">
        <v>217</v>
      </c>
      <c r="K504" t="s">
        <v>4229</v>
      </c>
      <c r="L504" t="s">
        <v>19</v>
      </c>
      <c r="M504" t="s">
        <v>63</v>
      </c>
      <c r="N504" s="2">
        <v>45383</v>
      </c>
      <c r="O504" s="2">
        <v>45412</v>
      </c>
      <c r="P504">
        <v>20000</v>
      </c>
      <c r="Q504">
        <v>20000</v>
      </c>
      <c r="R504" t="s">
        <v>3363</v>
      </c>
      <c r="S504" t="s">
        <v>2165</v>
      </c>
      <c r="T504">
        <v>73.8</v>
      </c>
    </row>
    <row r="505" spans="1:20" x14ac:dyDescent="0.25">
      <c r="A505" t="s">
        <v>14</v>
      </c>
      <c r="B505" t="s">
        <v>2164</v>
      </c>
      <c r="C505" t="s">
        <v>4376</v>
      </c>
      <c r="D505" t="s">
        <v>4377</v>
      </c>
      <c r="E505">
        <v>47300070654</v>
      </c>
      <c r="F505" t="s">
        <v>16</v>
      </c>
      <c r="G505" t="s">
        <v>28</v>
      </c>
      <c r="H505" t="s">
        <v>217</v>
      </c>
      <c r="K505" t="s">
        <v>3294</v>
      </c>
      <c r="L505" t="s">
        <v>19</v>
      </c>
      <c r="M505" t="s">
        <v>46</v>
      </c>
      <c r="N505" s="2">
        <v>45383</v>
      </c>
      <c r="O505" s="2">
        <v>45412</v>
      </c>
      <c r="P505">
        <v>500</v>
      </c>
      <c r="Q505">
        <v>500</v>
      </c>
      <c r="R505" t="s">
        <v>3363</v>
      </c>
    </row>
    <row r="506" spans="1:20" x14ac:dyDescent="0.25">
      <c r="A506" t="s">
        <v>14</v>
      </c>
      <c r="B506" t="s">
        <v>2162</v>
      </c>
      <c r="C506" t="s">
        <v>4365</v>
      </c>
      <c r="D506" t="s">
        <v>4403</v>
      </c>
      <c r="E506">
        <v>47300046720</v>
      </c>
      <c r="F506" t="s">
        <v>16</v>
      </c>
      <c r="G506" t="s">
        <v>28</v>
      </c>
      <c r="H506" t="s">
        <v>143</v>
      </c>
      <c r="K506" t="s">
        <v>4229</v>
      </c>
      <c r="L506" t="s">
        <v>19</v>
      </c>
      <c r="M506" t="s">
        <v>63</v>
      </c>
      <c r="N506" s="2">
        <v>45383</v>
      </c>
      <c r="O506" s="2">
        <v>45412</v>
      </c>
      <c r="P506">
        <v>60000</v>
      </c>
      <c r="Q506">
        <v>60000</v>
      </c>
      <c r="R506" t="s">
        <v>3364</v>
      </c>
      <c r="S506" t="s">
        <v>2163</v>
      </c>
      <c r="T506">
        <v>221.2</v>
      </c>
    </row>
    <row r="507" spans="1:20" x14ac:dyDescent="0.25">
      <c r="A507" t="s">
        <v>14</v>
      </c>
      <c r="B507" t="s">
        <v>2162</v>
      </c>
      <c r="C507" t="s">
        <v>4369</v>
      </c>
      <c r="D507" t="s">
        <v>4370</v>
      </c>
      <c r="E507">
        <v>47300046720</v>
      </c>
      <c r="F507" t="s">
        <v>16</v>
      </c>
      <c r="G507" t="s">
        <v>28</v>
      </c>
      <c r="H507" t="s">
        <v>143</v>
      </c>
      <c r="K507" t="s">
        <v>3294</v>
      </c>
      <c r="L507" t="s">
        <v>19</v>
      </c>
      <c r="M507" t="s">
        <v>46</v>
      </c>
      <c r="N507" s="2">
        <v>45383</v>
      </c>
      <c r="O507" s="2">
        <v>45412</v>
      </c>
      <c r="P507">
        <v>500</v>
      </c>
      <c r="Q507">
        <v>500</v>
      </c>
      <c r="R507" t="s">
        <v>3364</v>
      </c>
    </row>
    <row r="508" spans="1:20" x14ac:dyDescent="0.25">
      <c r="A508" t="s">
        <v>14</v>
      </c>
      <c r="B508" t="s">
        <v>2161</v>
      </c>
      <c r="C508" t="s">
        <v>4382</v>
      </c>
      <c r="D508" t="s">
        <v>4383</v>
      </c>
      <c r="E508">
        <v>47300046399</v>
      </c>
      <c r="F508" t="s">
        <v>16</v>
      </c>
      <c r="G508" t="s">
        <v>28</v>
      </c>
      <c r="H508" t="s">
        <v>122</v>
      </c>
      <c r="K508" t="s">
        <v>3294</v>
      </c>
      <c r="L508" t="s">
        <v>19</v>
      </c>
      <c r="M508" t="s">
        <v>46</v>
      </c>
      <c r="N508" s="2">
        <v>45383</v>
      </c>
      <c r="O508" s="2">
        <v>45412</v>
      </c>
      <c r="P508">
        <v>500</v>
      </c>
      <c r="Q508">
        <v>500</v>
      </c>
      <c r="R508" t="s">
        <v>2882</v>
      </c>
    </row>
    <row r="509" spans="1:20" x14ac:dyDescent="0.25">
      <c r="A509" t="s">
        <v>14</v>
      </c>
      <c r="B509" t="s">
        <v>2161</v>
      </c>
      <c r="C509" t="s">
        <v>4408</v>
      </c>
      <c r="D509" t="s">
        <v>4407</v>
      </c>
      <c r="E509">
        <v>47300046399</v>
      </c>
      <c r="F509" t="s">
        <v>16</v>
      </c>
      <c r="G509" t="s">
        <v>28</v>
      </c>
      <c r="H509" t="s">
        <v>122</v>
      </c>
      <c r="K509" t="s">
        <v>2892</v>
      </c>
      <c r="L509" t="s">
        <v>19</v>
      </c>
      <c r="M509" t="s">
        <v>46</v>
      </c>
      <c r="N509" s="2">
        <v>45383</v>
      </c>
      <c r="O509" s="2">
        <v>45412</v>
      </c>
      <c r="P509">
        <v>10000</v>
      </c>
      <c r="Q509">
        <v>10000</v>
      </c>
      <c r="R509" t="s">
        <v>2882</v>
      </c>
    </row>
    <row r="510" spans="1:20" x14ac:dyDescent="0.25">
      <c r="A510" t="s">
        <v>14</v>
      </c>
      <c r="B510" t="s">
        <v>2161</v>
      </c>
      <c r="C510" t="s">
        <v>4378</v>
      </c>
      <c r="D510" t="s">
        <v>4379</v>
      </c>
      <c r="E510">
        <v>47300046399</v>
      </c>
      <c r="F510" t="s">
        <v>16</v>
      </c>
      <c r="G510" t="s">
        <v>28</v>
      </c>
      <c r="H510" t="s">
        <v>122</v>
      </c>
      <c r="K510" t="s">
        <v>2883</v>
      </c>
      <c r="L510" t="s">
        <v>47</v>
      </c>
      <c r="N510" s="2">
        <v>45352</v>
      </c>
      <c r="O510" s="2">
        <v>45382</v>
      </c>
      <c r="P510">
        <v>10000</v>
      </c>
      <c r="Q510">
        <v>10000</v>
      </c>
      <c r="R510" t="s">
        <v>2882</v>
      </c>
    </row>
    <row r="511" spans="1:20" x14ac:dyDescent="0.25">
      <c r="A511" t="s">
        <v>14</v>
      </c>
      <c r="B511" t="s">
        <v>2160</v>
      </c>
      <c r="C511" t="s">
        <v>4378</v>
      </c>
      <c r="D511" t="s">
        <v>4379</v>
      </c>
      <c r="E511">
        <v>47300070753</v>
      </c>
      <c r="F511" t="s">
        <v>16</v>
      </c>
      <c r="G511" t="s">
        <v>17</v>
      </c>
      <c r="H511" t="s">
        <v>82</v>
      </c>
      <c r="K511" t="s">
        <v>3294</v>
      </c>
      <c r="L511" t="s">
        <v>19</v>
      </c>
      <c r="M511" t="s">
        <v>46</v>
      </c>
      <c r="N511" s="2">
        <v>45383</v>
      </c>
      <c r="O511" s="2">
        <v>45412</v>
      </c>
      <c r="P511">
        <v>500</v>
      </c>
      <c r="Q511">
        <v>500</v>
      </c>
      <c r="R511" t="s">
        <v>3365</v>
      </c>
    </row>
    <row r="512" spans="1:20" x14ac:dyDescent="0.25">
      <c r="A512" t="s">
        <v>14</v>
      </c>
      <c r="B512" t="s">
        <v>2158</v>
      </c>
      <c r="C512" t="s">
        <v>4382</v>
      </c>
      <c r="D512" t="s">
        <v>4383</v>
      </c>
      <c r="E512">
        <v>47300046399</v>
      </c>
      <c r="F512" t="s">
        <v>16</v>
      </c>
      <c r="G512" t="s">
        <v>28</v>
      </c>
      <c r="H512" t="s">
        <v>122</v>
      </c>
      <c r="K512" t="s">
        <v>4229</v>
      </c>
      <c r="L512" t="s">
        <v>19</v>
      </c>
      <c r="M512" t="s">
        <v>63</v>
      </c>
      <c r="N512" s="2">
        <v>45383</v>
      </c>
      <c r="O512" s="2">
        <v>45412</v>
      </c>
      <c r="P512">
        <v>50000</v>
      </c>
      <c r="Q512">
        <v>50000</v>
      </c>
      <c r="R512" t="s">
        <v>4251</v>
      </c>
      <c r="S512" t="s">
        <v>2159</v>
      </c>
      <c r="T512">
        <v>184.4</v>
      </c>
    </row>
    <row r="513" spans="1:20" x14ac:dyDescent="0.25">
      <c r="A513" t="s">
        <v>14</v>
      </c>
      <c r="B513" t="s">
        <v>2157</v>
      </c>
      <c r="C513" t="s">
        <v>4382</v>
      </c>
      <c r="D513" t="s">
        <v>4383</v>
      </c>
      <c r="E513">
        <v>47300047066</v>
      </c>
      <c r="F513" t="s">
        <v>16</v>
      </c>
      <c r="G513" t="s">
        <v>28</v>
      </c>
      <c r="H513" t="s">
        <v>57</v>
      </c>
      <c r="K513" t="s">
        <v>3294</v>
      </c>
      <c r="L513" t="s">
        <v>19</v>
      </c>
      <c r="M513" t="s">
        <v>46</v>
      </c>
      <c r="N513" s="2">
        <v>45383</v>
      </c>
      <c r="O513" s="2">
        <v>45412</v>
      </c>
      <c r="P513">
        <v>500</v>
      </c>
      <c r="Q513">
        <v>500</v>
      </c>
      <c r="R513" t="s">
        <v>2960</v>
      </c>
    </row>
    <row r="514" spans="1:20" x14ac:dyDescent="0.25">
      <c r="A514" t="s">
        <v>14</v>
      </c>
      <c r="B514" t="s">
        <v>2157</v>
      </c>
      <c r="C514" t="s">
        <v>4378</v>
      </c>
      <c r="D514" t="s">
        <v>4379</v>
      </c>
      <c r="E514">
        <v>47300047066</v>
      </c>
      <c r="F514" t="s">
        <v>16</v>
      </c>
      <c r="G514" t="s">
        <v>28</v>
      </c>
      <c r="H514" t="s">
        <v>57</v>
      </c>
      <c r="K514" t="s">
        <v>3197</v>
      </c>
      <c r="L514" t="s">
        <v>19</v>
      </c>
      <c r="M514" t="s">
        <v>46</v>
      </c>
      <c r="N514" s="2">
        <v>45383</v>
      </c>
      <c r="O514" s="2">
        <v>45412</v>
      </c>
      <c r="P514">
        <v>145500</v>
      </c>
      <c r="Q514">
        <v>145500</v>
      </c>
      <c r="R514" t="s">
        <v>2960</v>
      </c>
    </row>
    <row r="515" spans="1:20" x14ac:dyDescent="0.25">
      <c r="A515" t="s">
        <v>14</v>
      </c>
      <c r="B515" t="s">
        <v>2157</v>
      </c>
      <c r="C515" t="s">
        <v>4378</v>
      </c>
      <c r="D515" t="s">
        <v>4379</v>
      </c>
      <c r="E515">
        <v>47300047066</v>
      </c>
      <c r="F515" t="s">
        <v>16</v>
      </c>
      <c r="G515" t="s">
        <v>28</v>
      </c>
      <c r="H515" t="s">
        <v>57</v>
      </c>
      <c r="K515" t="s">
        <v>2892</v>
      </c>
      <c r="L515" t="s">
        <v>19</v>
      </c>
      <c r="M515" t="s">
        <v>46</v>
      </c>
      <c r="N515" s="2">
        <v>45383</v>
      </c>
      <c r="O515" s="2">
        <v>45412</v>
      </c>
      <c r="P515">
        <v>10000</v>
      </c>
      <c r="Q515">
        <v>10000</v>
      </c>
      <c r="R515" t="s">
        <v>2960</v>
      </c>
    </row>
    <row r="516" spans="1:20" x14ac:dyDescent="0.25">
      <c r="A516" t="s">
        <v>14</v>
      </c>
      <c r="B516" t="s">
        <v>2156</v>
      </c>
      <c r="C516" t="s">
        <v>4387</v>
      </c>
      <c r="D516" t="s">
        <v>4388</v>
      </c>
      <c r="E516">
        <v>47300070845</v>
      </c>
      <c r="F516" t="s">
        <v>16</v>
      </c>
      <c r="G516" t="s">
        <v>23</v>
      </c>
      <c r="H516" t="s">
        <v>157</v>
      </c>
      <c r="K516" t="s">
        <v>3294</v>
      </c>
      <c r="L516" t="s">
        <v>19</v>
      </c>
      <c r="M516" t="s">
        <v>46</v>
      </c>
      <c r="N516" s="2">
        <v>45383</v>
      </c>
      <c r="O516" s="2">
        <v>45412</v>
      </c>
      <c r="P516">
        <v>500</v>
      </c>
      <c r="Q516">
        <v>500</v>
      </c>
      <c r="R516" t="s">
        <v>2961</v>
      </c>
    </row>
    <row r="517" spans="1:20" x14ac:dyDescent="0.25">
      <c r="A517" t="s">
        <v>14</v>
      </c>
      <c r="B517" t="s">
        <v>2156</v>
      </c>
      <c r="C517" t="s">
        <v>4409</v>
      </c>
      <c r="D517" t="s">
        <v>4410</v>
      </c>
      <c r="E517">
        <v>47300070845</v>
      </c>
      <c r="F517" t="s">
        <v>16</v>
      </c>
      <c r="G517" t="s">
        <v>23</v>
      </c>
      <c r="H517" t="s">
        <v>157</v>
      </c>
      <c r="K517" t="s">
        <v>2892</v>
      </c>
      <c r="L517" t="s">
        <v>19</v>
      </c>
      <c r="M517" t="s">
        <v>46</v>
      </c>
      <c r="N517" s="2">
        <v>45383</v>
      </c>
      <c r="O517" s="2">
        <v>45412</v>
      </c>
      <c r="P517">
        <v>10000</v>
      </c>
      <c r="Q517">
        <v>10000</v>
      </c>
      <c r="R517" t="s">
        <v>2961</v>
      </c>
    </row>
    <row r="518" spans="1:20" x14ac:dyDescent="0.25">
      <c r="A518" t="s">
        <v>14</v>
      </c>
      <c r="B518" t="s">
        <v>2155</v>
      </c>
      <c r="C518" t="s">
        <v>4419</v>
      </c>
      <c r="D518" t="s">
        <v>4368</v>
      </c>
      <c r="E518">
        <v>47300046738</v>
      </c>
      <c r="F518" t="s">
        <v>16</v>
      </c>
      <c r="G518" t="s">
        <v>28</v>
      </c>
      <c r="H518" t="s">
        <v>202</v>
      </c>
      <c r="K518" t="s">
        <v>3290</v>
      </c>
      <c r="L518" t="s">
        <v>47</v>
      </c>
      <c r="N518" s="2">
        <v>45323</v>
      </c>
      <c r="O518" s="2">
        <v>45351</v>
      </c>
      <c r="P518">
        <v>500</v>
      </c>
      <c r="Q518">
        <v>500</v>
      </c>
      <c r="R518" t="s">
        <v>3281</v>
      </c>
    </row>
    <row r="519" spans="1:20" x14ac:dyDescent="0.25">
      <c r="A519" t="s">
        <v>14</v>
      </c>
      <c r="B519" t="s">
        <v>2155</v>
      </c>
      <c r="C519" t="s">
        <v>4367</v>
      </c>
      <c r="D519" t="s">
        <v>4368</v>
      </c>
      <c r="E519">
        <v>47300046738</v>
      </c>
      <c r="F519" t="s">
        <v>16</v>
      </c>
      <c r="G519" t="s">
        <v>28</v>
      </c>
      <c r="H519" t="s">
        <v>202</v>
      </c>
      <c r="K519" t="s">
        <v>3287</v>
      </c>
      <c r="L519" t="s">
        <v>47</v>
      </c>
      <c r="N519" s="2">
        <v>45292</v>
      </c>
      <c r="O519" s="2">
        <v>45322</v>
      </c>
      <c r="P519">
        <v>500</v>
      </c>
      <c r="Q519">
        <v>500</v>
      </c>
      <c r="R519" t="s">
        <v>3281</v>
      </c>
    </row>
    <row r="520" spans="1:20" x14ac:dyDescent="0.25">
      <c r="A520" t="s">
        <v>14</v>
      </c>
      <c r="B520" t="s">
        <v>2155</v>
      </c>
      <c r="C520" t="s">
        <v>4412</v>
      </c>
      <c r="D520" t="s">
        <v>4424</v>
      </c>
      <c r="E520">
        <v>47300046738</v>
      </c>
      <c r="F520" t="s">
        <v>16</v>
      </c>
      <c r="G520" t="s">
        <v>28</v>
      </c>
      <c r="H520" t="s">
        <v>202</v>
      </c>
      <c r="K520" t="s">
        <v>3280</v>
      </c>
      <c r="L520" t="s">
        <v>47</v>
      </c>
      <c r="N520" s="2">
        <v>45352</v>
      </c>
      <c r="O520" s="2">
        <v>45382</v>
      </c>
      <c r="P520">
        <v>500</v>
      </c>
      <c r="Q520">
        <v>500</v>
      </c>
      <c r="R520" t="s">
        <v>3281</v>
      </c>
    </row>
    <row r="521" spans="1:20" x14ac:dyDescent="0.25">
      <c r="A521" t="s">
        <v>14</v>
      </c>
      <c r="B521" t="s">
        <v>2153</v>
      </c>
      <c r="C521" t="s">
        <v>4402</v>
      </c>
      <c r="D521" t="s">
        <v>4403</v>
      </c>
      <c r="E521">
        <v>47300046738</v>
      </c>
      <c r="F521" t="s">
        <v>16</v>
      </c>
      <c r="G521" t="s">
        <v>28</v>
      </c>
      <c r="H521" t="s">
        <v>202</v>
      </c>
      <c r="K521" t="s">
        <v>4229</v>
      </c>
      <c r="L521" t="s">
        <v>19</v>
      </c>
      <c r="M521" t="s">
        <v>63</v>
      </c>
      <c r="N521" s="2">
        <v>45383</v>
      </c>
      <c r="O521" s="2">
        <v>45412</v>
      </c>
      <c r="P521">
        <v>150000</v>
      </c>
      <c r="Q521">
        <v>150000</v>
      </c>
      <c r="R521" t="s">
        <v>2962</v>
      </c>
      <c r="S521" t="s">
        <v>2154</v>
      </c>
      <c r="T521">
        <v>553.1</v>
      </c>
    </row>
    <row r="522" spans="1:20" x14ac:dyDescent="0.25">
      <c r="A522" t="s">
        <v>14</v>
      </c>
      <c r="B522" t="s">
        <v>2153</v>
      </c>
      <c r="C522" t="s">
        <v>4412</v>
      </c>
      <c r="D522" t="s">
        <v>4424</v>
      </c>
      <c r="E522">
        <v>47300046738</v>
      </c>
      <c r="F522" t="s">
        <v>16</v>
      </c>
      <c r="G522" t="s">
        <v>28</v>
      </c>
      <c r="H522" t="s">
        <v>202</v>
      </c>
      <c r="K522" t="s">
        <v>3294</v>
      </c>
      <c r="L522" t="s">
        <v>19</v>
      </c>
      <c r="M522" t="s">
        <v>46</v>
      </c>
      <c r="N522" s="2">
        <v>45383</v>
      </c>
      <c r="O522" s="2">
        <v>45412</v>
      </c>
      <c r="P522">
        <v>500</v>
      </c>
      <c r="Q522">
        <v>500</v>
      </c>
      <c r="R522" t="s">
        <v>2962</v>
      </c>
    </row>
    <row r="523" spans="1:20" x14ac:dyDescent="0.25">
      <c r="A523" t="s">
        <v>14</v>
      </c>
      <c r="B523" t="s">
        <v>2153</v>
      </c>
      <c r="C523" t="s">
        <v>4412</v>
      </c>
      <c r="D523" t="s">
        <v>4424</v>
      </c>
      <c r="E523">
        <v>47300046738</v>
      </c>
      <c r="F523" t="s">
        <v>16</v>
      </c>
      <c r="G523" t="s">
        <v>28</v>
      </c>
      <c r="H523" t="s">
        <v>202</v>
      </c>
      <c r="K523" t="s">
        <v>2892</v>
      </c>
      <c r="L523" t="s">
        <v>19</v>
      </c>
      <c r="M523" t="s">
        <v>46</v>
      </c>
      <c r="N523" s="2">
        <v>45383</v>
      </c>
      <c r="O523" s="2">
        <v>45412</v>
      </c>
      <c r="P523">
        <v>10000</v>
      </c>
      <c r="Q523">
        <v>10000</v>
      </c>
      <c r="R523" t="s">
        <v>2962</v>
      </c>
    </row>
    <row r="524" spans="1:20" x14ac:dyDescent="0.25">
      <c r="A524" t="s">
        <v>14</v>
      </c>
      <c r="B524" t="s">
        <v>2151</v>
      </c>
      <c r="C524" t="s">
        <v>4412</v>
      </c>
      <c r="D524" t="s">
        <v>4424</v>
      </c>
      <c r="E524">
        <v>47300026094</v>
      </c>
      <c r="F524" t="s">
        <v>35</v>
      </c>
      <c r="G524" t="s">
        <v>36</v>
      </c>
      <c r="H524" t="s">
        <v>4359</v>
      </c>
      <c r="K524" t="s">
        <v>4229</v>
      </c>
      <c r="L524" t="s">
        <v>19</v>
      </c>
      <c r="M524" t="s">
        <v>63</v>
      </c>
      <c r="N524" s="2">
        <v>45383</v>
      </c>
      <c r="O524" s="2">
        <v>45412</v>
      </c>
      <c r="P524">
        <v>100000</v>
      </c>
      <c r="Q524">
        <v>100000</v>
      </c>
      <c r="R524" t="s">
        <v>3366</v>
      </c>
      <c r="S524" t="s">
        <v>2152</v>
      </c>
      <c r="T524">
        <v>368.8</v>
      </c>
    </row>
    <row r="525" spans="1:20" x14ac:dyDescent="0.25">
      <c r="A525" t="s">
        <v>14</v>
      </c>
      <c r="B525" t="s">
        <v>2151</v>
      </c>
      <c r="C525" t="s">
        <v>4387</v>
      </c>
      <c r="D525" t="s">
        <v>4388</v>
      </c>
      <c r="E525">
        <v>47300026094</v>
      </c>
      <c r="F525" t="s">
        <v>35</v>
      </c>
      <c r="G525" t="s">
        <v>36</v>
      </c>
      <c r="H525" t="s">
        <v>4359</v>
      </c>
      <c r="K525" t="s">
        <v>3294</v>
      </c>
      <c r="L525" t="s">
        <v>19</v>
      </c>
      <c r="M525" t="s">
        <v>46</v>
      </c>
      <c r="N525" s="2">
        <v>45383</v>
      </c>
      <c r="O525" s="2">
        <v>45412</v>
      </c>
      <c r="P525">
        <v>500</v>
      </c>
      <c r="Q525">
        <v>500</v>
      </c>
      <c r="R525" t="s">
        <v>3366</v>
      </c>
    </row>
    <row r="526" spans="1:20" x14ac:dyDescent="0.25">
      <c r="A526" t="s">
        <v>14</v>
      </c>
      <c r="B526" t="s">
        <v>2149</v>
      </c>
      <c r="C526" t="s">
        <v>4409</v>
      </c>
      <c r="D526" t="s">
        <v>4410</v>
      </c>
      <c r="E526">
        <v>47300020147</v>
      </c>
      <c r="F526" t="s">
        <v>35</v>
      </c>
      <c r="G526" t="s">
        <v>36</v>
      </c>
      <c r="H526" t="s">
        <v>4363</v>
      </c>
      <c r="K526" t="s">
        <v>4229</v>
      </c>
      <c r="L526" t="s">
        <v>19</v>
      </c>
      <c r="M526" t="s">
        <v>63</v>
      </c>
      <c r="N526" s="2">
        <v>45383</v>
      </c>
      <c r="O526" s="2">
        <v>45412</v>
      </c>
      <c r="P526">
        <v>50000</v>
      </c>
      <c r="Q526">
        <v>50000</v>
      </c>
      <c r="R526" t="s">
        <v>3367</v>
      </c>
      <c r="S526" t="s">
        <v>2150</v>
      </c>
      <c r="T526">
        <v>184.4</v>
      </c>
    </row>
    <row r="527" spans="1:20" x14ac:dyDescent="0.25">
      <c r="A527" t="s">
        <v>14</v>
      </c>
      <c r="B527" t="s">
        <v>2149</v>
      </c>
      <c r="C527" t="s">
        <v>4419</v>
      </c>
      <c r="D527" t="s">
        <v>4368</v>
      </c>
      <c r="E527">
        <v>47300020147</v>
      </c>
      <c r="F527" t="s">
        <v>35</v>
      </c>
      <c r="G527" t="s">
        <v>36</v>
      </c>
      <c r="H527" t="s">
        <v>4363</v>
      </c>
      <c r="K527" t="s">
        <v>3294</v>
      </c>
      <c r="L527" t="s">
        <v>19</v>
      </c>
      <c r="M527" t="s">
        <v>46</v>
      </c>
      <c r="N527" s="2">
        <v>45383</v>
      </c>
      <c r="O527" s="2">
        <v>45412</v>
      </c>
      <c r="P527">
        <v>500</v>
      </c>
      <c r="Q527">
        <v>500</v>
      </c>
      <c r="R527" t="s">
        <v>3367</v>
      </c>
    </row>
    <row r="528" spans="1:20" x14ac:dyDescent="0.25">
      <c r="A528" t="s">
        <v>14</v>
      </c>
      <c r="B528" t="s">
        <v>2147</v>
      </c>
      <c r="C528" t="s">
        <v>4367</v>
      </c>
      <c r="D528" t="s">
        <v>4368</v>
      </c>
      <c r="E528">
        <v>47300026185</v>
      </c>
      <c r="F528" t="s">
        <v>35</v>
      </c>
      <c r="G528" t="s">
        <v>36</v>
      </c>
      <c r="H528" t="s">
        <v>4361</v>
      </c>
      <c r="K528" t="s">
        <v>4229</v>
      </c>
      <c r="L528" t="s">
        <v>19</v>
      </c>
      <c r="M528" t="s">
        <v>63</v>
      </c>
      <c r="N528" s="2">
        <v>45383</v>
      </c>
      <c r="O528" s="2">
        <v>45412</v>
      </c>
      <c r="P528">
        <v>50000</v>
      </c>
      <c r="Q528">
        <v>50000</v>
      </c>
      <c r="R528" t="s">
        <v>3368</v>
      </c>
      <c r="S528" t="s">
        <v>2148</v>
      </c>
      <c r="T528">
        <v>184.4</v>
      </c>
    </row>
    <row r="529" spans="1:25" x14ac:dyDescent="0.25">
      <c r="A529" t="s">
        <v>14</v>
      </c>
      <c r="B529" t="s">
        <v>2147</v>
      </c>
      <c r="C529" t="s">
        <v>4412</v>
      </c>
      <c r="D529" t="s">
        <v>4424</v>
      </c>
      <c r="E529">
        <v>47300026185</v>
      </c>
      <c r="F529" t="s">
        <v>35</v>
      </c>
      <c r="G529" t="s">
        <v>36</v>
      </c>
      <c r="H529" t="s">
        <v>4361</v>
      </c>
      <c r="K529" t="s">
        <v>3294</v>
      </c>
      <c r="L529" t="s">
        <v>19</v>
      </c>
      <c r="M529" t="s">
        <v>46</v>
      </c>
      <c r="N529" s="2">
        <v>45383</v>
      </c>
      <c r="O529" s="2">
        <v>45412</v>
      </c>
      <c r="P529">
        <v>500</v>
      </c>
      <c r="Q529">
        <v>500</v>
      </c>
      <c r="R529" t="s">
        <v>3368</v>
      </c>
    </row>
    <row r="530" spans="1:25" x14ac:dyDescent="0.25">
      <c r="A530" t="s">
        <v>14</v>
      </c>
      <c r="B530" t="s">
        <v>2145</v>
      </c>
      <c r="C530" t="s">
        <v>4387</v>
      </c>
      <c r="D530" t="s">
        <v>4388</v>
      </c>
      <c r="E530">
        <v>47300046761</v>
      </c>
      <c r="F530" t="s">
        <v>42</v>
      </c>
      <c r="G530" t="s">
        <v>28</v>
      </c>
      <c r="H530" t="s">
        <v>43</v>
      </c>
      <c r="K530" t="s">
        <v>4229</v>
      </c>
      <c r="L530" t="s">
        <v>19</v>
      </c>
      <c r="M530" t="s">
        <v>63</v>
      </c>
      <c r="N530" s="2">
        <v>45383</v>
      </c>
      <c r="O530" s="2">
        <v>45412</v>
      </c>
      <c r="P530">
        <v>50000</v>
      </c>
      <c r="Q530">
        <v>50000</v>
      </c>
      <c r="R530" t="s">
        <v>2963</v>
      </c>
      <c r="S530" t="s">
        <v>2146</v>
      </c>
      <c r="T530">
        <v>184.4</v>
      </c>
    </row>
    <row r="531" spans="1:25" x14ac:dyDescent="0.25">
      <c r="A531" t="s">
        <v>14</v>
      </c>
      <c r="B531" t="s">
        <v>2145</v>
      </c>
      <c r="C531" t="s">
        <v>4387</v>
      </c>
      <c r="D531" t="s">
        <v>4388</v>
      </c>
      <c r="E531">
        <v>47300046761</v>
      </c>
      <c r="F531" t="s">
        <v>42</v>
      </c>
      <c r="G531" t="s">
        <v>28</v>
      </c>
      <c r="H531" t="s">
        <v>43</v>
      </c>
      <c r="K531" t="s">
        <v>3294</v>
      </c>
      <c r="L531" t="s">
        <v>19</v>
      </c>
      <c r="M531" t="s">
        <v>46</v>
      </c>
      <c r="N531" s="2">
        <v>45383</v>
      </c>
      <c r="O531" s="2">
        <v>45412</v>
      </c>
      <c r="P531">
        <v>500</v>
      </c>
      <c r="Q531">
        <v>500</v>
      </c>
      <c r="R531" t="s">
        <v>2963</v>
      </c>
    </row>
    <row r="532" spans="1:25" x14ac:dyDescent="0.25">
      <c r="A532" t="s">
        <v>14</v>
      </c>
      <c r="B532" t="s">
        <v>2145</v>
      </c>
      <c r="C532" t="s">
        <v>4412</v>
      </c>
      <c r="D532" t="s">
        <v>4424</v>
      </c>
      <c r="E532">
        <v>47300046761</v>
      </c>
      <c r="F532" t="s">
        <v>42</v>
      </c>
      <c r="G532" t="s">
        <v>28</v>
      </c>
      <c r="H532" t="s">
        <v>43</v>
      </c>
      <c r="K532" t="s">
        <v>3197</v>
      </c>
      <c r="L532" t="s">
        <v>19</v>
      </c>
      <c r="M532" t="s">
        <v>46</v>
      </c>
      <c r="N532" s="2">
        <v>45383</v>
      </c>
      <c r="O532" s="2">
        <v>45412</v>
      </c>
      <c r="P532">
        <v>145500</v>
      </c>
      <c r="Q532">
        <v>145500</v>
      </c>
      <c r="R532" t="s">
        <v>2963</v>
      </c>
    </row>
    <row r="533" spans="1:25" x14ac:dyDescent="0.25">
      <c r="A533" t="s">
        <v>14</v>
      </c>
      <c r="B533" t="s">
        <v>2145</v>
      </c>
      <c r="C533" t="s">
        <v>4402</v>
      </c>
      <c r="D533" t="s">
        <v>4403</v>
      </c>
      <c r="E533">
        <v>47300046761</v>
      </c>
      <c r="F533" t="s">
        <v>42</v>
      </c>
      <c r="G533" t="s">
        <v>28</v>
      </c>
      <c r="H533" t="s">
        <v>43</v>
      </c>
      <c r="K533" t="s">
        <v>2892</v>
      </c>
      <c r="L533" t="s">
        <v>19</v>
      </c>
      <c r="M533" t="s">
        <v>46</v>
      </c>
      <c r="N533" s="2">
        <v>45383</v>
      </c>
      <c r="O533" s="2">
        <v>45412</v>
      </c>
      <c r="P533">
        <v>10000</v>
      </c>
      <c r="Q533">
        <v>10000</v>
      </c>
      <c r="R533" t="s">
        <v>2963</v>
      </c>
    </row>
    <row r="534" spans="1:25" x14ac:dyDescent="0.25">
      <c r="A534" t="s">
        <v>14</v>
      </c>
      <c r="B534" t="s">
        <v>2144</v>
      </c>
      <c r="C534" t="s">
        <v>4376</v>
      </c>
      <c r="D534" t="s">
        <v>4407</v>
      </c>
      <c r="E534">
        <v>47300046688</v>
      </c>
      <c r="F534" t="s">
        <v>16</v>
      </c>
      <c r="G534" t="s">
        <v>17</v>
      </c>
      <c r="H534" t="s">
        <v>154</v>
      </c>
      <c r="K534" t="s">
        <v>3294</v>
      </c>
      <c r="L534" t="s">
        <v>19</v>
      </c>
      <c r="M534" t="s">
        <v>46</v>
      </c>
      <c r="N534" s="2">
        <v>45383</v>
      </c>
      <c r="O534" s="2">
        <v>45412</v>
      </c>
      <c r="P534">
        <v>500</v>
      </c>
      <c r="Q534">
        <v>500</v>
      </c>
      <c r="R534" t="s">
        <v>3369</v>
      </c>
    </row>
    <row r="535" spans="1:25" x14ac:dyDescent="0.25">
      <c r="A535" t="s">
        <v>14</v>
      </c>
      <c r="B535" t="s">
        <v>2142</v>
      </c>
      <c r="C535" t="s">
        <v>4394</v>
      </c>
      <c r="D535" t="s">
        <v>4395</v>
      </c>
      <c r="E535">
        <v>47300046688</v>
      </c>
      <c r="F535" t="s">
        <v>16</v>
      </c>
      <c r="G535" t="s">
        <v>17</v>
      </c>
      <c r="H535" t="s">
        <v>154</v>
      </c>
      <c r="K535" t="s">
        <v>4229</v>
      </c>
      <c r="L535" t="s">
        <v>19</v>
      </c>
      <c r="M535" t="s">
        <v>63</v>
      </c>
      <c r="N535" s="2">
        <v>45383</v>
      </c>
      <c r="O535" s="2">
        <v>45412</v>
      </c>
      <c r="P535">
        <v>120000</v>
      </c>
      <c r="Q535">
        <v>120000</v>
      </c>
      <c r="R535" t="s">
        <v>4252</v>
      </c>
      <c r="S535" t="s">
        <v>2143</v>
      </c>
      <c r="T535">
        <v>442.6</v>
      </c>
    </row>
    <row r="536" spans="1:25" x14ac:dyDescent="0.25">
      <c r="A536" t="s">
        <v>14</v>
      </c>
      <c r="B536" t="s">
        <v>2140</v>
      </c>
      <c r="C536" t="s">
        <v>4406</v>
      </c>
      <c r="D536" t="s">
        <v>4394</v>
      </c>
      <c r="E536">
        <v>47300046241</v>
      </c>
      <c r="F536" t="s">
        <v>16</v>
      </c>
      <c r="G536" t="s">
        <v>23</v>
      </c>
      <c r="H536" t="s">
        <v>24</v>
      </c>
      <c r="I536" t="s">
        <v>2754</v>
      </c>
      <c r="J536">
        <v>0</v>
      </c>
      <c r="K536" t="s">
        <v>4229</v>
      </c>
      <c r="L536" t="s">
        <v>19</v>
      </c>
      <c r="M536" t="s">
        <v>63</v>
      </c>
      <c r="N536" s="2">
        <v>45383</v>
      </c>
      <c r="O536" s="2">
        <v>45412</v>
      </c>
      <c r="P536">
        <v>20000</v>
      </c>
      <c r="Q536">
        <v>20000</v>
      </c>
      <c r="R536" t="s">
        <v>2964</v>
      </c>
      <c r="S536" t="s">
        <v>2141</v>
      </c>
      <c r="T536">
        <v>73.7</v>
      </c>
    </row>
    <row r="537" spans="1:25" x14ac:dyDescent="0.25">
      <c r="A537" t="s">
        <v>14</v>
      </c>
      <c r="B537" t="s">
        <v>2140</v>
      </c>
      <c r="C537" t="s">
        <v>4376</v>
      </c>
      <c r="D537" t="s">
        <v>4407</v>
      </c>
      <c r="E537">
        <v>47300046241</v>
      </c>
      <c r="F537" t="s">
        <v>16</v>
      </c>
      <c r="G537" t="s">
        <v>23</v>
      </c>
      <c r="H537" t="s">
        <v>24</v>
      </c>
      <c r="I537" t="s">
        <v>2754</v>
      </c>
      <c r="J537">
        <v>0</v>
      </c>
      <c r="K537" t="s">
        <v>3294</v>
      </c>
      <c r="L537" t="s">
        <v>19</v>
      </c>
      <c r="M537" t="s">
        <v>46</v>
      </c>
      <c r="N537" s="2">
        <v>45383</v>
      </c>
      <c r="O537" s="2">
        <v>45412</v>
      </c>
      <c r="P537">
        <v>500</v>
      </c>
      <c r="Q537">
        <v>500</v>
      </c>
      <c r="R537" t="s">
        <v>2964</v>
      </c>
    </row>
    <row r="538" spans="1:25" x14ac:dyDescent="0.25">
      <c r="A538" t="s">
        <v>14</v>
      </c>
      <c r="B538" t="s">
        <v>2140</v>
      </c>
      <c r="C538" t="s">
        <v>4394</v>
      </c>
      <c r="D538" t="s">
        <v>4395</v>
      </c>
      <c r="E538">
        <v>47300046241</v>
      </c>
      <c r="F538" t="s">
        <v>16</v>
      </c>
      <c r="G538" t="s">
        <v>23</v>
      </c>
      <c r="H538" t="s">
        <v>24</v>
      </c>
      <c r="I538" t="s">
        <v>2754</v>
      </c>
      <c r="J538">
        <v>0</v>
      </c>
      <c r="K538" t="s">
        <v>2892</v>
      </c>
      <c r="L538" t="s">
        <v>19</v>
      </c>
      <c r="M538" t="s">
        <v>46</v>
      </c>
      <c r="N538" s="2">
        <v>45383</v>
      </c>
      <c r="O538" s="2">
        <v>45412</v>
      </c>
      <c r="P538">
        <v>10000</v>
      </c>
      <c r="Q538">
        <v>10000</v>
      </c>
      <c r="R538" t="s">
        <v>2964</v>
      </c>
    </row>
    <row r="539" spans="1:25" x14ac:dyDescent="0.25">
      <c r="A539" t="s">
        <v>14</v>
      </c>
      <c r="B539" t="s">
        <v>2138</v>
      </c>
      <c r="C539" t="s">
        <v>4406</v>
      </c>
      <c r="D539" t="s">
        <v>4394</v>
      </c>
      <c r="E539">
        <v>47300070654</v>
      </c>
      <c r="F539" t="s">
        <v>16</v>
      </c>
      <c r="G539" t="s">
        <v>28</v>
      </c>
      <c r="H539" t="s">
        <v>217</v>
      </c>
      <c r="K539" t="s">
        <v>3557</v>
      </c>
      <c r="L539" t="s">
        <v>19</v>
      </c>
      <c r="M539" t="s">
        <v>20</v>
      </c>
      <c r="P539">
        <v>21000</v>
      </c>
      <c r="Q539">
        <v>21000</v>
      </c>
      <c r="R539" t="s">
        <v>3677</v>
      </c>
      <c r="S539" t="s">
        <v>2139</v>
      </c>
      <c r="T539">
        <v>77.400000000000006</v>
      </c>
    </row>
    <row r="540" spans="1:25" x14ac:dyDescent="0.25">
      <c r="A540" t="s">
        <v>14</v>
      </c>
      <c r="B540" t="s">
        <v>2136</v>
      </c>
      <c r="C540" t="s">
        <v>4369</v>
      </c>
      <c r="D540" t="s">
        <v>4370</v>
      </c>
      <c r="E540">
        <v>47300086445</v>
      </c>
      <c r="F540" t="s">
        <v>16</v>
      </c>
      <c r="G540" t="s">
        <v>28</v>
      </c>
      <c r="H540" t="s">
        <v>187</v>
      </c>
      <c r="I540" t="s">
        <v>2777</v>
      </c>
      <c r="J540" t="s">
        <v>2776</v>
      </c>
      <c r="K540" t="s">
        <v>3557</v>
      </c>
      <c r="L540" t="s">
        <v>19</v>
      </c>
      <c r="M540" t="s">
        <v>20</v>
      </c>
      <c r="P540">
        <v>35000</v>
      </c>
      <c r="Q540">
        <v>35000</v>
      </c>
      <c r="R540" t="s">
        <v>3678</v>
      </c>
      <c r="S540" t="s">
        <v>2137</v>
      </c>
      <c r="T540">
        <v>129.1</v>
      </c>
    </row>
    <row r="541" spans="1:25" x14ac:dyDescent="0.25">
      <c r="A541" t="s">
        <v>14</v>
      </c>
      <c r="B541" t="s">
        <v>2134</v>
      </c>
      <c r="C541" t="s">
        <v>4365</v>
      </c>
      <c r="D541" t="s">
        <v>4403</v>
      </c>
      <c r="E541">
        <v>47300070589</v>
      </c>
      <c r="F541" t="s">
        <v>16</v>
      </c>
      <c r="G541" t="s">
        <v>28</v>
      </c>
      <c r="H541" t="s">
        <v>221</v>
      </c>
      <c r="K541" t="s">
        <v>4229</v>
      </c>
      <c r="L541" t="s">
        <v>19</v>
      </c>
      <c r="M541" t="s">
        <v>63</v>
      </c>
      <c r="N541" s="2">
        <v>45383</v>
      </c>
      <c r="O541" s="2">
        <v>45412</v>
      </c>
      <c r="P541">
        <v>20000</v>
      </c>
      <c r="Q541">
        <v>20000</v>
      </c>
      <c r="R541" t="s">
        <v>3370</v>
      </c>
      <c r="S541" t="s">
        <v>2135</v>
      </c>
      <c r="T541">
        <v>73.7</v>
      </c>
    </row>
    <row r="542" spans="1:25" x14ac:dyDescent="0.25">
      <c r="A542" t="s">
        <v>14</v>
      </c>
      <c r="B542" t="s">
        <v>2134</v>
      </c>
      <c r="C542" t="s">
        <v>4394</v>
      </c>
      <c r="D542" t="s">
        <v>4395</v>
      </c>
      <c r="E542">
        <v>47300070589</v>
      </c>
      <c r="F542" t="s">
        <v>16</v>
      </c>
      <c r="G542" t="s">
        <v>28</v>
      </c>
      <c r="H542" t="s">
        <v>221</v>
      </c>
      <c r="K542" t="s">
        <v>3294</v>
      </c>
      <c r="L542" t="s">
        <v>19</v>
      </c>
      <c r="M542" t="s">
        <v>46</v>
      </c>
      <c r="N542" s="2">
        <v>45383</v>
      </c>
      <c r="O542" s="2">
        <v>45412</v>
      </c>
      <c r="P542">
        <v>500</v>
      </c>
      <c r="Q542">
        <v>500</v>
      </c>
      <c r="R542" t="s">
        <v>3370</v>
      </c>
    </row>
    <row r="543" spans="1:25" x14ac:dyDescent="0.25">
      <c r="A543" t="s">
        <v>14</v>
      </c>
      <c r="B543" t="s">
        <v>2132</v>
      </c>
      <c r="C543" t="s">
        <v>4394</v>
      </c>
      <c r="D543" t="s">
        <v>4421</v>
      </c>
      <c r="E543">
        <v>47300070498</v>
      </c>
      <c r="F543" t="s">
        <v>16</v>
      </c>
      <c r="G543" t="s">
        <v>28</v>
      </c>
      <c r="H543" t="s">
        <v>794</v>
      </c>
      <c r="I543" t="s">
        <v>2853</v>
      </c>
      <c r="J543" t="s">
        <v>2852</v>
      </c>
      <c r="K543" t="s">
        <v>4229</v>
      </c>
      <c r="L543" t="s">
        <v>19</v>
      </c>
      <c r="M543" t="s">
        <v>63</v>
      </c>
      <c r="N543" s="2">
        <v>45383</v>
      </c>
      <c r="O543" s="2">
        <v>45412</v>
      </c>
      <c r="P543">
        <v>10000</v>
      </c>
      <c r="Q543">
        <v>10000</v>
      </c>
      <c r="R543" t="s">
        <v>2965</v>
      </c>
      <c r="S543" t="s">
        <v>2133</v>
      </c>
      <c r="T543">
        <v>36.9</v>
      </c>
      <c r="X543" t="s">
        <v>4422</v>
      </c>
      <c r="Y543" t="s">
        <v>4423</v>
      </c>
    </row>
    <row r="544" spans="1:25" x14ac:dyDescent="0.25">
      <c r="A544" t="s">
        <v>14</v>
      </c>
      <c r="B544" t="s">
        <v>2132</v>
      </c>
      <c r="C544" t="s">
        <v>4394</v>
      </c>
      <c r="D544" t="s">
        <v>4421</v>
      </c>
      <c r="E544">
        <v>47300070498</v>
      </c>
      <c r="F544" t="s">
        <v>16</v>
      </c>
      <c r="G544" t="s">
        <v>28</v>
      </c>
      <c r="H544" t="s">
        <v>794</v>
      </c>
      <c r="I544" t="s">
        <v>2853</v>
      </c>
      <c r="J544" t="s">
        <v>2852</v>
      </c>
      <c r="K544" t="s">
        <v>3294</v>
      </c>
      <c r="L544" t="s">
        <v>19</v>
      </c>
      <c r="M544" t="s">
        <v>46</v>
      </c>
      <c r="N544" s="2">
        <v>45383</v>
      </c>
      <c r="O544" s="2">
        <v>45412</v>
      </c>
      <c r="P544">
        <v>500</v>
      </c>
      <c r="Q544">
        <v>500</v>
      </c>
      <c r="R544" t="s">
        <v>2965</v>
      </c>
      <c r="X544" t="s">
        <v>4422</v>
      </c>
      <c r="Y544" t="s">
        <v>4423</v>
      </c>
    </row>
    <row r="545" spans="1:25" x14ac:dyDescent="0.25">
      <c r="A545" t="s">
        <v>14</v>
      </c>
      <c r="B545" t="s">
        <v>2132</v>
      </c>
      <c r="C545" t="s">
        <v>4394</v>
      </c>
      <c r="D545" t="s">
        <v>4421</v>
      </c>
      <c r="E545">
        <v>47300070498</v>
      </c>
      <c r="F545" t="s">
        <v>16</v>
      </c>
      <c r="G545" t="s">
        <v>28</v>
      </c>
      <c r="H545" t="s">
        <v>794</v>
      </c>
      <c r="I545" t="s">
        <v>2853</v>
      </c>
      <c r="J545" t="s">
        <v>2852</v>
      </c>
      <c r="K545" t="s">
        <v>3197</v>
      </c>
      <c r="L545" t="s">
        <v>19</v>
      </c>
      <c r="M545" t="s">
        <v>46</v>
      </c>
      <c r="N545" s="2">
        <v>45383</v>
      </c>
      <c r="O545" s="2">
        <v>45412</v>
      </c>
      <c r="P545">
        <v>145500</v>
      </c>
      <c r="Q545">
        <v>145500</v>
      </c>
      <c r="R545" t="s">
        <v>2965</v>
      </c>
      <c r="X545" t="s">
        <v>4422</v>
      </c>
      <c r="Y545" t="s">
        <v>4423</v>
      </c>
    </row>
    <row r="546" spans="1:25" x14ac:dyDescent="0.25">
      <c r="A546" t="s">
        <v>14</v>
      </c>
      <c r="B546" t="s">
        <v>2132</v>
      </c>
      <c r="C546" t="s">
        <v>4394</v>
      </c>
      <c r="D546" t="s">
        <v>4421</v>
      </c>
      <c r="E546">
        <v>47300070498</v>
      </c>
      <c r="F546" t="s">
        <v>16</v>
      </c>
      <c r="G546" t="s">
        <v>28</v>
      </c>
      <c r="H546" t="s">
        <v>794</v>
      </c>
      <c r="I546" t="s">
        <v>2853</v>
      </c>
      <c r="J546" t="s">
        <v>2852</v>
      </c>
      <c r="K546" t="s">
        <v>2892</v>
      </c>
      <c r="L546" t="s">
        <v>19</v>
      </c>
      <c r="M546" t="s">
        <v>46</v>
      </c>
      <c r="N546" s="2">
        <v>45383</v>
      </c>
      <c r="O546" s="2">
        <v>45412</v>
      </c>
      <c r="P546">
        <v>10000</v>
      </c>
      <c r="Q546">
        <v>10000</v>
      </c>
      <c r="R546" t="s">
        <v>2965</v>
      </c>
      <c r="X546" t="s">
        <v>4422</v>
      </c>
      <c r="Y546" t="s">
        <v>4423</v>
      </c>
    </row>
    <row r="547" spans="1:25" x14ac:dyDescent="0.25">
      <c r="A547" t="s">
        <v>14</v>
      </c>
      <c r="B547" t="s">
        <v>2130</v>
      </c>
      <c r="C547" t="s">
        <v>4394</v>
      </c>
      <c r="D547" t="s">
        <v>4421</v>
      </c>
      <c r="E547">
        <v>47300070498</v>
      </c>
      <c r="F547" t="s">
        <v>16</v>
      </c>
      <c r="G547" t="s">
        <v>28</v>
      </c>
      <c r="H547" t="s">
        <v>794</v>
      </c>
      <c r="I547" t="s">
        <v>2853</v>
      </c>
      <c r="J547" t="s">
        <v>2852</v>
      </c>
      <c r="K547" t="s">
        <v>3557</v>
      </c>
      <c r="L547" t="s">
        <v>19</v>
      </c>
      <c r="M547" t="s">
        <v>20</v>
      </c>
      <c r="P547">
        <v>45000</v>
      </c>
      <c r="Q547">
        <v>45000</v>
      </c>
      <c r="R547" t="s">
        <v>3679</v>
      </c>
      <c r="S547" t="s">
        <v>2131</v>
      </c>
      <c r="T547">
        <v>166</v>
      </c>
      <c r="X547" t="s">
        <v>4422</v>
      </c>
      <c r="Y547" t="s">
        <v>4423</v>
      </c>
    </row>
    <row r="548" spans="1:25" x14ac:dyDescent="0.25">
      <c r="A548" t="s">
        <v>14</v>
      </c>
      <c r="B548" t="s">
        <v>2128</v>
      </c>
      <c r="C548" t="s">
        <v>4414</v>
      </c>
      <c r="D548" t="s">
        <v>4401</v>
      </c>
      <c r="E548">
        <v>47300070555</v>
      </c>
      <c r="F548" t="s">
        <v>35</v>
      </c>
      <c r="G548" t="s">
        <v>35</v>
      </c>
      <c r="H548" t="s">
        <v>116</v>
      </c>
      <c r="K548" t="s">
        <v>4229</v>
      </c>
      <c r="L548" t="s">
        <v>19</v>
      </c>
      <c r="M548" t="s">
        <v>63</v>
      </c>
      <c r="N548" s="2">
        <v>45383</v>
      </c>
      <c r="O548" s="2">
        <v>45412</v>
      </c>
      <c r="P548">
        <v>20000</v>
      </c>
      <c r="Q548">
        <v>20000</v>
      </c>
      <c r="R548" t="s">
        <v>3371</v>
      </c>
      <c r="S548" t="s">
        <v>2129</v>
      </c>
      <c r="T548">
        <v>73.7</v>
      </c>
    </row>
    <row r="549" spans="1:25" x14ac:dyDescent="0.25">
      <c r="A549" t="s">
        <v>14</v>
      </c>
      <c r="B549" t="s">
        <v>2128</v>
      </c>
      <c r="C549" t="s">
        <v>4412</v>
      </c>
      <c r="D549" t="s">
        <v>4377</v>
      </c>
      <c r="E549">
        <v>47300070555</v>
      </c>
      <c r="F549" t="s">
        <v>35</v>
      </c>
      <c r="G549" t="s">
        <v>35</v>
      </c>
      <c r="H549" t="s">
        <v>116</v>
      </c>
      <c r="K549" t="s">
        <v>3294</v>
      </c>
      <c r="L549" t="s">
        <v>19</v>
      </c>
      <c r="M549" t="s">
        <v>46</v>
      </c>
      <c r="N549" s="2">
        <v>45383</v>
      </c>
      <c r="O549" s="2">
        <v>45412</v>
      </c>
      <c r="P549">
        <v>500</v>
      </c>
      <c r="Q549">
        <v>500</v>
      </c>
      <c r="R549" t="s">
        <v>3371</v>
      </c>
    </row>
    <row r="550" spans="1:25" x14ac:dyDescent="0.25">
      <c r="A550" t="s">
        <v>14</v>
      </c>
      <c r="B550" t="s">
        <v>2126</v>
      </c>
      <c r="C550" t="s">
        <v>4386</v>
      </c>
      <c r="D550" t="s">
        <v>4368</v>
      </c>
      <c r="E550">
        <v>47300026094</v>
      </c>
      <c r="F550" t="s">
        <v>35</v>
      </c>
      <c r="G550" t="s">
        <v>36</v>
      </c>
      <c r="H550" t="s">
        <v>4359</v>
      </c>
      <c r="K550" t="s">
        <v>3557</v>
      </c>
      <c r="L550" t="s">
        <v>19</v>
      </c>
      <c r="M550" t="s">
        <v>20</v>
      </c>
      <c r="P550">
        <v>100000</v>
      </c>
      <c r="Q550">
        <v>100000</v>
      </c>
      <c r="R550" t="s">
        <v>3680</v>
      </c>
      <c r="S550" t="s">
        <v>2127</v>
      </c>
      <c r="T550">
        <v>368.8</v>
      </c>
    </row>
    <row r="551" spans="1:25" x14ac:dyDescent="0.25">
      <c r="A551" t="s">
        <v>14</v>
      </c>
      <c r="B551" t="s">
        <v>2124</v>
      </c>
      <c r="C551" t="s">
        <v>4371</v>
      </c>
      <c r="D551" t="s">
        <v>4368</v>
      </c>
      <c r="E551">
        <v>47300025708</v>
      </c>
      <c r="F551" t="s">
        <v>35</v>
      </c>
      <c r="G551" t="s">
        <v>36</v>
      </c>
      <c r="H551" t="s">
        <v>4360</v>
      </c>
      <c r="K551" t="s">
        <v>4229</v>
      </c>
      <c r="L551" t="s">
        <v>19</v>
      </c>
      <c r="M551" t="s">
        <v>63</v>
      </c>
      <c r="N551" s="2">
        <v>45383</v>
      </c>
      <c r="O551" s="2">
        <v>45412</v>
      </c>
      <c r="P551">
        <v>50000</v>
      </c>
      <c r="Q551">
        <v>50000</v>
      </c>
      <c r="R551" t="s">
        <v>3372</v>
      </c>
      <c r="S551" t="s">
        <v>2125</v>
      </c>
      <c r="T551">
        <v>184.4</v>
      </c>
    </row>
    <row r="552" spans="1:25" x14ac:dyDescent="0.25">
      <c r="A552" t="s">
        <v>14</v>
      </c>
      <c r="B552" t="s">
        <v>2124</v>
      </c>
      <c r="C552" t="s">
        <v>3300</v>
      </c>
      <c r="D552" t="s">
        <v>3299</v>
      </c>
      <c r="E552">
        <v>47300025708</v>
      </c>
      <c r="F552" t="s">
        <v>35</v>
      </c>
      <c r="G552" t="s">
        <v>36</v>
      </c>
      <c r="H552" t="s">
        <v>4360</v>
      </c>
      <c r="K552" t="s">
        <v>3294</v>
      </c>
      <c r="L552" t="s">
        <v>19</v>
      </c>
      <c r="M552" t="s">
        <v>46</v>
      </c>
      <c r="N552" s="2">
        <v>45383</v>
      </c>
      <c r="O552" s="2">
        <v>45412</v>
      </c>
      <c r="P552">
        <v>500</v>
      </c>
      <c r="Q552">
        <v>500</v>
      </c>
      <c r="R552" t="s">
        <v>3372</v>
      </c>
    </row>
    <row r="553" spans="1:25" x14ac:dyDescent="0.25">
      <c r="A553" t="s">
        <v>14</v>
      </c>
      <c r="B553" t="s">
        <v>2122</v>
      </c>
      <c r="C553" t="s">
        <v>4414</v>
      </c>
      <c r="D553" t="s">
        <v>4401</v>
      </c>
      <c r="E553">
        <v>47300025690</v>
      </c>
      <c r="F553" t="s">
        <v>35</v>
      </c>
      <c r="G553" t="s">
        <v>36</v>
      </c>
      <c r="H553" t="s">
        <v>37</v>
      </c>
      <c r="K553" t="s">
        <v>4229</v>
      </c>
      <c r="L553" t="s">
        <v>19</v>
      </c>
      <c r="M553" t="s">
        <v>63</v>
      </c>
      <c r="N553" s="2">
        <v>45383</v>
      </c>
      <c r="O553" s="2">
        <v>45412</v>
      </c>
      <c r="P553">
        <v>50000</v>
      </c>
      <c r="Q553">
        <v>50000</v>
      </c>
      <c r="R553" t="s">
        <v>3373</v>
      </c>
      <c r="S553" t="s">
        <v>2123</v>
      </c>
      <c r="T553">
        <v>184.4</v>
      </c>
    </row>
    <row r="554" spans="1:25" x14ac:dyDescent="0.25">
      <c r="A554" t="s">
        <v>14</v>
      </c>
      <c r="B554" t="s">
        <v>2122</v>
      </c>
      <c r="C554" t="s">
        <v>4412</v>
      </c>
      <c r="D554" t="s">
        <v>4377</v>
      </c>
      <c r="E554">
        <v>47300025690</v>
      </c>
      <c r="F554" t="s">
        <v>35</v>
      </c>
      <c r="G554" t="s">
        <v>36</v>
      </c>
      <c r="H554" t="s">
        <v>37</v>
      </c>
      <c r="K554" t="s">
        <v>3294</v>
      </c>
      <c r="L554" t="s">
        <v>19</v>
      </c>
      <c r="M554" t="s">
        <v>46</v>
      </c>
      <c r="N554" s="2">
        <v>45383</v>
      </c>
      <c r="O554" s="2">
        <v>45412</v>
      </c>
      <c r="P554">
        <v>500</v>
      </c>
      <c r="Q554">
        <v>500</v>
      </c>
      <c r="R554" t="s">
        <v>3373</v>
      </c>
    </row>
    <row r="555" spans="1:25" x14ac:dyDescent="0.25">
      <c r="A555" t="s">
        <v>14</v>
      </c>
      <c r="B555" t="s">
        <v>2120</v>
      </c>
      <c r="C555" t="s">
        <v>4386</v>
      </c>
      <c r="D555" t="s">
        <v>4368</v>
      </c>
      <c r="E555">
        <v>47300046258</v>
      </c>
      <c r="F555" t="s">
        <v>16</v>
      </c>
      <c r="G555" t="s">
        <v>28</v>
      </c>
      <c r="H555" t="s">
        <v>160</v>
      </c>
      <c r="K555" t="s">
        <v>4229</v>
      </c>
      <c r="L555" t="s">
        <v>19</v>
      </c>
      <c r="M555" t="s">
        <v>63</v>
      </c>
      <c r="N555" s="2">
        <v>45383</v>
      </c>
      <c r="O555" s="2">
        <v>45412</v>
      </c>
      <c r="P555">
        <v>10000</v>
      </c>
      <c r="Q555">
        <v>10000</v>
      </c>
      <c r="R555" t="s">
        <v>2966</v>
      </c>
      <c r="S555" t="s">
        <v>2121</v>
      </c>
      <c r="T555">
        <v>36.9</v>
      </c>
    </row>
    <row r="556" spans="1:25" x14ac:dyDescent="0.25">
      <c r="A556" t="s">
        <v>14</v>
      </c>
      <c r="B556" t="s">
        <v>2120</v>
      </c>
      <c r="C556" t="s">
        <v>4371</v>
      </c>
      <c r="D556" t="s">
        <v>4368</v>
      </c>
      <c r="E556">
        <v>47300046258</v>
      </c>
      <c r="F556" t="s">
        <v>16</v>
      </c>
      <c r="G556" t="s">
        <v>28</v>
      </c>
      <c r="H556" t="s">
        <v>160</v>
      </c>
      <c r="K556" t="s">
        <v>3294</v>
      </c>
      <c r="L556" t="s">
        <v>19</v>
      </c>
      <c r="M556" t="s">
        <v>46</v>
      </c>
      <c r="N556" s="2">
        <v>45383</v>
      </c>
      <c r="O556" s="2">
        <v>45412</v>
      </c>
      <c r="P556">
        <v>500</v>
      </c>
      <c r="Q556">
        <v>500</v>
      </c>
      <c r="R556" t="s">
        <v>2966</v>
      </c>
    </row>
    <row r="557" spans="1:25" x14ac:dyDescent="0.25">
      <c r="A557" t="s">
        <v>14</v>
      </c>
      <c r="B557" t="s">
        <v>2120</v>
      </c>
      <c r="C557" t="s">
        <v>3300</v>
      </c>
      <c r="D557" t="s">
        <v>3299</v>
      </c>
      <c r="E557">
        <v>47300046258</v>
      </c>
      <c r="F557" t="s">
        <v>16</v>
      </c>
      <c r="G557" t="s">
        <v>28</v>
      </c>
      <c r="H557" t="s">
        <v>160</v>
      </c>
      <c r="K557" t="s">
        <v>2892</v>
      </c>
      <c r="L557" t="s">
        <v>19</v>
      </c>
      <c r="M557" t="s">
        <v>46</v>
      </c>
      <c r="N557" s="2">
        <v>45383</v>
      </c>
      <c r="O557" s="2">
        <v>45412</v>
      </c>
      <c r="P557">
        <v>10000</v>
      </c>
      <c r="Q557">
        <v>10000</v>
      </c>
      <c r="R557" t="s">
        <v>2966</v>
      </c>
    </row>
    <row r="558" spans="1:25" x14ac:dyDescent="0.25">
      <c r="A558" t="s">
        <v>14</v>
      </c>
      <c r="B558" t="s">
        <v>2118</v>
      </c>
      <c r="C558" t="s">
        <v>4367</v>
      </c>
      <c r="D558" t="s">
        <v>4368</v>
      </c>
      <c r="E558">
        <v>47300046746</v>
      </c>
      <c r="F558" t="s">
        <v>16</v>
      </c>
      <c r="G558" t="s">
        <v>28</v>
      </c>
      <c r="H558" t="s">
        <v>32</v>
      </c>
      <c r="K558" t="s">
        <v>4229</v>
      </c>
      <c r="L558" t="s">
        <v>19</v>
      </c>
      <c r="M558" t="s">
        <v>63</v>
      </c>
      <c r="N558" s="2">
        <v>45383</v>
      </c>
      <c r="O558" s="2">
        <v>45412</v>
      </c>
      <c r="P558">
        <v>10000</v>
      </c>
      <c r="Q558">
        <v>10000</v>
      </c>
      <c r="R558" t="s">
        <v>2967</v>
      </c>
      <c r="S558" t="s">
        <v>2119</v>
      </c>
      <c r="T558">
        <v>36.799999999999997</v>
      </c>
    </row>
    <row r="559" spans="1:25" x14ac:dyDescent="0.25">
      <c r="A559" t="s">
        <v>14</v>
      </c>
      <c r="B559" t="s">
        <v>2118</v>
      </c>
      <c r="C559" t="s">
        <v>4414</v>
      </c>
      <c r="D559" t="s">
        <v>4401</v>
      </c>
      <c r="E559">
        <v>47300046746</v>
      </c>
      <c r="F559" t="s">
        <v>16</v>
      </c>
      <c r="G559" t="s">
        <v>28</v>
      </c>
      <c r="H559" t="s">
        <v>32</v>
      </c>
      <c r="K559" t="s">
        <v>3294</v>
      </c>
      <c r="L559" t="s">
        <v>19</v>
      </c>
      <c r="M559" t="s">
        <v>46</v>
      </c>
      <c r="N559" s="2">
        <v>45383</v>
      </c>
      <c r="O559" s="2">
        <v>45412</v>
      </c>
      <c r="P559">
        <v>500</v>
      </c>
      <c r="Q559">
        <v>500</v>
      </c>
      <c r="R559" t="s">
        <v>2967</v>
      </c>
    </row>
    <row r="560" spans="1:25" x14ac:dyDescent="0.25">
      <c r="A560" t="s">
        <v>14</v>
      </c>
      <c r="B560" t="s">
        <v>2118</v>
      </c>
      <c r="C560" t="s">
        <v>4414</v>
      </c>
      <c r="D560" t="s">
        <v>4401</v>
      </c>
      <c r="E560">
        <v>47300046746</v>
      </c>
      <c r="F560" t="s">
        <v>16</v>
      </c>
      <c r="G560" t="s">
        <v>28</v>
      </c>
      <c r="H560" t="s">
        <v>32</v>
      </c>
      <c r="K560" t="s">
        <v>3197</v>
      </c>
      <c r="L560" t="s">
        <v>19</v>
      </c>
      <c r="M560" t="s">
        <v>46</v>
      </c>
      <c r="N560" s="2">
        <v>45383</v>
      </c>
      <c r="O560" s="2">
        <v>45412</v>
      </c>
      <c r="P560">
        <v>145500</v>
      </c>
      <c r="Q560">
        <v>145500</v>
      </c>
      <c r="R560" t="s">
        <v>2967</v>
      </c>
    </row>
    <row r="561" spans="1:20" x14ac:dyDescent="0.25">
      <c r="A561" t="s">
        <v>14</v>
      </c>
      <c r="B561" t="s">
        <v>2118</v>
      </c>
      <c r="C561" t="s">
        <v>4412</v>
      </c>
      <c r="D561" t="s">
        <v>4377</v>
      </c>
      <c r="E561">
        <v>47300046746</v>
      </c>
      <c r="F561" t="s">
        <v>16</v>
      </c>
      <c r="G561" t="s">
        <v>28</v>
      </c>
      <c r="H561" t="s">
        <v>32</v>
      </c>
      <c r="K561" t="s">
        <v>2892</v>
      </c>
      <c r="L561" t="s">
        <v>19</v>
      </c>
      <c r="M561" t="s">
        <v>46</v>
      </c>
      <c r="N561" s="2">
        <v>45383</v>
      </c>
      <c r="O561" s="2">
        <v>45412</v>
      </c>
      <c r="P561">
        <v>10000</v>
      </c>
      <c r="Q561">
        <v>10000</v>
      </c>
      <c r="R561" t="s">
        <v>2967</v>
      </c>
    </row>
    <row r="562" spans="1:20" x14ac:dyDescent="0.25">
      <c r="A562" t="s">
        <v>14</v>
      </c>
      <c r="B562" t="s">
        <v>2116</v>
      </c>
      <c r="C562" t="s">
        <v>4389</v>
      </c>
      <c r="D562" t="s">
        <v>4375</v>
      </c>
      <c r="E562">
        <v>47300046761</v>
      </c>
      <c r="F562" t="s">
        <v>42</v>
      </c>
      <c r="G562" t="s">
        <v>28</v>
      </c>
      <c r="H562" t="s">
        <v>43</v>
      </c>
      <c r="K562" t="s">
        <v>3557</v>
      </c>
      <c r="L562" t="s">
        <v>19</v>
      </c>
      <c r="M562" t="s">
        <v>20</v>
      </c>
      <c r="P562">
        <v>50000</v>
      </c>
      <c r="Q562">
        <v>50000</v>
      </c>
      <c r="R562" t="s">
        <v>3681</v>
      </c>
      <c r="S562" t="s">
        <v>2117</v>
      </c>
      <c r="T562">
        <v>184.4</v>
      </c>
    </row>
    <row r="563" spans="1:20" x14ac:dyDescent="0.25">
      <c r="A563" t="s">
        <v>14</v>
      </c>
      <c r="B563" t="s">
        <v>2114</v>
      </c>
      <c r="C563" t="s">
        <v>4389</v>
      </c>
      <c r="D563" t="s">
        <v>4375</v>
      </c>
      <c r="E563">
        <v>47300047066</v>
      </c>
      <c r="F563" t="s">
        <v>16</v>
      </c>
      <c r="G563" t="s">
        <v>28</v>
      </c>
      <c r="H563" t="s">
        <v>57</v>
      </c>
      <c r="K563" t="s">
        <v>4229</v>
      </c>
      <c r="L563" t="s">
        <v>19</v>
      </c>
      <c r="M563" t="s">
        <v>63</v>
      </c>
      <c r="N563" s="2">
        <v>45383</v>
      </c>
      <c r="O563" s="2">
        <v>45412</v>
      </c>
      <c r="P563">
        <v>68000</v>
      </c>
      <c r="Q563">
        <v>68000</v>
      </c>
      <c r="R563" t="s">
        <v>4253</v>
      </c>
      <c r="S563" t="s">
        <v>2115</v>
      </c>
      <c r="T563">
        <v>250.7</v>
      </c>
    </row>
    <row r="564" spans="1:20" x14ac:dyDescent="0.25">
      <c r="A564" t="s">
        <v>14</v>
      </c>
      <c r="B564" t="s">
        <v>2112</v>
      </c>
      <c r="C564" t="s">
        <v>4364</v>
      </c>
      <c r="D564" t="s">
        <v>4358</v>
      </c>
      <c r="E564">
        <v>47300070704</v>
      </c>
      <c r="F564" t="s">
        <v>16</v>
      </c>
      <c r="G564" t="s">
        <v>28</v>
      </c>
      <c r="H564" t="s">
        <v>146</v>
      </c>
      <c r="K564" t="s">
        <v>4229</v>
      </c>
      <c r="L564" t="s">
        <v>19</v>
      </c>
      <c r="M564" t="s">
        <v>63</v>
      </c>
      <c r="N564" s="2">
        <v>45383</v>
      </c>
      <c r="O564" s="2">
        <v>45412</v>
      </c>
      <c r="P564">
        <v>250000</v>
      </c>
      <c r="Q564">
        <v>250000</v>
      </c>
      <c r="R564" t="s">
        <v>4254</v>
      </c>
      <c r="S564" t="s">
        <v>2113</v>
      </c>
      <c r="T564">
        <v>921.9</v>
      </c>
    </row>
    <row r="565" spans="1:20" x14ac:dyDescent="0.25">
      <c r="A565" t="s">
        <v>14</v>
      </c>
      <c r="B565" t="s">
        <v>2110</v>
      </c>
      <c r="C565" t="s">
        <v>4382</v>
      </c>
      <c r="D565" t="s">
        <v>4383</v>
      </c>
      <c r="E565">
        <v>47300070514</v>
      </c>
      <c r="F565" t="s">
        <v>27</v>
      </c>
      <c r="G565" t="s">
        <v>28</v>
      </c>
      <c r="H565" t="s">
        <v>29</v>
      </c>
      <c r="K565" t="s">
        <v>4229</v>
      </c>
      <c r="L565" t="s">
        <v>19</v>
      </c>
      <c r="M565" t="s">
        <v>63</v>
      </c>
      <c r="N565" s="2">
        <v>45383</v>
      </c>
      <c r="O565" s="2">
        <v>45412</v>
      </c>
      <c r="P565">
        <v>40000</v>
      </c>
      <c r="Q565">
        <v>40000</v>
      </c>
      <c r="R565" t="s">
        <v>2968</v>
      </c>
      <c r="S565" t="s">
        <v>2111</v>
      </c>
      <c r="T565">
        <v>147.5</v>
      </c>
    </row>
    <row r="566" spans="1:20" x14ac:dyDescent="0.25">
      <c r="A566" t="s">
        <v>14</v>
      </c>
      <c r="B566" t="s">
        <v>2110</v>
      </c>
      <c r="C566" t="s">
        <v>4387</v>
      </c>
      <c r="D566" t="s">
        <v>4388</v>
      </c>
      <c r="E566">
        <v>47300070514</v>
      </c>
      <c r="F566" t="s">
        <v>27</v>
      </c>
      <c r="G566" t="s">
        <v>28</v>
      </c>
      <c r="H566" t="s">
        <v>29</v>
      </c>
      <c r="K566" t="s">
        <v>3294</v>
      </c>
      <c r="L566" t="s">
        <v>19</v>
      </c>
      <c r="M566" t="s">
        <v>46</v>
      </c>
      <c r="N566" s="2">
        <v>45383</v>
      </c>
      <c r="O566" s="2">
        <v>45412</v>
      </c>
      <c r="P566">
        <v>500</v>
      </c>
      <c r="Q566">
        <v>500</v>
      </c>
      <c r="R566" t="s">
        <v>2968</v>
      </c>
    </row>
    <row r="567" spans="1:20" x14ac:dyDescent="0.25">
      <c r="A567" t="s">
        <v>14</v>
      </c>
      <c r="B567" t="s">
        <v>2110</v>
      </c>
      <c r="C567" t="s">
        <v>4389</v>
      </c>
      <c r="D567" t="s">
        <v>4375</v>
      </c>
      <c r="E567">
        <v>47300070514</v>
      </c>
      <c r="F567" t="s">
        <v>27</v>
      </c>
      <c r="G567" t="s">
        <v>28</v>
      </c>
      <c r="H567" t="s">
        <v>29</v>
      </c>
      <c r="K567" t="s">
        <v>3197</v>
      </c>
      <c r="L567" t="s">
        <v>19</v>
      </c>
      <c r="M567" t="s">
        <v>46</v>
      </c>
      <c r="N567" s="2">
        <v>45383</v>
      </c>
      <c r="O567" s="2">
        <v>45412</v>
      </c>
      <c r="P567">
        <v>145500</v>
      </c>
      <c r="Q567">
        <v>145500</v>
      </c>
      <c r="R567" t="s">
        <v>2968</v>
      </c>
    </row>
    <row r="568" spans="1:20" x14ac:dyDescent="0.25">
      <c r="A568" t="s">
        <v>14</v>
      </c>
      <c r="B568" t="s">
        <v>2110</v>
      </c>
      <c r="C568" t="s">
        <v>4389</v>
      </c>
      <c r="D568" t="s">
        <v>4375</v>
      </c>
      <c r="E568">
        <v>47300070514</v>
      </c>
      <c r="F568" t="s">
        <v>27</v>
      </c>
      <c r="G568" t="s">
        <v>28</v>
      </c>
      <c r="H568" t="s">
        <v>29</v>
      </c>
      <c r="K568" t="s">
        <v>2892</v>
      </c>
      <c r="L568" t="s">
        <v>19</v>
      </c>
      <c r="M568" t="s">
        <v>46</v>
      </c>
      <c r="N568" s="2">
        <v>45383</v>
      </c>
      <c r="O568" s="2">
        <v>45412</v>
      </c>
      <c r="P568">
        <v>10000</v>
      </c>
      <c r="Q568">
        <v>10000</v>
      </c>
      <c r="R568" t="s">
        <v>2968</v>
      </c>
    </row>
    <row r="569" spans="1:20" x14ac:dyDescent="0.25">
      <c r="A569" t="s">
        <v>14</v>
      </c>
      <c r="B569" t="s">
        <v>2108</v>
      </c>
      <c r="C569" t="s">
        <v>4384</v>
      </c>
      <c r="D569" t="s">
        <v>4391</v>
      </c>
      <c r="E569">
        <v>47300046977</v>
      </c>
      <c r="F569" t="s">
        <v>16</v>
      </c>
      <c r="G569" t="s">
        <v>17</v>
      </c>
      <c r="H569" t="s">
        <v>175</v>
      </c>
      <c r="K569" t="s">
        <v>4229</v>
      </c>
      <c r="L569" t="s">
        <v>19</v>
      </c>
      <c r="M569" t="s">
        <v>63</v>
      </c>
      <c r="N569" s="2">
        <v>45383</v>
      </c>
      <c r="O569" s="2">
        <v>45412</v>
      </c>
      <c r="P569">
        <v>64000</v>
      </c>
      <c r="Q569">
        <v>64000</v>
      </c>
      <c r="R569" t="s">
        <v>2969</v>
      </c>
      <c r="S569" t="s">
        <v>2109</v>
      </c>
      <c r="T569">
        <v>236</v>
      </c>
    </row>
    <row r="570" spans="1:20" x14ac:dyDescent="0.25">
      <c r="A570" t="s">
        <v>14</v>
      </c>
      <c r="B570" t="s">
        <v>2108</v>
      </c>
      <c r="C570" t="s">
        <v>4384</v>
      </c>
      <c r="D570" t="s">
        <v>4391</v>
      </c>
      <c r="E570">
        <v>47300046977</v>
      </c>
      <c r="F570" t="s">
        <v>16</v>
      </c>
      <c r="G570" t="s">
        <v>17</v>
      </c>
      <c r="H570" t="s">
        <v>175</v>
      </c>
      <c r="K570" t="s">
        <v>3294</v>
      </c>
      <c r="L570" t="s">
        <v>19</v>
      </c>
      <c r="M570" t="s">
        <v>46</v>
      </c>
      <c r="N570" s="2">
        <v>45383</v>
      </c>
      <c r="O570" s="2">
        <v>45412</v>
      </c>
      <c r="P570">
        <v>500</v>
      </c>
      <c r="Q570">
        <v>500</v>
      </c>
      <c r="R570" t="s">
        <v>2969</v>
      </c>
    </row>
    <row r="571" spans="1:20" x14ac:dyDescent="0.25">
      <c r="A571" t="s">
        <v>14</v>
      </c>
      <c r="B571" t="s">
        <v>2108</v>
      </c>
      <c r="C571" t="s">
        <v>4371</v>
      </c>
      <c r="D571" t="s">
        <v>4368</v>
      </c>
      <c r="E571">
        <v>47300046977</v>
      </c>
      <c r="F571" t="s">
        <v>16</v>
      </c>
      <c r="G571" t="s">
        <v>17</v>
      </c>
      <c r="H571" t="s">
        <v>175</v>
      </c>
      <c r="K571" t="s">
        <v>3197</v>
      </c>
      <c r="L571" t="s">
        <v>19</v>
      </c>
      <c r="M571" t="s">
        <v>46</v>
      </c>
      <c r="N571" s="2">
        <v>45383</v>
      </c>
      <c r="O571" s="2">
        <v>45412</v>
      </c>
      <c r="P571">
        <v>145500</v>
      </c>
      <c r="Q571">
        <v>145500</v>
      </c>
      <c r="R571" t="s">
        <v>2969</v>
      </c>
    </row>
    <row r="572" spans="1:20" x14ac:dyDescent="0.25">
      <c r="A572" t="s">
        <v>14</v>
      </c>
      <c r="B572" t="s">
        <v>2108</v>
      </c>
      <c r="C572" t="s">
        <v>4367</v>
      </c>
      <c r="D572" t="s">
        <v>4368</v>
      </c>
      <c r="E572">
        <v>47300046977</v>
      </c>
      <c r="F572" t="s">
        <v>16</v>
      </c>
      <c r="G572" t="s">
        <v>17</v>
      </c>
      <c r="H572" t="s">
        <v>175</v>
      </c>
      <c r="K572" t="s">
        <v>2892</v>
      </c>
      <c r="L572" t="s">
        <v>19</v>
      </c>
      <c r="M572" t="s">
        <v>46</v>
      </c>
      <c r="N572" s="2">
        <v>45383</v>
      </c>
      <c r="O572" s="2">
        <v>45412</v>
      </c>
      <c r="P572">
        <v>10000</v>
      </c>
      <c r="Q572">
        <v>10000</v>
      </c>
      <c r="R572" t="s">
        <v>2969</v>
      </c>
    </row>
    <row r="573" spans="1:20" x14ac:dyDescent="0.25">
      <c r="A573" t="s">
        <v>14</v>
      </c>
      <c r="B573" t="s">
        <v>2107</v>
      </c>
      <c r="C573" t="s">
        <v>4384</v>
      </c>
      <c r="D573" t="s">
        <v>4391</v>
      </c>
      <c r="E573">
        <v>47300046720</v>
      </c>
      <c r="F573" t="s">
        <v>16</v>
      </c>
      <c r="G573" t="s">
        <v>28</v>
      </c>
      <c r="H573" t="s">
        <v>143</v>
      </c>
      <c r="K573" t="s">
        <v>2892</v>
      </c>
      <c r="L573" t="s">
        <v>19</v>
      </c>
      <c r="M573" t="s">
        <v>46</v>
      </c>
      <c r="N573" s="2">
        <v>45383</v>
      </c>
      <c r="O573" s="2">
        <v>45412</v>
      </c>
      <c r="P573">
        <v>10000</v>
      </c>
      <c r="Q573">
        <v>10000</v>
      </c>
      <c r="R573" t="s">
        <v>2970</v>
      </c>
    </row>
    <row r="574" spans="1:20" x14ac:dyDescent="0.25">
      <c r="A574" t="s">
        <v>14</v>
      </c>
      <c r="B574" t="s">
        <v>2105</v>
      </c>
      <c r="C574" t="s">
        <v>4376</v>
      </c>
      <c r="D574" t="s">
        <v>4377</v>
      </c>
      <c r="E574">
        <v>47300026094</v>
      </c>
      <c r="F574" t="s">
        <v>35</v>
      </c>
      <c r="G574" t="s">
        <v>36</v>
      </c>
      <c r="H574" t="s">
        <v>4359</v>
      </c>
      <c r="K574" t="s">
        <v>3557</v>
      </c>
      <c r="L574" t="s">
        <v>19</v>
      </c>
      <c r="M574" t="s">
        <v>20</v>
      </c>
      <c r="P574">
        <v>100000</v>
      </c>
      <c r="Q574">
        <v>100000</v>
      </c>
      <c r="R574" t="s">
        <v>3682</v>
      </c>
      <c r="S574" t="s">
        <v>2106</v>
      </c>
      <c r="T574">
        <v>368.7</v>
      </c>
    </row>
    <row r="575" spans="1:20" x14ac:dyDescent="0.25">
      <c r="A575" t="s">
        <v>14</v>
      </c>
      <c r="B575" t="s">
        <v>2103</v>
      </c>
      <c r="C575" t="s">
        <v>4384</v>
      </c>
      <c r="D575" t="s">
        <v>4391</v>
      </c>
      <c r="E575">
        <v>47300025708</v>
      </c>
      <c r="F575" t="s">
        <v>35</v>
      </c>
      <c r="G575" t="s">
        <v>36</v>
      </c>
      <c r="H575" t="s">
        <v>4360</v>
      </c>
      <c r="K575" t="s">
        <v>3557</v>
      </c>
      <c r="L575" t="s">
        <v>19</v>
      </c>
      <c r="M575" t="s">
        <v>20</v>
      </c>
      <c r="P575">
        <v>50000</v>
      </c>
      <c r="Q575">
        <v>50000</v>
      </c>
      <c r="R575" t="s">
        <v>3683</v>
      </c>
      <c r="S575" t="s">
        <v>2104</v>
      </c>
      <c r="T575">
        <v>184.3</v>
      </c>
    </row>
    <row r="576" spans="1:20" x14ac:dyDescent="0.25">
      <c r="A576" t="s">
        <v>14</v>
      </c>
      <c r="B576" t="s">
        <v>2101</v>
      </c>
      <c r="C576" t="s">
        <v>4396</v>
      </c>
      <c r="D576" t="s">
        <v>4397</v>
      </c>
      <c r="E576">
        <v>47300046662</v>
      </c>
      <c r="F576" t="s">
        <v>16</v>
      </c>
      <c r="G576" t="s">
        <v>28</v>
      </c>
      <c r="H576" t="s">
        <v>129</v>
      </c>
      <c r="K576" t="s">
        <v>4229</v>
      </c>
      <c r="L576" t="s">
        <v>19</v>
      </c>
      <c r="M576" t="s">
        <v>63</v>
      </c>
      <c r="N576" s="2">
        <v>45383</v>
      </c>
      <c r="O576" s="2">
        <v>45412</v>
      </c>
      <c r="P576">
        <v>40000</v>
      </c>
      <c r="Q576">
        <v>40000</v>
      </c>
      <c r="R576" t="s">
        <v>2971</v>
      </c>
      <c r="S576" t="s">
        <v>2102</v>
      </c>
      <c r="T576">
        <v>93.5</v>
      </c>
    </row>
    <row r="577" spans="1:20" x14ac:dyDescent="0.25">
      <c r="A577" t="s">
        <v>14</v>
      </c>
      <c r="B577" t="s">
        <v>2101</v>
      </c>
      <c r="C577" t="s">
        <v>4396</v>
      </c>
      <c r="D577" t="s">
        <v>4397</v>
      </c>
      <c r="E577">
        <v>47300046662</v>
      </c>
      <c r="F577" t="s">
        <v>16</v>
      </c>
      <c r="G577" t="s">
        <v>28</v>
      </c>
      <c r="H577" t="s">
        <v>129</v>
      </c>
      <c r="K577" t="s">
        <v>3294</v>
      </c>
      <c r="L577" t="s">
        <v>19</v>
      </c>
      <c r="M577" t="s">
        <v>46</v>
      </c>
      <c r="N577" s="2">
        <v>45383</v>
      </c>
      <c r="O577" s="2">
        <v>45412</v>
      </c>
      <c r="P577">
        <v>500</v>
      </c>
      <c r="Q577">
        <v>500</v>
      </c>
      <c r="R577" t="s">
        <v>2971</v>
      </c>
    </row>
    <row r="578" spans="1:20" x14ac:dyDescent="0.25">
      <c r="A578" t="s">
        <v>14</v>
      </c>
      <c r="B578" t="s">
        <v>2101</v>
      </c>
      <c r="C578" t="s">
        <v>4414</v>
      </c>
      <c r="D578" t="s">
        <v>4401</v>
      </c>
      <c r="E578">
        <v>47300046662</v>
      </c>
      <c r="F578" t="s">
        <v>16</v>
      </c>
      <c r="G578" t="s">
        <v>28</v>
      </c>
      <c r="H578" t="s">
        <v>129</v>
      </c>
      <c r="K578" t="s">
        <v>2892</v>
      </c>
      <c r="L578" t="s">
        <v>19</v>
      </c>
      <c r="M578" t="s">
        <v>46</v>
      </c>
      <c r="N578" s="2">
        <v>45383</v>
      </c>
      <c r="O578" s="2">
        <v>45412</v>
      </c>
      <c r="P578">
        <v>10000</v>
      </c>
      <c r="Q578">
        <v>10000</v>
      </c>
      <c r="R578" t="s">
        <v>2971</v>
      </c>
    </row>
    <row r="579" spans="1:20" x14ac:dyDescent="0.25">
      <c r="A579" t="s">
        <v>14</v>
      </c>
      <c r="B579" t="s">
        <v>2100</v>
      </c>
      <c r="C579" t="s">
        <v>4369</v>
      </c>
      <c r="D579" t="s">
        <v>4370</v>
      </c>
      <c r="E579">
        <v>47300086445</v>
      </c>
      <c r="F579" t="s">
        <v>16</v>
      </c>
      <c r="G579" t="s">
        <v>28</v>
      </c>
      <c r="H579" t="s">
        <v>187</v>
      </c>
      <c r="I579" t="s">
        <v>2777</v>
      </c>
      <c r="J579" t="s">
        <v>2776</v>
      </c>
      <c r="K579" t="s">
        <v>3197</v>
      </c>
      <c r="L579" t="s">
        <v>19</v>
      </c>
      <c r="M579" t="s">
        <v>46</v>
      </c>
      <c r="N579" s="2">
        <v>45383</v>
      </c>
      <c r="O579" s="2">
        <v>45412</v>
      </c>
      <c r="P579">
        <v>145500</v>
      </c>
      <c r="Q579">
        <v>145500</v>
      </c>
      <c r="R579" t="s">
        <v>2972</v>
      </c>
    </row>
    <row r="580" spans="1:20" x14ac:dyDescent="0.25">
      <c r="A580" t="s">
        <v>14</v>
      </c>
      <c r="B580" t="s">
        <v>2100</v>
      </c>
      <c r="C580" t="s">
        <v>4369</v>
      </c>
      <c r="D580" t="s">
        <v>4370</v>
      </c>
      <c r="E580">
        <v>47300086445</v>
      </c>
      <c r="F580" t="s">
        <v>16</v>
      </c>
      <c r="G580" t="s">
        <v>28</v>
      </c>
      <c r="H580" t="s">
        <v>187</v>
      </c>
      <c r="I580" t="s">
        <v>2777</v>
      </c>
      <c r="J580" t="s">
        <v>2776</v>
      </c>
      <c r="K580" t="s">
        <v>2892</v>
      </c>
      <c r="L580" t="s">
        <v>19</v>
      </c>
      <c r="M580" t="s">
        <v>46</v>
      </c>
      <c r="N580" s="2">
        <v>45383</v>
      </c>
      <c r="O580" s="2">
        <v>45412</v>
      </c>
      <c r="P580">
        <v>10000</v>
      </c>
      <c r="Q580">
        <v>10000</v>
      </c>
      <c r="R580" t="s">
        <v>2972</v>
      </c>
    </row>
    <row r="581" spans="1:20" x14ac:dyDescent="0.25">
      <c r="A581" t="s">
        <v>14</v>
      </c>
      <c r="B581" t="s">
        <v>2098</v>
      </c>
      <c r="C581" t="s">
        <v>4396</v>
      </c>
      <c r="D581" t="s">
        <v>4397</v>
      </c>
      <c r="E581">
        <v>47300046746</v>
      </c>
      <c r="F581" t="s">
        <v>16</v>
      </c>
      <c r="G581" t="s">
        <v>28</v>
      </c>
      <c r="H581" t="s">
        <v>32</v>
      </c>
      <c r="K581" t="s">
        <v>3557</v>
      </c>
      <c r="L581" t="s">
        <v>19</v>
      </c>
      <c r="M581" t="s">
        <v>20</v>
      </c>
      <c r="P581">
        <v>10000</v>
      </c>
      <c r="Q581">
        <v>10000</v>
      </c>
      <c r="R581" t="s">
        <v>3684</v>
      </c>
      <c r="S581" t="s">
        <v>2099</v>
      </c>
      <c r="T581">
        <v>23.4</v>
      </c>
    </row>
    <row r="582" spans="1:20" x14ac:dyDescent="0.25">
      <c r="A582" t="s">
        <v>14</v>
      </c>
      <c r="B582" t="s">
        <v>2097</v>
      </c>
      <c r="C582" t="s">
        <v>4406</v>
      </c>
      <c r="D582" t="s">
        <v>4394</v>
      </c>
      <c r="E582">
        <v>47300046688</v>
      </c>
      <c r="F582" t="s">
        <v>16</v>
      </c>
      <c r="G582" t="s">
        <v>17</v>
      </c>
      <c r="H582" t="s">
        <v>154</v>
      </c>
      <c r="K582" t="s">
        <v>3197</v>
      </c>
      <c r="L582" t="s">
        <v>19</v>
      </c>
      <c r="M582" t="s">
        <v>46</v>
      </c>
      <c r="N582" s="2">
        <v>45383</v>
      </c>
      <c r="O582" s="2">
        <v>45412</v>
      </c>
      <c r="P582">
        <v>145500</v>
      </c>
      <c r="Q582">
        <v>145500</v>
      </c>
      <c r="R582" t="s">
        <v>2973</v>
      </c>
    </row>
    <row r="583" spans="1:20" x14ac:dyDescent="0.25">
      <c r="A583" t="s">
        <v>14</v>
      </c>
      <c r="B583" t="s">
        <v>2097</v>
      </c>
      <c r="C583" t="s">
        <v>4406</v>
      </c>
      <c r="D583" t="s">
        <v>4394</v>
      </c>
      <c r="E583">
        <v>47300046688</v>
      </c>
      <c r="F583" t="s">
        <v>16</v>
      </c>
      <c r="G583" t="s">
        <v>17</v>
      </c>
      <c r="H583" t="s">
        <v>154</v>
      </c>
      <c r="K583" t="s">
        <v>2892</v>
      </c>
      <c r="L583" t="s">
        <v>19</v>
      </c>
      <c r="M583" t="s">
        <v>46</v>
      </c>
      <c r="N583" s="2">
        <v>45383</v>
      </c>
      <c r="O583" s="2">
        <v>45412</v>
      </c>
      <c r="P583">
        <v>10000</v>
      </c>
      <c r="Q583">
        <v>10000</v>
      </c>
      <c r="R583" t="s">
        <v>2973</v>
      </c>
    </row>
    <row r="584" spans="1:20" x14ac:dyDescent="0.25">
      <c r="A584" t="s">
        <v>14</v>
      </c>
      <c r="B584" t="s">
        <v>2095</v>
      </c>
      <c r="C584" t="s">
        <v>4384</v>
      </c>
      <c r="D584" t="s">
        <v>4385</v>
      </c>
      <c r="E584">
        <v>47300046746</v>
      </c>
      <c r="F584" t="s">
        <v>16</v>
      </c>
      <c r="G584" t="s">
        <v>28</v>
      </c>
      <c r="H584" t="s">
        <v>32</v>
      </c>
      <c r="K584" t="s">
        <v>3557</v>
      </c>
      <c r="L584" t="s">
        <v>19</v>
      </c>
      <c r="M584" t="s">
        <v>20</v>
      </c>
      <c r="P584">
        <v>15000</v>
      </c>
      <c r="Q584">
        <v>15000</v>
      </c>
      <c r="R584" t="s">
        <v>3685</v>
      </c>
      <c r="S584" t="s">
        <v>2096</v>
      </c>
      <c r="T584">
        <v>35.1</v>
      </c>
    </row>
    <row r="585" spans="1:20" x14ac:dyDescent="0.25">
      <c r="A585" t="s">
        <v>14</v>
      </c>
      <c r="B585" t="s">
        <v>2093</v>
      </c>
      <c r="C585" t="s">
        <v>4384</v>
      </c>
      <c r="D585" t="s">
        <v>4385</v>
      </c>
      <c r="E585">
        <v>47300046647</v>
      </c>
      <c r="F585" t="s">
        <v>16</v>
      </c>
      <c r="G585" t="s">
        <v>87</v>
      </c>
      <c r="H585" t="s">
        <v>100</v>
      </c>
      <c r="K585" t="s">
        <v>4229</v>
      </c>
      <c r="L585" t="s">
        <v>19</v>
      </c>
      <c r="M585" t="s">
        <v>63</v>
      </c>
      <c r="N585" s="2">
        <v>45383</v>
      </c>
      <c r="O585" s="2">
        <v>45412</v>
      </c>
      <c r="P585">
        <v>120000</v>
      </c>
      <c r="Q585">
        <v>120000</v>
      </c>
      <c r="R585" t="s">
        <v>2974</v>
      </c>
      <c r="S585" t="s">
        <v>2094</v>
      </c>
      <c r="T585">
        <v>280.5</v>
      </c>
    </row>
    <row r="586" spans="1:20" x14ac:dyDescent="0.25">
      <c r="A586" t="s">
        <v>14</v>
      </c>
      <c r="B586" t="s">
        <v>2093</v>
      </c>
      <c r="C586" t="s">
        <v>4414</v>
      </c>
      <c r="D586" t="s">
        <v>4401</v>
      </c>
      <c r="E586">
        <v>47300046647</v>
      </c>
      <c r="F586" t="s">
        <v>16</v>
      </c>
      <c r="G586" t="s">
        <v>87</v>
      </c>
      <c r="H586" t="s">
        <v>100</v>
      </c>
      <c r="K586" t="s">
        <v>3294</v>
      </c>
      <c r="L586" t="s">
        <v>19</v>
      </c>
      <c r="M586" t="s">
        <v>46</v>
      </c>
      <c r="N586" s="2">
        <v>45383</v>
      </c>
      <c r="O586" s="2">
        <v>45412</v>
      </c>
      <c r="P586">
        <v>500</v>
      </c>
      <c r="Q586">
        <v>500</v>
      </c>
      <c r="R586" t="s">
        <v>2974</v>
      </c>
    </row>
    <row r="587" spans="1:20" x14ac:dyDescent="0.25">
      <c r="A587" t="s">
        <v>14</v>
      </c>
      <c r="B587" t="s">
        <v>2093</v>
      </c>
      <c r="C587" t="s">
        <v>4384</v>
      </c>
      <c r="D587" t="s">
        <v>4385</v>
      </c>
      <c r="E587">
        <v>47300046647</v>
      </c>
      <c r="F587" t="s">
        <v>16</v>
      </c>
      <c r="G587" t="s">
        <v>87</v>
      </c>
      <c r="H587" t="s">
        <v>100</v>
      </c>
      <c r="K587" t="s">
        <v>2892</v>
      </c>
      <c r="L587" t="s">
        <v>19</v>
      </c>
      <c r="M587" t="s">
        <v>46</v>
      </c>
      <c r="N587" s="2">
        <v>45383</v>
      </c>
      <c r="O587" s="2">
        <v>45412</v>
      </c>
      <c r="P587">
        <v>10000</v>
      </c>
      <c r="Q587">
        <v>10000</v>
      </c>
      <c r="R587" t="s">
        <v>2974</v>
      </c>
    </row>
    <row r="588" spans="1:20" x14ac:dyDescent="0.25">
      <c r="A588" t="s">
        <v>14</v>
      </c>
      <c r="B588" t="s">
        <v>2091</v>
      </c>
      <c r="C588" t="s">
        <v>2927</v>
      </c>
      <c r="D588" t="s">
        <v>4375</v>
      </c>
      <c r="E588">
        <v>47300070522</v>
      </c>
      <c r="F588" t="s">
        <v>16</v>
      </c>
      <c r="G588" t="s">
        <v>17</v>
      </c>
      <c r="H588" t="s">
        <v>18</v>
      </c>
      <c r="K588" t="s">
        <v>4229</v>
      </c>
      <c r="L588" t="s">
        <v>19</v>
      </c>
      <c r="M588" t="s">
        <v>63</v>
      </c>
      <c r="N588" s="2">
        <v>45383</v>
      </c>
      <c r="O588" s="2">
        <v>45412</v>
      </c>
      <c r="P588">
        <v>150000</v>
      </c>
      <c r="Q588">
        <v>150000</v>
      </c>
      <c r="R588" t="s">
        <v>2975</v>
      </c>
      <c r="S588" t="s">
        <v>2092</v>
      </c>
      <c r="T588">
        <v>547.20000000000005</v>
      </c>
    </row>
    <row r="589" spans="1:20" x14ac:dyDescent="0.25">
      <c r="A589" t="s">
        <v>14</v>
      </c>
      <c r="B589" t="s">
        <v>2091</v>
      </c>
      <c r="C589" t="s">
        <v>4389</v>
      </c>
      <c r="D589" t="s">
        <v>4390</v>
      </c>
      <c r="E589">
        <v>47300070522</v>
      </c>
      <c r="F589" t="s">
        <v>16</v>
      </c>
      <c r="G589" t="s">
        <v>17</v>
      </c>
      <c r="H589" t="s">
        <v>18</v>
      </c>
      <c r="K589" t="s">
        <v>3294</v>
      </c>
      <c r="L589" t="s">
        <v>19</v>
      </c>
      <c r="M589" t="s">
        <v>46</v>
      </c>
      <c r="N589" s="2">
        <v>45383</v>
      </c>
      <c r="O589" s="2">
        <v>45412</v>
      </c>
      <c r="P589">
        <v>500</v>
      </c>
      <c r="Q589">
        <v>500</v>
      </c>
      <c r="R589" t="s">
        <v>2975</v>
      </c>
    </row>
    <row r="590" spans="1:20" x14ac:dyDescent="0.25">
      <c r="A590" t="s">
        <v>14</v>
      </c>
      <c r="B590" t="s">
        <v>2091</v>
      </c>
      <c r="C590" t="s">
        <v>4400</v>
      </c>
      <c r="D590" t="s">
        <v>4401</v>
      </c>
      <c r="E590">
        <v>47300070522</v>
      </c>
      <c r="F590" t="s">
        <v>16</v>
      </c>
      <c r="G590" t="s">
        <v>17</v>
      </c>
      <c r="H590" t="s">
        <v>18</v>
      </c>
      <c r="K590" t="s">
        <v>2892</v>
      </c>
      <c r="L590" t="s">
        <v>19</v>
      </c>
      <c r="M590" t="s">
        <v>46</v>
      </c>
      <c r="N590" s="2">
        <v>45383</v>
      </c>
      <c r="O590" s="2">
        <v>45412</v>
      </c>
      <c r="P590">
        <v>10000</v>
      </c>
      <c r="Q590">
        <v>10000</v>
      </c>
      <c r="R590" t="s">
        <v>2975</v>
      </c>
    </row>
    <row r="591" spans="1:20" x14ac:dyDescent="0.25">
      <c r="A591" t="s">
        <v>14</v>
      </c>
      <c r="B591" t="s">
        <v>2090</v>
      </c>
      <c r="C591" t="s">
        <v>4408</v>
      </c>
      <c r="D591" t="s">
        <v>4407</v>
      </c>
      <c r="E591">
        <v>47300070571</v>
      </c>
      <c r="F591" t="s">
        <v>42</v>
      </c>
      <c r="G591" t="s">
        <v>28</v>
      </c>
      <c r="H591" t="s">
        <v>72</v>
      </c>
      <c r="K591" t="s">
        <v>3294</v>
      </c>
      <c r="L591" t="s">
        <v>19</v>
      </c>
      <c r="M591" t="s">
        <v>46</v>
      </c>
      <c r="N591" s="2">
        <v>45383</v>
      </c>
      <c r="O591" s="2">
        <v>45412</v>
      </c>
      <c r="P591">
        <v>500</v>
      </c>
      <c r="Q591">
        <v>500</v>
      </c>
      <c r="R591" t="s">
        <v>2976</v>
      </c>
    </row>
    <row r="592" spans="1:20" x14ac:dyDescent="0.25">
      <c r="A592" t="s">
        <v>14</v>
      </c>
      <c r="B592" t="s">
        <v>2090</v>
      </c>
      <c r="C592" t="s">
        <v>4372</v>
      </c>
      <c r="D592" t="s">
        <v>4373</v>
      </c>
      <c r="E592">
        <v>47300070571</v>
      </c>
      <c r="F592" t="s">
        <v>42</v>
      </c>
      <c r="G592" t="s">
        <v>28</v>
      </c>
      <c r="H592" t="s">
        <v>72</v>
      </c>
      <c r="K592" t="s">
        <v>3197</v>
      </c>
      <c r="L592" t="s">
        <v>19</v>
      </c>
      <c r="M592" t="s">
        <v>46</v>
      </c>
      <c r="N592" s="2">
        <v>45383</v>
      </c>
      <c r="O592" s="2">
        <v>45412</v>
      </c>
      <c r="P592">
        <v>145500</v>
      </c>
      <c r="Q592">
        <v>145500</v>
      </c>
      <c r="R592" t="s">
        <v>2976</v>
      </c>
    </row>
    <row r="593" spans="1:20" x14ac:dyDescent="0.25">
      <c r="A593" t="s">
        <v>14</v>
      </c>
      <c r="B593" t="s">
        <v>2090</v>
      </c>
      <c r="C593" t="s">
        <v>2927</v>
      </c>
      <c r="D593" t="s">
        <v>4375</v>
      </c>
      <c r="E593">
        <v>47300070571</v>
      </c>
      <c r="F593" t="s">
        <v>42</v>
      </c>
      <c r="G593" t="s">
        <v>28</v>
      </c>
      <c r="H593" t="s">
        <v>72</v>
      </c>
      <c r="K593" t="s">
        <v>2892</v>
      </c>
      <c r="L593" t="s">
        <v>19</v>
      </c>
      <c r="M593" t="s">
        <v>46</v>
      </c>
      <c r="N593" s="2">
        <v>45383</v>
      </c>
      <c r="O593" s="2">
        <v>45412</v>
      </c>
      <c r="P593">
        <v>10000</v>
      </c>
      <c r="Q593">
        <v>10000</v>
      </c>
      <c r="R593" t="s">
        <v>2976</v>
      </c>
    </row>
    <row r="594" spans="1:20" x14ac:dyDescent="0.25">
      <c r="A594" t="s">
        <v>14</v>
      </c>
      <c r="B594" t="s">
        <v>2088</v>
      </c>
      <c r="C594" t="s">
        <v>4389</v>
      </c>
      <c r="D594" t="s">
        <v>4390</v>
      </c>
      <c r="E594">
        <v>47300070571</v>
      </c>
      <c r="F594" t="s">
        <v>42</v>
      </c>
      <c r="G594" t="s">
        <v>28</v>
      </c>
      <c r="H594" t="s">
        <v>72</v>
      </c>
      <c r="K594" t="s">
        <v>4229</v>
      </c>
      <c r="L594" t="s">
        <v>19</v>
      </c>
      <c r="M594" t="s">
        <v>63</v>
      </c>
      <c r="N594" s="2">
        <v>45383</v>
      </c>
      <c r="O594" s="2">
        <v>45412</v>
      </c>
      <c r="P594">
        <v>210000</v>
      </c>
      <c r="Q594">
        <v>210000</v>
      </c>
      <c r="R594" t="s">
        <v>4255</v>
      </c>
      <c r="S594" t="s">
        <v>2089</v>
      </c>
      <c r="T594">
        <v>766.1</v>
      </c>
    </row>
    <row r="595" spans="1:20" x14ac:dyDescent="0.25">
      <c r="A595" t="s">
        <v>14</v>
      </c>
      <c r="B595" t="s">
        <v>2086</v>
      </c>
      <c r="C595" t="s">
        <v>4400</v>
      </c>
      <c r="D595" t="s">
        <v>4401</v>
      </c>
      <c r="E595">
        <v>47300070837</v>
      </c>
      <c r="F595" t="s">
        <v>16</v>
      </c>
      <c r="G595" t="s">
        <v>23</v>
      </c>
      <c r="H595" t="s">
        <v>165</v>
      </c>
      <c r="K595" t="s">
        <v>4229</v>
      </c>
      <c r="L595" t="s">
        <v>19</v>
      </c>
      <c r="M595" t="s">
        <v>63</v>
      </c>
      <c r="N595" s="2">
        <v>45383</v>
      </c>
      <c r="O595" s="2">
        <v>45412</v>
      </c>
      <c r="P595">
        <v>11000</v>
      </c>
      <c r="Q595">
        <v>11000</v>
      </c>
      <c r="R595" t="s">
        <v>3374</v>
      </c>
      <c r="S595" t="s">
        <v>2087</v>
      </c>
      <c r="T595">
        <v>40.1</v>
      </c>
    </row>
    <row r="596" spans="1:20" x14ac:dyDescent="0.25">
      <c r="A596" t="s">
        <v>14</v>
      </c>
      <c r="B596" t="s">
        <v>2086</v>
      </c>
      <c r="C596" t="s">
        <v>4389</v>
      </c>
      <c r="D596" t="s">
        <v>4390</v>
      </c>
      <c r="E596">
        <v>47300070837</v>
      </c>
      <c r="F596" t="s">
        <v>16</v>
      </c>
      <c r="G596" t="s">
        <v>23</v>
      </c>
      <c r="H596" t="s">
        <v>165</v>
      </c>
      <c r="K596" t="s">
        <v>3294</v>
      </c>
      <c r="L596" t="s">
        <v>19</v>
      </c>
      <c r="M596" t="s">
        <v>46</v>
      </c>
      <c r="N596" s="2">
        <v>45383</v>
      </c>
      <c r="O596" s="2">
        <v>45412</v>
      </c>
      <c r="P596">
        <v>500</v>
      </c>
      <c r="Q596">
        <v>500</v>
      </c>
      <c r="R596" t="s">
        <v>3374</v>
      </c>
    </row>
    <row r="597" spans="1:20" x14ac:dyDescent="0.25">
      <c r="A597" t="s">
        <v>14</v>
      </c>
      <c r="B597" t="s">
        <v>2084</v>
      </c>
      <c r="C597" t="s">
        <v>4389</v>
      </c>
      <c r="D597" t="s">
        <v>4390</v>
      </c>
      <c r="E597">
        <v>47300046282</v>
      </c>
      <c r="F597" t="s">
        <v>16</v>
      </c>
      <c r="G597" t="s">
        <v>17</v>
      </c>
      <c r="H597" t="s">
        <v>746</v>
      </c>
      <c r="K597" t="s">
        <v>4229</v>
      </c>
      <c r="L597" t="s">
        <v>19</v>
      </c>
      <c r="M597" t="s">
        <v>63</v>
      </c>
      <c r="N597" s="2">
        <v>45383</v>
      </c>
      <c r="O597" s="2">
        <v>45412</v>
      </c>
      <c r="P597">
        <v>250000</v>
      </c>
      <c r="Q597">
        <v>250000</v>
      </c>
      <c r="R597" t="s">
        <v>4256</v>
      </c>
      <c r="S597" t="s">
        <v>2085</v>
      </c>
      <c r="T597">
        <v>911.9</v>
      </c>
    </row>
    <row r="598" spans="1:20" x14ac:dyDescent="0.25">
      <c r="A598" t="s">
        <v>14</v>
      </c>
      <c r="B598" t="s">
        <v>2082</v>
      </c>
      <c r="C598" t="s">
        <v>4400</v>
      </c>
      <c r="D598" t="s">
        <v>4401</v>
      </c>
      <c r="E598">
        <v>47300070753</v>
      </c>
      <c r="F598" t="s">
        <v>16</v>
      </c>
      <c r="G598" t="s">
        <v>17</v>
      </c>
      <c r="H598" t="s">
        <v>82</v>
      </c>
      <c r="K598" t="s">
        <v>4229</v>
      </c>
      <c r="L598" t="s">
        <v>19</v>
      </c>
      <c r="M598" t="s">
        <v>63</v>
      </c>
      <c r="N598" s="2">
        <v>45383</v>
      </c>
      <c r="O598" s="2">
        <v>45412</v>
      </c>
      <c r="P598">
        <v>10000</v>
      </c>
      <c r="Q598">
        <v>10000</v>
      </c>
      <c r="R598" t="s">
        <v>4257</v>
      </c>
      <c r="S598" t="s">
        <v>2083</v>
      </c>
      <c r="T598">
        <v>36.5</v>
      </c>
    </row>
    <row r="599" spans="1:20" x14ac:dyDescent="0.25">
      <c r="A599" t="s">
        <v>14</v>
      </c>
      <c r="B599" t="s">
        <v>2080</v>
      </c>
      <c r="C599" t="s">
        <v>4405</v>
      </c>
      <c r="D599" t="s">
        <v>4390</v>
      </c>
      <c r="E599">
        <v>47300026094</v>
      </c>
      <c r="F599" t="s">
        <v>35</v>
      </c>
      <c r="G599" t="s">
        <v>36</v>
      </c>
      <c r="H599" t="s">
        <v>4359</v>
      </c>
      <c r="K599" t="s">
        <v>3557</v>
      </c>
      <c r="L599" t="s">
        <v>19</v>
      </c>
      <c r="M599" t="s">
        <v>20</v>
      </c>
      <c r="P599">
        <v>100000</v>
      </c>
      <c r="Q599">
        <v>100000</v>
      </c>
      <c r="R599" t="s">
        <v>3686</v>
      </c>
      <c r="S599" t="s">
        <v>2081</v>
      </c>
      <c r="T599">
        <v>364.8</v>
      </c>
    </row>
    <row r="600" spans="1:20" x14ac:dyDescent="0.25">
      <c r="A600" t="s">
        <v>14</v>
      </c>
      <c r="B600" t="s">
        <v>2078</v>
      </c>
      <c r="C600" t="s">
        <v>4365</v>
      </c>
      <c r="D600" t="s">
        <v>4366</v>
      </c>
      <c r="E600">
        <v>47300012151</v>
      </c>
      <c r="F600" t="s">
        <v>35</v>
      </c>
      <c r="G600" t="s">
        <v>36</v>
      </c>
      <c r="H600" t="s">
        <v>4362</v>
      </c>
      <c r="K600" t="s">
        <v>4229</v>
      </c>
      <c r="L600" t="s">
        <v>19</v>
      </c>
      <c r="M600" t="s">
        <v>63</v>
      </c>
      <c r="N600" s="2">
        <v>45383</v>
      </c>
      <c r="O600" s="2">
        <v>45412</v>
      </c>
      <c r="P600">
        <v>22000</v>
      </c>
      <c r="Q600">
        <v>22000</v>
      </c>
      <c r="R600" t="s">
        <v>3375</v>
      </c>
      <c r="S600" t="s">
        <v>2079</v>
      </c>
      <c r="T600">
        <v>80.2</v>
      </c>
    </row>
    <row r="601" spans="1:20" x14ac:dyDescent="0.25">
      <c r="A601" t="s">
        <v>14</v>
      </c>
      <c r="B601" t="s">
        <v>2078</v>
      </c>
      <c r="C601" t="s">
        <v>4398</v>
      </c>
      <c r="D601" t="s">
        <v>4377</v>
      </c>
      <c r="E601">
        <v>47300012151</v>
      </c>
      <c r="F601" t="s">
        <v>35</v>
      </c>
      <c r="G601" t="s">
        <v>36</v>
      </c>
      <c r="H601" t="s">
        <v>4362</v>
      </c>
      <c r="K601" t="s">
        <v>3294</v>
      </c>
      <c r="L601" t="s">
        <v>19</v>
      </c>
      <c r="M601" t="s">
        <v>46</v>
      </c>
      <c r="N601" s="2">
        <v>45383</v>
      </c>
      <c r="O601" s="2">
        <v>45412</v>
      </c>
      <c r="P601">
        <v>500</v>
      </c>
      <c r="Q601">
        <v>500</v>
      </c>
      <c r="R601" t="s">
        <v>3375</v>
      </c>
    </row>
    <row r="602" spans="1:20" x14ac:dyDescent="0.25">
      <c r="A602" t="s">
        <v>14</v>
      </c>
      <c r="B602" t="s">
        <v>2076</v>
      </c>
      <c r="C602" t="s">
        <v>4392</v>
      </c>
      <c r="D602" t="s">
        <v>4393</v>
      </c>
      <c r="E602">
        <v>47300046977</v>
      </c>
      <c r="F602" t="s">
        <v>16</v>
      </c>
      <c r="G602" t="s">
        <v>17</v>
      </c>
      <c r="H602" t="s">
        <v>175</v>
      </c>
      <c r="K602" t="s">
        <v>3557</v>
      </c>
      <c r="L602" t="s">
        <v>19</v>
      </c>
      <c r="M602" t="s">
        <v>20</v>
      </c>
      <c r="P602">
        <v>250000</v>
      </c>
      <c r="Q602">
        <v>250000</v>
      </c>
      <c r="R602" t="s">
        <v>3687</v>
      </c>
      <c r="S602" t="s">
        <v>2077</v>
      </c>
      <c r="T602">
        <v>912</v>
      </c>
    </row>
    <row r="603" spans="1:20" x14ac:dyDescent="0.25">
      <c r="A603" t="s">
        <v>14</v>
      </c>
      <c r="B603" t="s">
        <v>2074</v>
      </c>
      <c r="C603" t="s">
        <v>4418</v>
      </c>
      <c r="D603" t="s">
        <v>4368</v>
      </c>
      <c r="E603">
        <v>47300070845</v>
      </c>
      <c r="F603" t="s">
        <v>16</v>
      </c>
      <c r="G603" t="s">
        <v>23</v>
      </c>
      <c r="H603" t="s">
        <v>157</v>
      </c>
      <c r="K603" t="s">
        <v>4229</v>
      </c>
      <c r="L603" t="s">
        <v>19</v>
      </c>
      <c r="M603" t="s">
        <v>63</v>
      </c>
      <c r="N603" s="2">
        <v>45383</v>
      </c>
      <c r="O603" s="2">
        <v>45412</v>
      </c>
      <c r="P603">
        <v>250000</v>
      </c>
      <c r="Q603">
        <v>250000</v>
      </c>
      <c r="R603" t="s">
        <v>4258</v>
      </c>
      <c r="S603" t="s">
        <v>2075</v>
      </c>
      <c r="T603">
        <v>912</v>
      </c>
    </row>
    <row r="604" spans="1:20" x14ac:dyDescent="0.25">
      <c r="A604" t="s">
        <v>14</v>
      </c>
      <c r="B604" t="s">
        <v>2072</v>
      </c>
      <c r="C604" t="s">
        <v>4405</v>
      </c>
      <c r="D604" t="s">
        <v>4390</v>
      </c>
      <c r="E604">
        <v>47300086445</v>
      </c>
      <c r="F604" t="s">
        <v>16</v>
      </c>
      <c r="G604" t="s">
        <v>28</v>
      </c>
      <c r="H604" t="s">
        <v>187</v>
      </c>
      <c r="I604" t="s">
        <v>2777</v>
      </c>
      <c r="J604" t="s">
        <v>2776</v>
      </c>
      <c r="K604" t="s">
        <v>3557</v>
      </c>
      <c r="L604" t="s">
        <v>19</v>
      </c>
      <c r="M604" t="s">
        <v>20</v>
      </c>
      <c r="P604">
        <v>20000</v>
      </c>
      <c r="Q604">
        <v>20000</v>
      </c>
      <c r="R604" t="s">
        <v>3688</v>
      </c>
      <c r="S604" t="s">
        <v>2073</v>
      </c>
      <c r="T604">
        <v>73</v>
      </c>
    </row>
    <row r="605" spans="1:20" x14ac:dyDescent="0.25">
      <c r="A605" t="s">
        <v>14</v>
      </c>
      <c r="B605" t="s">
        <v>2070</v>
      </c>
      <c r="C605" t="s">
        <v>4365</v>
      </c>
      <c r="D605" t="s">
        <v>4366</v>
      </c>
      <c r="E605">
        <v>47300046738</v>
      </c>
      <c r="F605" t="s">
        <v>16</v>
      </c>
      <c r="G605" t="s">
        <v>28</v>
      </c>
      <c r="H605" t="s">
        <v>202</v>
      </c>
      <c r="K605" t="s">
        <v>3557</v>
      </c>
      <c r="L605" t="s">
        <v>19</v>
      </c>
      <c r="M605" t="s">
        <v>20</v>
      </c>
      <c r="P605">
        <v>137700</v>
      </c>
      <c r="Q605">
        <v>137700</v>
      </c>
      <c r="R605" t="s">
        <v>3689</v>
      </c>
      <c r="S605" t="s">
        <v>2071</v>
      </c>
      <c r="T605">
        <v>502.4</v>
      </c>
    </row>
    <row r="606" spans="1:20" x14ac:dyDescent="0.25">
      <c r="A606" t="s">
        <v>14</v>
      </c>
      <c r="B606" t="s">
        <v>2068</v>
      </c>
      <c r="C606" t="s">
        <v>4398</v>
      </c>
      <c r="D606" t="s">
        <v>4377</v>
      </c>
      <c r="E606">
        <v>47300070688</v>
      </c>
      <c r="F606" t="s">
        <v>16</v>
      </c>
      <c r="G606" t="s">
        <v>17</v>
      </c>
      <c r="H606" t="s">
        <v>149</v>
      </c>
      <c r="K606" t="s">
        <v>4229</v>
      </c>
      <c r="L606" t="s">
        <v>19</v>
      </c>
      <c r="M606" t="s">
        <v>63</v>
      </c>
      <c r="N606" s="2">
        <v>45383</v>
      </c>
      <c r="O606" s="2">
        <v>45412</v>
      </c>
      <c r="P606">
        <v>150000</v>
      </c>
      <c r="Q606">
        <v>150000</v>
      </c>
      <c r="R606" t="s">
        <v>2977</v>
      </c>
      <c r="S606" t="s">
        <v>2069</v>
      </c>
      <c r="T606">
        <v>547.20000000000005</v>
      </c>
    </row>
    <row r="607" spans="1:20" x14ac:dyDescent="0.25">
      <c r="A607" t="s">
        <v>14</v>
      </c>
      <c r="B607" t="s">
        <v>2068</v>
      </c>
      <c r="C607" t="s">
        <v>4392</v>
      </c>
      <c r="D607" t="s">
        <v>4393</v>
      </c>
      <c r="E607">
        <v>47300070688</v>
      </c>
      <c r="F607" t="s">
        <v>16</v>
      </c>
      <c r="G607" t="s">
        <v>17</v>
      </c>
      <c r="H607" t="s">
        <v>149</v>
      </c>
      <c r="K607" t="s">
        <v>3294</v>
      </c>
      <c r="L607" t="s">
        <v>19</v>
      </c>
      <c r="M607" t="s">
        <v>46</v>
      </c>
      <c r="N607" s="2">
        <v>45383</v>
      </c>
      <c r="O607" s="2">
        <v>45412</v>
      </c>
      <c r="P607">
        <v>500</v>
      </c>
      <c r="Q607">
        <v>500</v>
      </c>
      <c r="R607" t="s">
        <v>2977</v>
      </c>
    </row>
    <row r="608" spans="1:20" x14ac:dyDescent="0.25">
      <c r="A608" t="s">
        <v>14</v>
      </c>
      <c r="B608" t="s">
        <v>2068</v>
      </c>
      <c r="C608" t="s">
        <v>4402</v>
      </c>
      <c r="D608" t="s">
        <v>4403</v>
      </c>
      <c r="E608">
        <v>47300070688</v>
      </c>
      <c r="F608" t="s">
        <v>16</v>
      </c>
      <c r="G608" t="s">
        <v>17</v>
      </c>
      <c r="H608" t="s">
        <v>149</v>
      </c>
      <c r="K608" t="s">
        <v>3197</v>
      </c>
      <c r="L608" t="s">
        <v>19</v>
      </c>
      <c r="M608" t="s">
        <v>46</v>
      </c>
      <c r="N608" s="2">
        <v>45383</v>
      </c>
      <c r="O608" s="2">
        <v>45412</v>
      </c>
      <c r="P608">
        <v>145500</v>
      </c>
      <c r="Q608">
        <v>145500</v>
      </c>
      <c r="R608" t="s">
        <v>2977</v>
      </c>
    </row>
    <row r="609" spans="1:20" x14ac:dyDescent="0.25">
      <c r="A609" t="s">
        <v>14</v>
      </c>
      <c r="B609" t="s">
        <v>2068</v>
      </c>
      <c r="C609" t="s">
        <v>4418</v>
      </c>
      <c r="D609" t="s">
        <v>4368</v>
      </c>
      <c r="E609">
        <v>47300070688</v>
      </c>
      <c r="F609" t="s">
        <v>16</v>
      </c>
      <c r="G609" t="s">
        <v>17</v>
      </c>
      <c r="H609" t="s">
        <v>149</v>
      </c>
      <c r="K609" t="s">
        <v>2892</v>
      </c>
      <c r="L609" t="s">
        <v>19</v>
      </c>
      <c r="M609" t="s">
        <v>46</v>
      </c>
      <c r="N609" s="2">
        <v>45383</v>
      </c>
      <c r="O609" s="2">
        <v>45412</v>
      </c>
      <c r="P609">
        <v>10000</v>
      </c>
      <c r="Q609">
        <v>10000</v>
      </c>
      <c r="R609" t="s">
        <v>2977</v>
      </c>
    </row>
    <row r="610" spans="1:20" x14ac:dyDescent="0.25">
      <c r="A610" t="s">
        <v>14</v>
      </c>
      <c r="B610" t="s">
        <v>2066</v>
      </c>
      <c r="C610" t="s">
        <v>4365</v>
      </c>
      <c r="D610" t="s">
        <v>4366</v>
      </c>
      <c r="E610">
        <v>47300046316</v>
      </c>
      <c r="F610" t="s">
        <v>42</v>
      </c>
      <c r="G610" t="s">
        <v>28</v>
      </c>
      <c r="H610" t="s">
        <v>69</v>
      </c>
      <c r="K610" t="s">
        <v>4229</v>
      </c>
      <c r="L610" t="s">
        <v>19</v>
      </c>
      <c r="M610" t="s">
        <v>63</v>
      </c>
      <c r="N610" s="2">
        <v>45383</v>
      </c>
      <c r="O610" s="2">
        <v>45412</v>
      </c>
      <c r="P610">
        <v>180000</v>
      </c>
      <c r="Q610">
        <v>180000</v>
      </c>
      <c r="R610" t="s">
        <v>2978</v>
      </c>
      <c r="S610" t="s">
        <v>2067</v>
      </c>
      <c r="T610">
        <v>656.6</v>
      </c>
    </row>
    <row r="611" spans="1:20" x14ac:dyDescent="0.25">
      <c r="A611" t="s">
        <v>14</v>
      </c>
      <c r="B611" t="s">
        <v>2066</v>
      </c>
      <c r="C611" t="s">
        <v>4365</v>
      </c>
      <c r="D611" t="s">
        <v>4366</v>
      </c>
      <c r="E611">
        <v>47300046316</v>
      </c>
      <c r="F611" t="s">
        <v>42</v>
      </c>
      <c r="G611" t="s">
        <v>28</v>
      </c>
      <c r="H611" t="s">
        <v>69</v>
      </c>
      <c r="K611" t="s">
        <v>3294</v>
      </c>
      <c r="L611" t="s">
        <v>19</v>
      </c>
      <c r="M611" t="s">
        <v>46</v>
      </c>
      <c r="N611" s="2">
        <v>45383</v>
      </c>
      <c r="O611" s="2">
        <v>45412</v>
      </c>
      <c r="P611">
        <v>500</v>
      </c>
      <c r="Q611">
        <v>500</v>
      </c>
      <c r="R611" t="s">
        <v>2978</v>
      </c>
    </row>
    <row r="612" spans="1:20" x14ac:dyDescent="0.25">
      <c r="A612" t="s">
        <v>14</v>
      </c>
      <c r="B612" t="s">
        <v>2066</v>
      </c>
      <c r="C612" t="s">
        <v>4365</v>
      </c>
      <c r="D612" t="s">
        <v>4366</v>
      </c>
      <c r="E612">
        <v>47300046316</v>
      </c>
      <c r="F612" t="s">
        <v>42</v>
      </c>
      <c r="G612" t="s">
        <v>28</v>
      </c>
      <c r="H612" t="s">
        <v>69</v>
      </c>
      <c r="K612" t="s">
        <v>3197</v>
      </c>
      <c r="L612" t="s">
        <v>19</v>
      </c>
      <c r="M612" t="s">
        <v>46</v>
      </c>
      <c r="N612" s="2">
        <v>45383</v>
      </c>
      <c r="O612" s="2">
        <v>45412</v>
      </c>
      <c r="P612">
        <v>145500</v>
      </c>
      <c r="Q612">
        <v>145500</v>
      </c>
      <c r="R612" t="s">
        <v>2978</v>
      </c>
    </row>
    <row r="613" spans="1:20" x14ac:dyDescent="0.25">
      <c r="A613" t="s">
        <v>14</v>
      </c>
      <c r="B613" t="s">
        <v>2066</v>
      </c>
      <c r="C613" t="s">
        <v>4365</v>
      </c>
      <c r="D613" t="s">
        <v>4366</v>
      </c>
      <c r="E613">
        <v>47300046316</v>
      </c>
      <c r="F613" t="s">
        <v>42</v>
      </c>
      <c r="G613" t="s">
        <v>28</v>
      </c>
      <c r="H613" t="s">
        <v>69</v>
      </c>
      <c r="K613" t="s">
        <v>2892</v>
      </c>
      <c r="L613" t="s">
        <v>19</v>
      </c>
      <c r="M613" t="s">
        <v>46</v>
      </c>
      <c r="N613" s="2">
        <v>45383</v>
      </c>
      <c r="O613" s="2">
        <v>45412</v>
      </c>
      <c r="P613">
        <v>10000</v>
      </c>
      <c r="Q613">
        <v>10000</v>
      </c>
      <c r="R613" t="s">
        <v>2978</v>
      </c>
    </row>
    <row r="614" spans="1:20" x14ac:dyDescent="0.25">
      <c r="A614" t="s">
        <v>14</v>
      </c>
      <c r="B614" t="s">
        <v>2064</v>
      </c>
      <c r="C614" t="s">
        <v>4376</v>
      </c>
      <c r="D614" t="s">
        <v>4377</v>
      </c>
      <c r="E614">
        <v>47300046738</v>
      </c>
      <c r="F614" t="s">
        <v>16</v>
      </c>
      <c r="G614" t="s">
        <v>28</v>
      </c>
      <c r="H614" t="s">
        <v>202</v>
      </c>
      <c r="K614" t="s">
        <v>3557</v>
      </c>
      <c r="L614" t="s">
        <v>19</v>
      </c>
      <c r="M614" t="s">
        <v>20</v>
      </c>
      <c r="P614">
        <v>199900</v>
      </c>
      <c r="Q614">
        <v>199900</v>
      </c>
      <c r="R614" t="s">
        <v>3690</v>
      </c>
      <c r="S614" t="s">
        <v>2065</v>
      </c>
      <c r="T614">
        <v>729.2</v>
      </c>
    </row>
    <row r="615" spans="1:20" x14ac:dyDescent="0.25">
      <c r="A615" t="s">
        <v>14</v>
      </c>
      <c r="B615" t="s">
        <v>2062</v>
      </c>
      <c r="C615" t="s">
        <v>4412</v>
      </c>
      <c r="D615" t="s">
        <v>4424</v>
      </c>
      <c r="E615">
        <v>47300046720</v>
      </c>
      <c r="F615" t="s">
        <v>16</v>
      </c>
      <c r="G615" t="s">
        <v>28</v>
      </c>
      <c r="H615" t="s">
        <v>143</v>
      </c>
      <c r="K615" t="s">
        <v>3557</v>
      </c>
      <c r="L615" t="s">
        <v>19</v>
      </c>
      <c r="M615" t="s">
        <v>20</v>
      </c>
      <c r="P615">
        <v>100000</v>
      </c>
      <c r="Q615">
        <v>100000</v>
      </c>
      <c r="R615" t="s">
        <v>3691</v>
      </c>
      <c r="S615" t="s">
        <v>2063</v>
      </c>
      <c r="T615">
        <v>364.8</v>
      </c>
    </row>
    <row r="616" spans="1:20" x14ac:dyDescent="0.25">
      <c r="A616" t="s">
        <v>14</v>
      </c>
      <c r="B616" t="s">
        <v>2060</v>
      </c>
      <c r="C616" t="s">
        <v>4412</v>
      </c>
      <c r="D616" t="s">
        <v>4424</v>
      </c>
      <c r="E616">
        <v>47300070563</v>
      </c>
      <c r="F616" t="s">
        <v>16</v>
      </c>
      <c r="G616" t="s">
        <v>28</v>
      </c>
      <c r="H616" t="s">
        <v>359</v>
      </c>
      <c r="K616" t="s">
        <v>4229</v>
      </c>
      <c r="L616" t="s">
        <v>19</v>
      </c>
      <c r="M616" t="s">
        <v>63</v>
      </c>
      <c r="N616" s="2">
        <v>45383</v>
      </c>
      <c r="O616" s="2">
        <v>45412</v>
      </c>
      <c r="P616">
        <v>50000</v>
      </c>
      <c r="Q616">
        <v>50000</v>
      </c>
      <c r="R616" t="s">
        <v>2979</v>
      </c>
      <c r="S616" t="s">
        <v>2061</v>
      </c>
      <c r="T616">
        <v>182.4</v>
      </c>
    </row>
    <row r="617" spans="1:20" x14ac:dyDescent="0.25">
      <c r="A617" t="s">
        <v>14</v>
      </c>
      <c r="B617" t="s">
        <v>2060</v>
      </c>
      <c r="C617" t="s">
        <v>4369</v>
      </c>
      <c r="D617" t="s">
        <v>4370</v>
      </c>
      <c r="E617">
        <v>47300070563</v>
      </c>
      <c r="F617" t="s">
        <v>16</v>
      </c>
      <c r="G617" t="s">
        <v>28</v>
      </c>
      <c r="H617" t="s">
        <v>359</v>
      </c>
      <c r="K617" t="s">
        <v>3294</v>
      </c>
      <c r="L617" t="s">
        <v>19</v>
      </c>
      <c r="M617" t="s">
        <v>46</v>
      </c>
      <c r="N617" s="2">
        <v>45383</v>
      </c>
      <c r="O617" s="2">
        <v>45412</v>
      </c>
      <c r="P617">
        <v>500</v>
      </c>
      <c r="Q617">
        <v>500</v>
      </c>
      <c r="R617" t="s">
        <v>2979</v>
      </c>
    </row>
    <row r="618" spans="1:20" x14ac:dyDescent="0.25">
      <c r="A618" t="s">
        <v>14</v>
      </c>
      <c r="B618" t="s">
        <v>2060</v>
      </c>
      <c r="C618" t="s">
        <v>4384</v>
      </c>
      <c r="D618" t="s">
        <v>4391</v>
      </c>
      <c r="E618">
        <v>47300070563</v>
      </c>
      <c r="F618" t="s">
        <v>16</v>
      </c>
      <c r="G618" t="s">
        <v>28</v>
      </c>
      <c r="H618" t="s">
        <v>359</v>
      </c>
      <c r="K618" t="s">
        <v>3197</v>
      </c>
      <c r="L618" t="s">
        <v>19</v>
      </c>
      <c r="M618" t="s">
        <v>46</v>
      </c>
      <c r="N618" s="2">
        <v>45383</v>
      </c>
      <c r="O618" s="2">
        <v>45412</v>
      </c>
      <c r="P618">
        <v>145500</v>
      </c>
      <c r="Q618">
        <v>145500</v>
      </c>
      <c r="R618" t="s">
        <v>2979</v>
      </c>
    </row>
    <row r="619" spans="1:20" x14ac:dyDescent="0.25">
      <c r="A619" t="s">
        <v>14</v>
      </c>
      <c r="B619" t="s">
        <v>2060</v>
      </c>
      <c r="C619" t="s">
        <v>4367</v>
      </c>
      <c r="D619" t="s">
        <v>4368</v>
      </c>
      <c r="E619">
        <v>47300070563</v>
      </c>
      <c r="F619" t="s">
        <v>16</v>
      </c>
      <c r="G619" t="s">
        <v>28</v>
      </c>
      <c r="H619" t="s">
        <v>359</v>
      </c>
      <c r="K619" t="s">
        <v>2892</v>
      </c>
      <c r="L619" t="s">
        <v>19</v>
      </c>
      <c r="M619" t="s">
        <v>46</v>
      </c>
      <c r="N619" s="2">
        <v>45383</v>
      </c>
      <c r="O619" s="2">
        <v>45412</v>
      </c>
      <c r="P619">
        <v>10000</v>
      </c>
      <c r="Q619">
        <v>10000</v>
      </c>
      <c r="R619" t="s">
        <v>2979</v>
      </c>
    </row>
    <row r="620" spans="1:20" x14ac:dyDescent="0.25">
      <c r="A620" t="s">
        <v>14</v>
      </c>
      <c r="B620" t="s">
        <v>2058</v>
      </c>
      <c r="C620" t="s">
        <v>4405</v>
      </c>
      <c r="D620" t="s">
        <v>4390</v>
      </c>
      <c r="E620">
        <v>47300070563</v>
      </c>
      <c r="F620" t="s">
        <v>16</v>
      </c>
      <c r="G620" t="s">
        <v>28</v>
      </c>
      <c r="H620" t="s">
        <v>359</v>
      </c>
      <c r="K620" t="s">
        <v>3557</v>
      </c>
      <c r="L620" t="s">
        <v>19</v>
      </c>
      <c r="M620" t="s">
        <v>20</v>
      </c>
      <c r="P620">
        <v>50000</v>
      </c>
      <c r="Q620">
        <v>50000</v>
      </c>
      <c r="R620" t="s">
        <v>3692</v>
      </c>
      <c r="S620" t="s">
        <v>2059</v>
      </c>
      <c r="T620">
        <v>182.4</v>
      </c>
    </row>
    <row r="621" spans="1:20" x14ac:dyDescent="0.25">
      <c r="A621" t="s">
        <v>14</v>
      </c>
      <c r="B621" t="s">
        <v>2056</v>
      </c>
      <c r="C621" t="s">
        <v>4365</v>
      </c>
      <c r="D621" t="s">
        <v>4366</v>
      </c>
      <c r="E621">
        <v>47300070563</v>
      </c>
      <c r="F621" t="s">
        <v>16</v>
      </c>
      <c r="G621" t="s">
        <v>28</v>
      </c>
      <c r="H621" t="s">
        <v>359</v>
      </c>
      <c r="K621" t="s">
        <v>3557</v>
      </c>
      <c r="L621" t="s">
        <v>19</v>
      </c>
      <c r="M621" t="s">
        <v>20</v>
      </c>
      <c r="P621">
        <v>30000</v>
      </c>
      <c r="Q621">
        <v>30000</v>
      </c>
      <c r="R621" t="s">
        <v>3693</v>
      </c>
      <c r="S621" t="s">
        <v>2057</v>
      </c>
      <c r="T621">
        <v>109.5</v>
      </c>
    </row>
    <row r="622" spans="1:20" x14ac:dyDescent="0.25">
      <c r="A622" t="s">
        <v>14</v>
      </c>
      <c r="B622" t="s">
        <v>2054</v>
      </c>
      <c r="C622" t="s">
        <v>4398</v>
      </c>
      <c r="D622" t="s">
        <v>4377</v>
      </c>
      <c r="E622">
        <v>47300070563</v>
      </c>
      <c r="F622" t="s">
        <v>16</v>
      </c>
      <c r="G622" t="s">
        <v>28</v>
      </c>
      <c r="H622" t="s">
        <v>359</v>
      </c>
      <c r="K622" t="s">
        <v>3557</v>
      </c>
      <c r="L622" t="s">
        <v>19</v>
      </c>
      <c r="M622" t="s">
        <v>20</v>
      </c>
      <c r="P622">
        <v>30000</v>
      </c>
      <c r="Q622">
        <v>30000</v>
      </c>
      <c r="R622" t="s">
        <v>3694</v>
      </c>
      <c r="S622" t="s">
        <v>2055</v>
      </c>
      <c r="T622">
        <v>109.4</v>
      </c>
    </row>
    <row r="623" spans="1:20" x14ac:dyDescent="0.25">
      <c r="A623" t="s">
        <v>14</v>
      </c>
      <c r="B623" t="s">
        <v>2052</v>
      </c>
      <c r="C623" t="s">
        <v>4392</v>
      </c>
      <c r="D623" t="s">
        <v>4393</v>
      </c>
      <c r="E623">
        <v>47300070563</v>
      </c>
      <c r="F623" t="s">
        <v>16</v>
      </c>
      <c r="G623" t="s">
        <v>28</v>
      </c>
      <c r="H623" t="s">
        <v>359</v>
      </c>
      <c r="K623" t="s">
        <v>3557</v>
      </c>
      <c r="L623" t="s">
        <v>19</v>
      </c>
      <c r="M623" t="s">
        <v>20</v>
      </c>
      <c r="P623">
        <v>40000</v>
      </c>
      <c r="Q623">
        <v>40000</v>
      </c>
      <c r="R623" t="s">
        <v>3695</v>
      </c>
      <c r="S623" t="s">
        <v>2053</v>
      </c>
      <c r="T623">
        <v>145.9</v>
      </c>
    </row>
    <row r="624" spans="1:20" x14ac:dyDescent="0.25">
      <c r="A624" t="s">
        <v>14</v>
      </c>
      <c r="B624" t="s">
        <v>2050</v>
      </c>
      <c r="C624" t="s">
        <v>4405</v>
      </c>
      <c r="D624" t="s">
        <v>4390</v>
      </c>
      <c r="E624">
        <v>47300070605</v>
      </c>
      <c r="F624" t="s">
        <v>16</v>
      </c>
      <c r="G624" t="s">
        <v>28</v>
      </c>
      <c r="H624" t="s">
        <v>178</v>
      </c>
      <c r="K624" t="s">
        <v>4229</v>
      </c>
      <c r="L624" t="s">
        <v>19</v>
      </c>
      <c r="M624" t="s">
        <v>63</v>
      </c>
      <c r="N624" s="2">
        <v>45383</v>
      </c>
      <c r="O624" s="2">
        <v>45412</v>
      </c>
      <c r="P624">
        <v>20000</v>
      </c>
      <c r="Q624">
        <v>20000</v>
      </c>
      <c r="R624" t="s">
        <v>2980</v>
      </c>
      <c r="S624" t="s">
        <v>2051</v>
      </c>
      <c r="T624">
        <v>72.900000000000006</v>
      </c>
    </row>
    <row r="625" spans="1:20" x14ac:dyDescent="0.25">
      <c r="A625" t="s">
        <v>14</v>
      </c>
      <c r="B625" t="s">
        <v>2050</v>
      </c>
      <c r="C625" t="s">
        <v>4365</v>
      </c>
      <c r="D625" t="s">
        <v>4366</v>
      </c>
      <c r="E625">
        <v>47300070605</v>
      </c>
      <c r="F625" t="s">
        <v>16</v>
      </c>
      <c r="G625" t="s">
        <v>28</v>
      </c>
      <c r="H625" t="s">
        <v>178</v>
      </c>
      <c r="K625" t="s">
        <v>3294</v>
      </c>
      <c r="L625" t="s">
        <v>19</v>
      </c>
      <c r="M625" t="s">
        <v>46</v>
      </c>
      <c r="N625" s="2">
        <v>45383</v>
      </c>
      <c r="O625" s="2">
        <v>45412</v>
      </c>
      <c r="P625">
        <v>500</v>
      </c>
      <c r="Q625">
        <v>500</v>
      </c>
      <c r="R625" t="s">
        <v>2980</v>
      </c>
    </row>
    <row r="626" spans="1:20" x14ac:dyDescent="0.25">
      <c r="A626" t="s">
        <v>14</v>
      </c>
      <c r="B626" t="s">
        <v>2050</v>
      </c>
      <c r="C626" t="s">
        <v>4398</v>
      </c>
      <c r="D626" t="s">
        <v>4377</v>
      </c>
      <c r="E626">
        <v>47300070605</v>
      </c>
      <c r="F626" t="s">
        <v>16</v>
      </c>
      <c r="G626" t="s">
        <v>28</v>
      </c>
      <c r="H626" t="s">
        <v>178</v>
      </c>
      <c r="K626" t="s">
        <v>3197</v>
      </c>
      <c r="L626" t="s">
        <v>19</v>
      </c>
      <c r="M626" t="s">
        <v>46</v>
      </c>
      <c r="N626" s="2">
        <v>45383</v>
      </c>
      <c r="O626" s="2">
        <v>45412</v>
      </c>
      <c r="P626">
        <v>145500</v>
      </c>
      <c r="Q626">
        <v>145500</v>
      </c>
      <c r="R626" t="s">
        <v>2980</v>
      </c>
    </row>
    <row r="627" spans="1:20" x14ac:dyDescent="0.25">
      <c r="A627" t="s">
        <v>14</v>
      </c>
      <c r="B627" t="s">
        <v>2050</v>
      </c>
      <c r="C627" t="s">
        <v>4392</v>
      </c>
      <c r="D627" t="s">
        <v>4393</v>
      </c>
      <c r="E627">
        <v>47300070605</v>
      </c>
      <c r="F627" t="s">
        <v>16</v>
      </c>
      <c r="G627" t="s">
        <v>28</v>
      </c>
      <c r="H627" t="s">
        <v>178</v>
      </c>
      <c r="K627" t="s">
        <v>2892</v>
      </c>
      <c r="L627" t="s">
        <v>19</v>
      </c>
      <c r="M627" t="s">
        <v>46</v>
      </c>
      <c r="N627" s="2">
        <v>45383</v>
      </c>
      <c r="O627" s="2">
        <v>45412</v>
      </c>
      <c r="P627">
        <v>10000</v>
      </c>
      <c r="Q627">
        <v>10000</v>
      </c>
      <c r="R627" t="s">
        <v>2980</v>
      </c>
    </row>
    <row r="628" spans="1:20" x14ac:dyDescent="0.25">
      <c r="A628" t="s">
        <v>14</v>
      </c>
      <c r="B628" t="s">
        <v>2048</v>
      </c>
      <c r="C628" t="s">
        <v>4402</v>
      </c>
      <c r="D628" t="s">
        <v>4379</v>
      </c>
      <c r="E628">
        <v>47300070795</v>
      </c>
      <c r="F628" t="s">
        <v>16</v>
      </c>
      <c r="G628" t="s">
        <v>87</v>
      </c>
      <c r="H628" t="s">
        <v>88</v>
      </c>
      <c r="K628" t="s">
        <v>4229</v>
      </c>
      <c r="L628" t="s">
        <v>19</v>
      </c>
      <c r="M628" t="s">
        <v>63</v>
      </c>
      <c r="N628" s="2">
        <v>45383</v>
      </c>
      <c r="O628" s="2">
        <v>45412</v>
      </c>
      <c r="P628">
        <v>250000</v>
      </c>
      <c r="Q628">
        <v>250000</v>
      </c>
      <c r="R628" t="s">
        <v>3376</v>
      </c>
      <c r="S628" t="s">
        <v>2049</v>
      </c>
      <c r="T628">
        <v>584.29999999999995</v>
      </c>
    </row>
    <row r="629" spans="1:20" x14ac:dyDescent="0.25">
      <c r="A629" t="s">
        <v>14</v>
      </c>
      <c r="B629" t="s">
        <v>2048</v>
      </c>
      <c r="C629" t="s">
        <v>4374</v>
      </c>
      <c r="D629" t="s">
        <v>4375</v>
      </c>
      <c r="E629">
        <v>47300070795</v>
      </c>
      <c r="F629" t="s">
        <v>16</v>
      </c>
      <c r="G629" t="s">
        <v>87</v>
      </c>
      <c r="H629" t="s">
        <v>88</v>
      </c>
      <c r="K629" t="s">
        <v>3294</v>
      </c>
      <c r="L629" t="s">
        <v>19</v>
      </c>
      <c r="M629" t="s">
        <v>46</v>
      </c>
      <c r="N629" s="2">
        <v>45383</v>
      </c>
      <c r="O629" s="2">
        <v>45412</v>
      </c>
      <c r="P629">
        <v>500</v>
      </c>
      <c r="Q629">
        <v>500</v>
      </c>
      <c r="R629" t="s">
        <v>3376</v>
      </c>
    </row>
    <row r="630" spans="1:20" x14ac:dyDescent="0.25">
      <c r="A630" t="s">
        <v>14</v>
      </c>
      <c r="B630" t="s">
        <v>2046</v>
      </c>
      <c r="C630" t="s">
        <v>4374</v>
      </c>
      <c r="D630" t="s">
        <v>4375</v>
      </c>
      <c r="E630">
        <v>47300070654</v>
      </c>
      <c r="F630" t="s">
        <v>16</v>
      </c>
      <c r="G630" t="s">
        <v>28</v>
      </c>
      <c r="H630" t="s">
        <v>217</v>
      </c>
      <c r="K630" t="s">
        <v>3557</v>
      </c>
      <c r="L630" t="s">
        <v>19</v>
      </c>
      <c r="M630" t="s">
        <v>20</v>
      </c>
      <c r="P630">
        <v>30000</v>
      </c>
      <c r="Q630">
        <v>30000</v>
      </c>
      <c r="R630" t="s">
        <v>3696</v>
      </c>
      <c r="S630" t="s">
        <v>2047</v>
      </c>
      <c r="T630">
        <v>70.099999999999994</v>
      </c>
    </row>
    <row r="631" spans="1:20" x14ac:dyDescent="0.25">
      <c r="A631" t="s">
        <v>14</v>
      </c>
      <c r="B631" t="s">
        <v>2044</v>
      </c>
      <c r="C631" t="s">
        <v>4405</v>
      </c>
      <c r="D631" t="s">
        <v>4390</v>
      </c>
      <c r="E631">
        <v>47300070605</v>
      </c>
      <c r="F631" t="s">
        <v>16</v>
      </c>
      <c r="G631" t="s">
        <v>28</v>
      </c>
      <c r="H631" t="s">
        <v>178</v>
      </c>
      <c r="K631" t="s">
        <v>3557</v>
      </c>
      <c r="L631" t="s">
        <v>19</v>
      </c>
      <c r="M631" t="s">
        <v>20</v>
      </c>
      <c r="P631">
        <v>100000</v>
      </c>
      <c r="Q631">
        <v>100000</v>
      </c>
      <c r="R631" t="s">
        <v>3697</v>
      </c>
      <c r="S631" t="s">
        <v>2045</v>
      </c>
      <c r="T631">
        <v>233.7</v>
      </c>
    </row>
    <row r="632" spans="1:20" x14ac:dyDescent="0.25">
      <c r="A632" t="s">
        <v>14</v>
      </c>
      <c r="B632" t="s">
        <v>2043</v>
      </c>
      <c r="C632" t="s">
        <v>4365</v>
      </c>
      <c r="D632" t="s">
        <v>4403</v>
      </c>
      <c r="E632">
        <v>47300070597</v>
      </c>
      <c r="F632" t="s">
        <v>16</v>
      </c>
      <c r="G632" t="s">
        <v>28</v>
      </c>
      <c r="H632" t="s">
        <v>77</v>
      </c>
      <c r="K632" t="s">
        <v>3294</v>
      </c>
      <c r="L632" t="s">
        <v>19</v>
      </c>
      <c r="M632" t="s">
        <v>46</v>
      </c>
      <c r="N632" s="2">
        <v>45383</v>
      </c>
      <c r="O632" s="2">
        <v>45412</v>
      </c>
      <c r="P632">
        <v>500</v>
      </c>
      <c r="Q632">
        <v>500</v>
      </c>
      <c r="R632" t="s">
        <v>3377</v>
      </c>
    </row>
    <row r="633" spans="1:20" x14ac:dyDescent="0.25">
      <c r="A633" t="s">
        <v>14</v>
      </c>
      <c r="B633" t="s">
        <v>2042</v>
      </c>
      <c r="C633" t="s">
        <v>4376</v>
      </c>
      <c r="D633" t="s">
        <v>4407</v>
      </c>
      <c r="E633">
        <v>47300070589</v>
      </c>
      <c r="F633" t="s">
        <v>16</v>
      </c>
      <c r="G633" t="s">
        <v>28</v>
      </c>
      <c r="H633" t="s">
        <v>221</v>
      </c>
      <c r="K633" t="s">
        <v>2892</v>
      </c>
      <c r="L633" t="s">
        <v>19</v>
      </c>
      <c r="M633" t="s">
        <v>46</v>
      </c>
      <c r="N633" s="2">
        <v>45383</v>
      </c>
      <c r="O633" s="2">
        <v>45412</v>
      </c>
      <c r="P633">
        <v>10000</v>
      </c>
      <c r="Q633">
        <v>10000</v>
      </c>
      <c r="R633" t="s">
        <v>2981</v>
      </c>
    </row>
    <row r="634" spans="1:20" x14ac:dyDescent="0.25">
      <c r="A634" t="s">
        <v>14</v>
      </c>
      <c r="B634" t="s">
        <v>2040</v>
      </c>
      <c r="C634" t="s">
        <v>4412</v>
      </c>
      <c r="D634" t="s">
        <v>4377</v>
      </c>
      <c r="E634">
        <v>47300070555</v>
      </c>
      <c r="F634" t="s">
        <v>35</v>
      </c>
      <c r="G634" t="s">
        <v>35</v>
      </c>
      <c r="H634" t="s">
        <v>116</v>
      </c>
      <c r="K634" t="s">
        <v>3557</v>
      </c>
      <c r="L634" t="s">
        <v>19</v>
      </c>
      <c r="M634" t="s">
        <v>20</v>
      </c>
      <c r="P634">
        <v>20000</v>
      </c>
      <c r="Q634">
        <v>20000</v>
      </c>
      <c r="R634" t="s">
        <v>3698</v>
      </c>
      <c r="S634" t="s">
        <v>2041</v>
      </c>
      <c r="T634">
        <v>46.7</v>
      </c>
    </row>
    <row r="635" spans="1:20" x14ac:dyDescent="0.25">
      <c r="A635" t="s">
        <v>14</v>
      </c>
      <c r="B635" t="s">
        <v>2038</v>
      </c>
      <c r="C635" t="s">
        <v>4418</v>
      </c>
      <c r="D635" t="s">
        <v>4368</v>
      </c>
      <c r="E635">
        <v>47300026094</v>
      </c>
      <c r="F635" t="s">
        <v>35</v>
      </c>
      <c r="G635" t="s">
        <v>36</v>
      </c>
      <c r="H635" t="s">
        <v>4359</v>
      </c>
      <c r="K635" t="s">
        <v>3557</v>
      </c>
      <c r="L635" t="s">
        <v>19</v>
      </c>
      <c r="M635" t="s">
        <v>20</v>
      </c>
      <c r="P635">
        <v>100000</v>
      </c>
      <c r="Q635">
        <v>100000</v>
      </c>
      <c r="R635" t="s">
        <v>3699</v>
      </c>
      <c r="S635" t="s">
        <v>2039</v>
      </c>
      <c r="T635">
        <v>233.7</v>
      </c>
    </row>
    <row r="636" spans="1:20" x14ac:dyDescent="0.25">
      <c r="A636" t="s">
        <v>14</v>
      </c>
      <c r="B636" t="s">
        <v>2036</v>
      </c>
      <c r="C636" t="s">
        <v>4419</v>
      </c>
      <c r="D636" t="s">
        <v>4368</v>
      </c>
      <c r="E636">
        <v>47300025708</v>
      </c>
      <c r="F636" t="s">
        <v>35</v>
      </c>
      <c r="G636" t="s">
        <v>36</v>
      </c>
      <c r="H636" t="s">
        <v>4360</v>
      </c>
      <c r="K636" t="s">
        <v>3557</v>
      </c>
      <c r="L636" t="s">
        <v>19</v>
      </c>
      <c r="M636" t="s">
        <v>20</v>
      </c>
      <c r="P636">
        <v>50000</v>
      </c>
      <c r="Q636">
        <v>50000</v>
      </c>
      <c r="R636" t="s">
        <v>3700</v>
      </c>
      <c r="S636" t="s">
        <v>2037</v>
      </c>
      <c r="T636">
        <v>116.9</v>
      </c>
    </row>
    <row r="637" spans="1:20" x14ac:dyDescent="0.25">
      <c r="A637" t="s">
        <v>14</v>
      </c>
      <c r="B637" t="s">
        <v>2034</v>
      </c>
      <c r="C637" t="s">
        <v>4409</v>
      </c>
      <c r="D637" t="s">
        <v>4410</v>
      </c>
      <c r="E637">
        <v>47300025690</v>
      </c>
      <c r="F637" t="s">
        <v>35</v>
      </c>
      <c r="G637" t="s">
        <v>36</v>
      </c>
      <c r="H637" t="s">
        <v>37</v>
      </c>
      <c r="K637" t="s">
        <v>3557</v>
      </c>
      <c r="L637" t="s">
        <v>19</v>
      </c>
      <c r="M637" t="s">
        <v>20</v>
      </c>
      <c r="P637">
        <v>50000</v>
      </c>
      <c r="Q637">
        <v>50000</v>
      </c>
      <c r="R637" t="s">
        <v>3701</v>
      </c>
      <c r="S637" t="s">
        <v>2035</v>
      </c>
      <c r="T637">
        <v>116.8</v>
      </c>
    </row>
    <row r="638" spans="1:20" x14ac:dyDescent="0.25">
      <c r="A638" t="s">
        <v>14</v>
      </c>
      <c r="B638" t="s">
        <v>2032</v>
      </c>
      <c r="C638" t="s">
        <v>4386</v>
      </c>
      <c r="D638" t="s">
        <v>4368</v>
      </c>
      <c r="E638">
        <v>47300026185</v>
      </c>
      <c r="F638" t="s">
        <v>35</v>
      </c>
      <c r="G638" t="s">
        <v>36</v>
      </c>
      <c r="H638" t="s">
        <v>4361</v>
      </c>
      <c r="K638" t="s">
        <v>3557</v>
      </c>
      <c r="L638" t="s">
        <v>19</v>
      </c>
      <c r="M638" t="s">
        <v>20</v>
      </c>
      <c r="P638">
        <v>50000</v>
      </c>
      <c r="Q638">
        <v>50000</v>
      </c>
      <c r="R638" t="s">
        <v>3702</v>
      </c>
      <c r="S638" t="s">
        <v>2033</v>
      </c>
      <c r="T638">
        <v>116.8</v>
      </c>
    </row>
    <row r="639" spans="1:20" x14ac:dyDescent="0.25">
      <c r="A639" t="s">
        <v>14</v>
      </c>
      <c r="B639" t="s">
        <v>2030</v>
      </c>
      <c r="C639" t="s">
        <v>4371</v>
      </c>
      <c r="D639" t="s">
        <v>4368</v>
      </c>
      <c r="E639">
        <v>47300020147</v>
      </c>
      <c r="F639" t="s">
        <v>35</v>
      </c>
      <c r="G639" t="s">
        <v>36</v>
      </c>
      <c r="H639" t="s">
        <v>4363</v>
      </c>
      <c r="K639" t="s">
        <v>3557</v>
      </c>
      <c r="L639" t="s">
        <v>19</v>
      </c>
      <c r="M639" t="s">
        <v>20</v>
      </c>
      <c r="P639">
        <v>50000</v>
      </c>
      <c r="Q639">
        <v>50000</v>
      </c>
      <c r="R639" t="s">
        <v>3703</v>
      </c>
      <c r="S639" t="s">
        <v>2031</v>
      </c>
      <c r="T639">
        <v>116.8</v>
      </c>
    </row>
    <row r="640" spans="1:20" x14ac:dyDescent="0.25">
      <c r="A640" t="s">
        <v>14</v>
      </c>
      <c r="B640" t="s">
        <v>2028</v>
      </c>
      <c r="C640" t="s">
        <v>4367</v>
      </c>
      <c r="D640" t="s">
        <v>4368</v>
      </c>
      <c r="E640">
        <v>47300012151</v>
      </c>
      <c r="F640" t="s">
        <v>35</v>
      </c>
      <c r="G640" t="s">
        <v>36</v>
      </c>
      <c r="H640" t="s">
        <v>4362</v>
      </c>
      <c r="K640" t="s">
        <v>3557</v>
      </c>
      <c r="L640" t="s">
        <v>19</v>
      </c>
      <c r="M640" t="s">
        <v>20</v>
      </c>
      <c r="P640">
        <v>50000</v>
      </c>
      <c r="Q640">
        <v>50000</v>
      </c>
      <c r="R640" t="s">
        <v>3704</v>
      </c>
      <c r="S640" t="s">
        <v>2029</v>
      </c>
      <c r="T640">
        <v>116.9</v>
      </c>
    </row>
    <row r="641" spans="1:24" x14ac:dyDescent="0.25">
      <c r="A641" t="s">
        <v>14</v>
      </c>
      <c r="B641" t="s">
        <v>2026</v>
      </c>
      <c r="C641" t="s">
        <v>3300</v>
      </c>
      <c r="D641" t="s">
        <v>3299</v>
      </c>
      <c r="E641">
        <v>47300046258</v>
      </c>
      <c r="F641" t="s">
        <v>16</v>
      </c>
      <c r="G641" t="s">
        <v>28</v>
      </c>
      <c r="H641" t="s">
        <v>160</v>
      </c>
      <c r="K641" t="s">
        <v>3557</v>
      </c>
      <c r="L641" t="s">
        <v>19</v>
      </c>
      <c r="M641" t="s">
        <v>20</v>
      </c>
      <c r="P641">
        <v>50000</v>
      </c>
      <c r="Q641">
        <v>50000</v>
      </c>
      <c r="R641" t="s">
        <v>3705</v>
      </c>
      <c r="S641" t="s">
        <v>2027</v>
      </c>
      <c r="T641">
        <v>116.9</v>
      </c>
    </row>
    <row r="642" spans="1:24" x14ac:dyDescent="0.25">
      <c r="A642" t="s">
        <v>14</v>
      </c>
      <c r="B642" t="s">
        <v>2024</v>
      </c>
      <c r="C642" t="s">
        <v>4394</v>
      </c>
      <c r="D642" t="s">
        <v>4395</v>
      </c>
      <c r="E642">
        <v>47300046761</v>
      </c>
      <c r="F642" t="s">
        <v>42</v>
      </c>
      <c r="G642" t="s">
        <v>28</v>
      </c>
      <c r="H642" t="s">
        <v>43</v>
      </c>
      <c r="K642" t="s">
        <v>3557</v>
      </c>
      <c r="L642" t="s">
        <v>19</v>
      </c>
      <c r="M642" t="s">
        <v>20</v>
      </c>
      <c r="P642">
        <v>50000</v>
      </c>
      <c r="Q642">
        <v>50000</v>
      </c>
      <c r="R642" t="s">
        <v>3706</v>
      </c>
      <c r="S642" t="s">
        <v>2025</v>
      </c>
      <c r="T642">
        <v>116.8</v>
      </c>
    </row>
    <row r="643" spans="1:24" x14ac:dyDescent="0.25">
      <c r="A643" t="s">
        <v>14</v>
      </c>
      <c r="B643" t="s">
        <v>2022</v>
      </c>
      <c r="C643" t="s">
        <v>4369</v>
      </c>
      <c r="D643" t="s">
        <v>4370</v>
      </c>
      <c r="E643">
        <v>47300086445</v>
      </c>
      <c r="F643" t="s">
        <v>16</v>
      </c>
      <c r="G643" t="s">
        <v>28</v>
      </c>
      <c r="H643" t="s">
        <v>187</v>
      </c>
      <c r="I643" t="s">
        <v>2777</v>
      </c>
      <c r="J643" t="s">
        <v>2776</v>
      </c>
      <c r="K643" t="s">
        <v>3557</v>
      </c>
      <c r="L643" t="s">
        <v>19</v>
      </c>
      <c r="M643" t="s">
        <v>20</v>
      </c>
      <c r="P643">
        <v>25000</v>
      </c>
      <c r="Q643">
        <v>25000</v>
      </c>
      <c r="R643" t="s">
        <v>3707</v>
      </c>
      <c r="S643" t="s">
        <v>2023</v>
      </c>
      <c r="T643">
        <v>58.5</v>
      </c>
    </row>
    <row r="644" spans="1:24" x14ac:dyDescent="0.25">
      <c r="A644" t="s">
        <v>14</v>
      </c>
      <c r="B644" t="s">
        <v>2020</v>
      </c>
      <c r="C644" t="s">
        <v>4387</v>
      </c>
      <c r="D644" t="s">
        <v>4388</v>
      </c>
      <c r="E644">
        <v>47300046241</v>
      </c>
      <c r="F644" t="s">
        <v>16</v>
      </c>
      <c r="G644" t="s">
        <v>23</v>
      </c>
      <c r="H644" t="s">
        <v>24</v>
      </c>
      <c r="I644" t="s">
        <v>2754</v>
      </c>
      <c r="J644">
        <v>0</v>
      </c>
      <c r="K644" t="s">
        <v>3557</v>
      </c>
      <c r="L644" t="s">
        <v>19</v>
      </c>
      <c r="M644" t="s">
        <v>20</v>
      </c>
      <c r="P644">
        <v>20000</v>
      </c>
      <c r="Q644">
        <v>20000</v>
      </c>
      <c r="R644" t="s">
        <v>3708</v>
      </c>
      <c r="S644" t="s">
        <v>2021</v>
      </c>
      <c r="T644">
        <v>46.7</v>
      </c>
    </row>
    <row r="645" spans="1:24" x14ac:dyDescent="0.25">
      <c r="A645" t="s">
        <v>14</v>
      </c>
      <c r="B645" t="s">
        <v>2018</v>
      </c>
      <c r="C645" t="s">
        <v>4387</v>
      </c>
      <c r="D645" t="s">
        <v>4388</v>
      </c>
      <c r="E645">
        <v>47300070555</v>
      </c>
      <c r="F645" t="s">
        <v>35</v>
      </c>
      <c r="G645" t="s">
        <v>35</v>
      </c>
      <c r="H645" t="s">
        <v>116</v>
      </c>
      <c r="K645" t="s">
        <v>3557</v>
      </c>
      <c r="L645" t="s">
        <v>19</v>
      </c>
      <c r="M645" t="s">
        <v>20</v>
      </c>
      <c r="P645">
        <v>20000</v>
      </c>
      <c r="Q645">
        <v>20000</v>
      </c>
      <c r="R645" t="s">
        <v>3709</v>
      </c>
      <c r="S645" t="s">
        <v>2019</v>
      </c>
      <c r="T645">
        <v>46.8</v>
      </c>
    </row>
    <row r="646" spans="1:24" x14ac:dyDescent="0.25">
      <c r="A646" t="s">
        <v>14</v>
      </c>
      <c r="B646" t="s">
        <v>2016</v>
      </c>
      <c r="C646" t="s">
        <v>4367</v>
      </c>
      <c r="D646" t="s">
        <v>4368</v>
      </c>
      <c r="E646">
        <v>47300026094</v>
      </c>
      <c r="F646" t="s">
        <v>35</v>
      </c>
      <c r="G646" t="s">
        <v>36</v>
      </c>
      <c r="H646" t="s">
        <v>4359</v>
      </c>
      <c r="K646" t="s">
        <v>3557</v>
      </c>
      <c r="L646" t="s">
        <v>19</v>
      </c>
      <c r="M646" t="s">
        <v>20</v>
      </c>
      <c r="P646">
        <v>100000</v>
      </c>
      <c r="Q646">
        <v>100000</v>
      </c>
      <c r="R646" t="s">
        <v>3710</v>
      </c>
      <c r="S646" t="s">
        <v>2017</v>
      </c>
      <c r="T646">
        <v>233.8</v>
      </c>
    </row>
    <row r="647" spans="1:24" x14ac:dyDescent="0.25">
      <c r="A647" t="s">
        <v>14</v>
      </c>
      <c r="B647" t="s">
        <v>2014</v>
      </c>
      <c r="C647" t="s">
        <v>3300</v>
      </c>
      <c r="D647" t="s">
        <v>3299</v>
      </c>
      <c r="E647">
        <v>47300046761</v>
      </c>
      <c r="F647" t="s">
        <v>42</v>
      </c>
      <c r="G647" t="s">
        <v>28</v>
      </c>
      <c r="H647" t="s">
        <v>43</v>
      </c>
      <c r="K647" t="s">
        <v>3557</v>
      </c>
      <c r="L647" t="s">
        <v>19</v>
      </c>
      <c r="M647" t="s">
        <v>20</v>
      </c>
      <c r="P647">
        <v>50000</v>
      </c>
      <c r="Q647">
        <v>50000</v>
      </c>
      <c r="R647" t="s">
        <v>3711</v>
      </c>
      <c r="S647" t="s">
        <v>2015</v>
      </c>
      <c r="T647">
        <v>116.9</v>
      </c>
    </row>
    <row r="648" spans="1:24" x14ac:dyDescent="0.25">
      <c r="A648" t="s">
        <v>14</v>
      </c>
      <c r="B648" t="s">
        <v>2012</v>
      </c>
      <c r="C648" t="s">
        <v>4404</v>
      </c>
      <c r="D648" t="s">
        <v>2893</v>
      </c>
      <c r="E648">
        <v>47300088318</v>
      </c>
      <c r="F648" t="s">
        <v>35</v>
      </c>
      <c r="G648" t="s">
        <v>36</v>
      </c>
      <c r="H648" t="s">
        <v>1126</v>
      </c>
      <c r="K648" t="s">
        <v>4229</v>
      </c>
      <c r="L648" t="s">
        <v>19</v>
      </c>
      <c r="M648" t="s">
        <v>63</v>
      </c>
      <c r="N648" s="2">
        <v>45383</v>
      </c>
      <c r="O648" s="2">
        <v>45412</v>
      </c>
      <c r="P648">
        <v>48000</v>
      </c>
      <c r="Q648">
        <v>48000</v>
      </c>
      <c r="R648" t="s">
        <v>3378</v>
      </c>
      <c r="S648" t="s">
        <v>2013</v>
      </c>
      <c r="T648">
        <v>112.2</v>
      </c>
      <c r="X648" t="s">
        <v>3275</v>
      </c>
    </row>
    <row r="649" spans="1:24" x14ac:dyDescent="0.25">
      <c r="A649" t="s">
        <v>14</v>
      </c>
      <c r="B649" t="s">
        <v>2012</v>
      </c>
      <c r="C649" t="s">
        <v>4411</v>
      </c>
      <c r="D649" t="s">
        <v>3275</v>
      </c>
      <c r="E649">
        <v>47300088318</v>
      </c>
      <c r="F649" t="s">
        <v>35</v>
      </c>
      <c r="G649" t="s">
        <v>36</v>
      </c>
      <c r="H649" t="s">
        <v>1126</v>
      </c>
      <c r="K649" t="s">
        <v>3294</v>
      </c>
      <c r="L649" t="s">
        <v>19</v>
      </c>
      <c r="M649" t="s">
        <v>46</v>
      </c>
      <c r="N649" s="2">
        <v>45383</v>
      </c>
      <c r="O649" s="2">
        <v>45412</v>
      </c>
      <c r="P649">
        <v>500</v>
      </c>
      <c r="Q649">
        <v>500</v>
      </c>
      <c r="R649" t="s">
        <v>3378</v>
      </c>
    </row>
    <row r="650" spans="1:24" x14ac:dyDescent="0.25">
      <c r="A650" t="s">
        <v>14</v>
      </c>
      <c r="B650" t="s">
        <v>2010</v>
      </c>
      <c r="C650" t="s">
        <v>4404</v>
      </c>
      <c r="D650" t="s">
        <v>2893</v>
      </c>
      <c r="E650">
        <v>47300088367</v>
      </c>
      <c r="F650" t="s">
        <v>35</v>
      </c>
      <c r="G650" t="s">
        <v>36</v>
      </c>
      <c r="H650" t="s">
        <v>654</v>
      </c>
      <c r="K650" t="s">
        <v>4229</v>
      </c>
      <c r="L650" t="s">
        <v>19</v>
      </c>
      <c r="M650" t="s">
        <v>63</v>
      </c>
      <c r="N650" s="2">
        <v>45383</v>
      </c>
      <c r="O650" s="2">
        <v>45412</v>
      </c>
      <c r="P650">
        <v>48000</v>
      </c>
      <c r="Q650">
        <v>48000</v>
      </c>
      <c r="R650" t="s">
        <v>3282</v>
      </c>
      <c r="S650" t="s">
        <v>2011</v>
      </c>
      <c r="T650">
        <v>112.2</v>
      </c>
      <c r="X650" t="s">
        <v>3275</v>
      </c>
    </row>
    <row r="651" spans="1:24" x14ac:dyDescent="0.25">
      <c r="A651" t="s">
        <v>14</v>
      </c>
      <c r="B651" t="s">
        <v>2010</v>
      </c>
      <c r="C651" t="s">
        <v>4404</v>
      </c>
      <c r="D651" t="s">
        <v>2893</v>
      </c>
      <c r="E651">
        <v>47300088367</v>
      </c>
      <c r="F651" t="s">
        <v>35</v>
      </c>
      <c r="G651" t="s">
        <v>36</v>
      </c>
      <c r="H651" t="s">
        <v>654</v>
      </c>
      <c r="K651" t="s">
        <v>3294</v>
      </c>
      <c r="L651" t="s">
        <v>19</v>
      </c>
      <c r="M651" t="s">
        <v>46</v>
      </c>
      <c r="N651" s="2">
        <v>45383</v>
      </c>
      <c r="O651" s="2">
        <v>45412</v>
      </c>
      <c r="P651">
        <v>500</v>
      </c>
      <c r="Q651">
        <v>500</v>
      </c>
      <c r="R651" t="s">
        <v>3282</v>
      </c>
      <c r="X651" t="s">
        <v>3275</v>
      </c>
    </row>
    <row r="652" spans="1:24" x14ac:dyDescent="0.25">
      <c r="A652" t="s">
        <v>14</v>
      </c>
      <c r="B652" t="s">
        <v>2010</v>
      </c>
      <c r="C652" t="s">
        <v>4411</v>
      </c>
      <c r="D652" t="s">
        <v>3275</v>
      </c>
      <c r="E652">
        <v>47300088367</v>
      </c>
      <c r="F652" t="s">
        <v>35</v>
      </c>
      <c r="G652" t="s">
        <v>36</v>
      </c>
      <c r="H652" t="s">
        <v>654</v>
      </c>
      <c r="K652" t="s">
        <v>3280</v>
      </c>
      <c r="L652" t="s">
        <v>47</v>
      </c>
      <c r="N652" s="2">
        <v>45352</v>
      </c>
      <c r="O652" s="2">
        <v>45382</v>
      </c>
      <c r="P652">
        <v>500</v>
      </c>
      <c r="Q652">
        <v>500</v>
      </c>
      <c r="R652" t="s">
        <v>3282</v>
      </c>
    </row>
    <row r="653" spans="1:24" x14ac:dyDescent="0.25">
      <c r="A653" t="s">
        <v>14</v>
      </c>
      <c r="B653" t="s">
        <v>2008</v>
      </c>
      <c r="C653" t="s">
        <v>4369</v>
      </c>
      <c r="D653" t="s">
        <v>4370</v>
      </c>
      <c r="E653">
        <v>47300026094</v>
      </c>
      <c r="F653" t="s">
        <v>35</v>
      </c>
      <c r="G653" t="s">
        <v>36</v>
      </c>
      <c r="H653" t="s">
        <v>4359</v>
      </c>
      <c r="K653" t="s">
        <v>3557</v>
      </c>
      <c r="L653" t="s">
        <v>19</v>
      </c>
      <c r="M653" t="s">
        <v>20</v>
      </c>
      <c r="P653">
        <v>200000</v>
      </c>
      <c r="Q653">
        <v>200000</v>
      </c>
      <c r="R653" t="s">
        <v>3712</v>
      </c>
      <c r="S653" t="s">
        <v>2009</v>
      </c>
      <c r="T653">
        <v>467.4</v>
      </c>
    </row>
    <row r="654" spans="1:24" x14ac:dyDescent="0.25">
      <c r="A654" t="s">
        <v>14</v>
      </c>
      <c r="B654" t="s">
        <v>2006</v>
      </c>
      <c r="C654" t="s">
        <v>4386</v>
      </c>
      <c r="D654" t="s">
        <v>4368</v>
      </c>
      <c r="E654">
        <v>47300025708</v>
      </c>
      <c r="F654" t="s">
        <v>35</v>
      </c>
      <c r="G654" t="s">
        <v>36</v>
      </c>
      <c r="H654" t="s">
        <v>4360</v>
      </c>
      <c r="K654" t="s">
        <v>3557</v>
      </c>
      <c r="L654" t="s">
        <v>19</v>
      </c>
      <c r="M654" t="s">
        <v>20</v>
      </c>
      <c r="P654">
        <v>100000</v>
      </c>
      <c r="Q654">
        <v>100000</v>
      </c>
      <c r="R654" t="s">
        <v>3713</v>
      </c>
      <c r="S654" t="s">
        <v>2007</v>
      </c>
      <c r="T654">
        <v>233.7</v>
      </c>
    </row>
    <row r="655" spans="1:24" x14ac:dyDescent="0.25">
      <c r="A655" t="s">
        <v>14</v>
      </c>
      <c r="B655" t="s">
        <v>2004</v>
      </c>
      <c r="C655" t="s">
        <v>4371</v>
      </c>
      <c r="D655" t="s">
        <v>4368</v>
      </c>
      <c r="E655">
        <v>47300025690</v>
      </c>
      <c r="F655" t="s">
        <v>35</v>
      </c>
      <c r="G655" t="s">
        <v>36</v>
      </c>
      <c r="H655" t="s">
        <v>37</v>
      </c>
      <c r="K655" t="s">
        <v>3557</v>
      </c>
      <c r="L655" t="s">
        <v>19</v>
      </c>
      <c r="M655" t="s">
        <v>20</v>
      </c>
      <c r="P655">
        <v>50000</v>
      </c>
      <c r="Q655">
        <v>50000</v>
      </c>
      <c r="R655" t="s">
        <v>3714</v>
      </c>
      <c r="S655" t="s">
        <v>2005</v>
      </c>
      <c r="T655">
        <v>116.9</v>
      </c>
    </row>
    <row r="656" spans="1:24" x14ac:dyDescent="0.25">
      <c r="A656" t="s">
        <v>14</v>
      </c>
      <c r="B656" t="s">
        <v>2002</v>
      </c>
      <c r="C656" t="s">
        <v>4367</v>
      </c>
      <c r="D656" t="s">
        <v>4368</v>
      </c>
      <c r="E656">
        <v>47300086445</v>
      </c>
      <c r="F656" t="s">
        <v>16</v>
      </c>
      <c r="G656" t="s">
        <v>28</v>
      </c>
      <c r="H656" t="s">
        <v>187</v>
      </c>
      <c r="I656" t="s">
        <v>2777</v>
      </c>
      <c r="J656" t="s">
        <v>2776</v>
      </c>
      <c r="K656" t="s">
        <v>3557</v>
      </c>
      <c r="L656" t="s">
        <v>19</v>
      </c>
      <c r="M656" t="s">
        <v>20</v>
      </c>
      <c r="P656">
        <v>25000</v>
      </c>
      <c r="Q656">
        <v>25000</v>
      </c>
      <c r="R656" t="s">
        <v>3715</v>
      </c>
      <c r="S656" t="s">
        <v>2003</v>
      </c>
      <c r="T656">
        <v>58.4</v>
      </c>
    </row>
    <row r="657" spans="1:20" x14ac:dyDescent="0.25">
      <c r="A657" t="s">
        <v>14</v>
      </c>
      <c r="B657" t="s">
        <v>2000</v>
      </c>
      <c r="C657" t="s">
        <v>4387</v>
      </c>
      <c r="D657" t="s">
        <v>4388</v>
      </c>
      <c r="E657">
        <v>47300046662</v>
      </c>
      <c r="F657" t="s">
        <v>16</v>
      </c>
      <c r="G657" t="s">
        <v>28</v>
      </c>
      <c r="H657" t="s">
        <v>129</v>
      </c>
      <c r="K657" t="s">
        <v>3557</v>
      </c>
      <c r="L657" t="s">
        <v>19</v>
      </c>
      <c r="M657" t="s">
        <v>20</v>
      </c>
      <c r="P657">
        <v>40000</v>
      </c>
      <c r="Q657">
        <v>40000</v>
      </c>
      <c r="R657" t="s">
        <v>3716</v>
      </c>
      <c r="S657" t="s">
        <v>2001</v>
      </c>
      <c r="T657">
        <v>93.5</v>
      </c>
    </row>
    <row r="658" spans="1:20" x14ac:dyDescent="0.25">
      <c r="A658" t="s">
        <v>14</v>
      </c>
      <c r="B658" t="s">
        <v>1998</v>
      </c>
      <c r="C658" t="s">
        <v>4414</v>
      </c>
      <c r="D658" t="s">
        <v>4401</v>
      </c>
      <c r="E658">
        <v>47300046746</v>
      </c>
      <c r="F658" t="s">
        <v>16</v>
      </c>
      <c r="G658" t="s">
        <v>28</v>
      </c>
      <c r="H658" t="s">
        <v>32</v>
      </c>
      <c r="K658" t="s">
        <v>3557</v>
      </c>
      <c r="L658" t="s">
        <v>19</v>
      </c>
      <c r="M658" t="s">
        <v>20</v>
      </c>
      <c r="P658">
        <v>15000</v>
      </c>
      <c r="Q658">
        <v>15000</v>
      </c>
      <c r="R658" t="s">
        <v>3717</v>
      </c>
      <c r="S658" t="s">
        <v>1999</v>
      </c>
      <c r="T658">
        <v>35.1</v>
      </c>
    </row>
    <row r="659" spans="1:20" x14ac:dyDescent="0.25">
      <c r="A659" t="s">
        <v>14</v>
      </c>
      <c r="B659" t="s">
        <v>1996</v>
      </c>
      <c r="C659" t="s">
        <v>4396</v>
      </c>
      <c r="D659" t="s">
        <v>4397</v>
      </c>
      <c r="E659">
        <v>47300046761</v>
      </c>
      <c r="F659" t="s">
        <v>42</v>
      </c>
      <c r="G659" t="s">
        <v>28</v>
      </c>
      <c r="H659" t="s">
        <v>43</v>
      </c>
      <c r="K659" t="s">
        <v>3557</v>
      </c>
      <c r="L659" t="s">
        <v>19</v>
      </c>
      <c r="M659" t="s">
        <v>20</v>
      </c>
      <c r="P659">
        <v>50000</v>
      </c>
      <c r="Q659">
        <v>50000</v>
      </c>
      <c r="R659" t="s">
        <v>3718</v>
      </c>
      <c r="S659" t="s">
        <v>1997</v>
      </c>
      <c r="T659">
        <v>116.9</v>
      </c>
    </row>
    <row r="660" spans="1:20" x14ac:dyDescent="0.25">
      <c r="A660" t="s">
        <v>14</v>
      </c>
      <c r="B660" t="s">
        <v>1994</v>
      </c>
      <c r="C660" t="s">
        <v>4378</v>
      </c>
      <c r="D660" t="s">
        <v>4379</v>
      </c>
      <c r="E660">
        <v>47300046399</v>
      </c>
      <c r="F660" t="s">
        <v>16</v>
      </c>
      <c r="G660" t="s">
        <v>28</v>
      </c>
      <c r="H660" t="s">
        <v>122</v>
      </c>
      <c r="K660" t="s">
        <v>3557</v>
      </c>
      <c r="L660" t="s">
        <v>19</v>
      </c>
      <c r="M660" t="s">
        <v>20</v>
      </c>
      <c r="P660">
        <v>50000</v>
      </c>
      <c r="Q660">
        <v>50000</v>
      </c>
      <c r="R660" t="s">
        <v>3719</v>
      </c>
      <c r="S660" t="s">
        <v>1995</v>
      </c>
      <c r="T660">
        <v>116.8</v>
      </c>
    </row>
    <row r="661" spans="1:20" x14ac:dyDescent="0.25">
      <c r="A661" t="s">
        <v>14</v>
      </c>
      <c r="B661" t="s">
        <v>1993</v>
      </c>
      <c r="C661" t="s">
        <v>4380</v>
      </c>
      <c r="D661" t="s">
        <v>4381</v>
      </c>
      <c r="E661">
        <v>47300046605</v>
      </c>
      <c r="F661" t="s">
        <v>16</v>
      </c>
      <c r="G661" t="s">
        <v>17</v>
      </c>
      <c r="H661" t="s">
        <v>49</v>
      </c>
      <c r="K661" t="s">
        <v>3197</v>
      </c>
      <c r="L661" t="s">
        <v>19</v>
      </c>
      <c r="M661" t="s">
        <v>46</v>
      </c>
      <c r="N661" s="2">
        <v>45383</v>
      </c>
      <c r="O661" s="2">
        <v>45412</v>
      </c>
      <c r="P661">
        <v>145500</v>
      </c>
      <c r="Q661">
        <v>145500</v>
      </c>
      <c r="R661" t="s">
        <v>3205</v>
      </c>
    </row>
    <row r="662" spans="1:20" x14ac:dyDescent="0.25">
      <c r="A662" t="s">
        <v>14</v>
      </c>
      <c r="B662" t="s">
        <v>1992</v>
      </c>
      <c r="C662" t="s">
        <v>4369</v>
      </c>
      <c r="D662" t="s">
        <v>4370</v>
      </c>
      <c r="E662">
        <v>47300046605</v>
      </c>
      <c r="F662" t="s">
        <v>16</v>
      </c>
      <c r="G662" t="s">
        <v>17</v>
      </c>
      <c r="H662" t="s">
        <v>49</v>
      </c>
      <c r="K662" t="s">
        <v>3294</v>
      </c>
      <c r="L662" t="s">
        <v>19</v>
      </c>
      <c r="M662" t="s">
        <v>46</v>
      </c>
      <c r="N662" s="2">
        <v>45383</v>
      </c>
      <c r="O662" s="2">
        <v>45412</v>
      </c>
      <c r="P662">
        <v>500</v>
      </c>
      <c r="Q662">
        <v>500</v>
      </c>
      <c r="R662" t="s">
        <v>3379</v>
      </c>
    </row>
    <row r="663" spans="1:20" x14ac:dyDescent="0.25">
      <c r="A663" t="s">
        <v>14</v>
      </c>
      <c r="B663" t="s">
        <v>1990</v>
      </c>
      <c r="C663" t="s">
        <v>3300</v>
      </c>
      <c r="D663" t="s">
        <v>3299</v>
      </c>
      <c r="E663">
        <v>47300070555</v>
      </c>
      <c r="F663" t="s">
        <v>35</v>
      </c>
      <c r="G663" t="s">
        <v>35</v>
      </c>
      <c r="H663" t="s">
        <v>116</v>
      </c>
      <c r="K663" t="s">
        <v>3557</v>
      </c>
      <c r="L663" t="s">
        <v>19</v>
      </c>
      <c r="M663" t="s">
        <v>20</v>
      </c>
      <c r="P663">
        <v>20000</v>
      </c>
      <c r="Q663">
        <v>20000</v>
      </c>
      <c r="R663" t="s">
        <v>3720</v>
      </c>
      <c r="S663" t="s">
        <v>1991</v>
      </c>
      <c r="T663">
        <v>46.7</v>
      </c>
    </row>
    <row r="664" spans="1:20" x14ac:dyDescent="0.25">
      <c r="A664" t="s">
        <v>14</v>
      </c>
      <c r="B664" t="s">
        <v>1988</v>
      </c>
      <c r="C664" t="s">
        <v>4380</v>
      </c>
      <c r="D664" t="s">
        <v>4381</v>
      </c>
      <c r="E664">
        <v>47300086445</v>
      </c>
      <c r="F664" t="s">
        <v>16</v>
      </c>
      <c r="G664" t="s">
        <v>28</v>
      </c>
      <c r="H664" t="s">
        <v>187</v>
      </c>
      <c r="I664" t="s">
        <v>2777</v>
      </c>
      <c r="J664" t="s">
        <v>2776</v>
      </c>
      <c r="K664" t="s">
        <v>3557</v>
      </c>
      <c r="L664" t="s">
        <v>19</v>
      </c>
      <c r="M664" t="s">
        <v>20</v>
      </c>
      <c r="P664">
        <v>29500</v>
      </c>
      <c r="Q664">
        <v>29500</v>
      </c>
      <c r="R664" t="s">
        <v>3721</v>
      </c>
      <c r="S664" t="s">
        <v>1989</v>
      </c>
      <c r="T664">
        <v>68.900000000000006</v>
      </c>
    </row>
    <row r="665" spans="1:20" x14ac:dyDescent="0.25">
      <c r="A665" t="s">
        <v>14</v>
      </c>
      <c r="B665" t="s">
        <v>1986</v>
      </c>
      <c r="C665" t="s">
        <v>4418</v>
      </c>
      <c r="D665" t="s">
        <v>4368</v>
      </c>
      <c r="E665">
        <v>47300046746</v>
      </c>
      <c r="F665" t="s">
        <v>16</v>
      </c>
      <c r="G665" t="s">
        <v>28</v>
      </c>
      <c r="H665" t="s">
        <v>32</v>
      </c>
      <c r="K665" t="s">
        <v>3557</v>
      </c>
      <c r="L665" t="s">
        <v>19</v>
      </c>
      <c r="M665" t="s">
        <v>20</v>
      </c>
      <c r="P665">
        <v>10000</v>
      </c>
      <c r="Q665">
        <v>10000</v>
      </c>
      <c r="R665" t="s">
        <v>3722</v>
      </c>
      <c r="S665" t="s">
        <v>1987</v>
      </c>
      <c r="T665">
        <v>23.3</v>
      </c>
    </row>
    <row r="666" spans="1:20" x14ac:dyDescent="0.25">
      <c r="A666" t="s">
        <v>14</v>
      </c>
      <c r="B666" t="s">
        <v>1984</v>
      </c>
      <c r="C666" t="s">
        <v>4409</v>
      </c>
      <c r="D666" t="s">
        <v>4410</v>
      </c>
      <c r="E666">
        <v>47300046241</v>
      </c>
      <c r="F666" t="s">
        <v>16</v>
      </c>
      <c r="G666" t="s">
        <v>23</v>
      </c>
      <c r="H666" t="s">
        <v>24</v>
      </c>
      <c r="I666" t="s">
        <v>2754</v>
      </c>
      <c r="J666">
        <v>0</v>
      </c>
      <c r="K666" t="s">
        <v>3557</v>
      </c>
      <c r="L666" t="s">
        <v>19</v>
      </c>
      <c r="M666" t="s">
        <v>20</v>
      </c>
      <c r="P666">
        <v>50000</v>
      </c>
      <c r="Q666">
        <v>50000</v>
      </c>
      <c r="R666" t="s">
        <v>3723</v>
      </c>
      <c r="S666" t="s">
        <v>1985</v>
      </c>
      <c r="T666">
        <v>116.9</v>
      </c>
    </row>
    <row r="667" spans="1:20" x14ac:dyDescent="0.25">
      <c r="A667" t="s">
        <v>14</v>
      </c>
      <c r="B667" t="s">
        <v>1982</v>
      </c>
      <c r="C667" t="s">
        <v>4371</v>
      </c>
      <c r="D667" t="s">
        <v>4368</v>
      </c>
      <c r="E667">
        <v>47300026094</v>
      </c>
      <c r="F667" t="s">
        <v>35</v>
      </c>
      <c r="G667" t="s">
        <v>36</v>
      </c>
      <c r="H667" t="s">
        <v>4359</v>
      </c>
      <c r="K667" t="s">
        <v>3557</v>
      </c>
      <c r="L667" t="s">
        <v>19</v>
      </c>
      <c r="M667" t="s">
        <v>20</v>
      </c>
      <c r="P667">
        <v>100000</v>
      </c>
      <c r="Q667">
        <v>100000</v>
      </c>
      <c r="R667" t="s">
        <v>3724</v>
      </c>
      <c r="S667" t="s">
        <v>1983</v>
      </c>
      <c r="T667">
        <v>233.7</v>
      </c>
    </row>
    <row r="668" spans="1:20" x14ac:dyDescent="0.25">
      <c r="A668" t="s">
        <v>14</v>
      </c>
      <c r="B668" t="s">
        <v>1980</v>
      </c>
      <c r="C668" t="s">
        <v>4386</v>
      </c>
      <c r="D668" t="s">
        <v>4368</v>
      </c>
      <c r="E668">
        <v>47300025690</v>
      </c>
      <c r="F668" t="s">
        <v>35</v>
      </c>
      <c r="G668" t="s">
        <v>36</v>
      </c>
      <c r="H668" t="s">
        <v>37</v>
      </c>
      <c r="K668" t="s">
        <v>3557</v>
      </c>
      <c r="L668" t="s">
        <v>19</v>
      </c>
      <c r="M668" t="s">
        <v>20</v>
      </c>
      <c r="P668">
        <v>50000</v>
      </c>
      <c r="Q668">
        <v>50000</v>
      </c>
      <c r="R668" t="s">
        <v>3725</v>
      </c>
      <c r="S668" t="s">
        <v>1981</v>
      </c>
      <c r="T668">
        <v>116.8</v>
      </c>
    </row>
    <row r="669" spans="1:20" x14ac:dyDescent="0.25">
      <c r="A669" t="s">
        <v>14</v>
      </c>
      <c r="B669" t="s">
        <v>1978</v>
      </c>
      <c r="C669" t="s">
        <v>4367</v>
      </c>
      <c r="D669" t="s">
        <v>4368</v>
      </c>
      <c r="E669">
        <v>47300025708</v>
      </c>
      <c r="F669" t="s">
        <v>35</v>
      </c>
      <c r="G669" t="s">
        <v>36</v>
      </c>
      <c r="H669" t="s">
        <v>4360</v>
      </c>
      <c r="K669" t="s">
        <v>3557</v>
      </c>
      <c r="L669" t="s">
        <v>19</v>
      </c>
      <c r="M669" t="s">
        <v>20</v>
      </c>
      <c r="P669">
        <v>50000</v>
      </c>
      <c r="Q669">
        <v>50000</v>
      </c>
      <c r="R669" t="s">
        <v>3726</v>
      </c>
      <c r="S669" t="s">
        <v>1979</v>
      </c>
      <c r="T669">
        <v>116.9</v>
      </c>
    </row>
    <row r="670" spans="1:20" x14ac:dyDescent="0.25">
      <c r="A670" t="s">
        <v>14</v>
      </c>
      <c r="B670" t="s">
        <v>1976</v>
      </c>
      <c r="C670" t="s">
        <v>4394</v>
      </c>
      <c r="D670" t="s">
        <v>4395</v>
      </c>
      <c r="E670">
        <v>47300026185</v>
      </c>
      <c r="F670" t="s">
        <v>35</v>
      </c>
      <c r="G670" t="s">
        <v>36</v>
      </c>
      <c r="H670" t="s">
        <v>4361</v>
      </c>
      <c r="K670" t="s">
        <v>3557</v>
      </c>
      <c r="L670" t="s">
        <v>19</v>
      </c>
      <c r="M670" t="s">
        <v>20</v>
      </c>
      <c r="P670">
        <v>50000</v>
      </c>
      <c r="Q670">
        <v>50000</v>
      </c>
      <c r="R670" t="s">
        <v>3727</v>
      </c>
      <c r="S670" t="s">
        <v>1977</v>
      </c>
      <c r="T670">
        <v>116.9</v>
      </c>
    </row>
    <row r="671" spans="1:20" x14ac:dyDescent="0.25">
      <c r="A671" t="s">
        <v>14</v>
      </c>
      <c r="B671" t="s">
        <v>1974</v>
      </c>
      <c r="C671" t="s">
        <v>4414</v>
      </c>
      <c r="D671" t="s">
        <v>4401</v>
      </c>
      <c r="E671">
        <v>47300012151</v>
      </c>
      <c r="F671" t="s">
        <v>35</v>
      </c>
      <c r="G671" t="s">
        <v>36</v>
      </c>
      <c r="H671" t="s">
        <v>4362</v>
      </c>
      <c r="K671" t="s">
        <v>3557</v>
      </c>
      <c r="L671" t="s">
        <v>19</v>
      </c>
      <c r="M671" t="s">
        <v>20</v>
      </c>
      <c r="P671">
        <v>50000</v>
      </c>
      <c r="Q671">
        <v>50000</v>
      </c>
      <c r="R671" t="s">
        <v>3728</v>
      </c>
      <c r="S671" t="s">
        <v>1975</v>
      </c>
      <c r="T671">
        <v>116.8</v>
      </c>
    </row>
    <row r="672" spans="1:20" x14ac:dyDescent="0.25">
      <c r="A672" t="s">
        <v>14</v>
      </c>
      <c r="B672" t="s">
        <v>1973</v>
      </c>
      <c r="C672" t="s">
        <v>4402</v>
      </c>
      <c r="D672" t="s">
        <v>4379</v>
      </c>
      <c r="E672">
        <v>47300070597</v>
      </c>
      <c r="F672" t="s">
        <v>16</v>
      </c>
      <c r="G672" t="s">
        <v>28</v>
      </c>
      <c r="H672" t="s">
        <v>77</v>
      </c>
      <c r="K672" t="s">
        <v>3197</v>
      </c>
      <c r="L672" t="s">
        <v>19</v>
      </c>
      <c r="M672" t="s">
        <v>46</v>
      </c>
      <c r="N672" s="2">
        <v>45383</v>
      </c>
      <c r="O672" s="2">
        <v>45412</v>
      </c>
      <c r="P672">
        <v>145500</v>
      </c>
      <c r="Q672">
        <v>145500</v>
      </c>
      <c r="R672" t="s">
        <v>2982</v>
      </c>
    </row>
    <row r="673" spans="1:20" x14ac:dyDescent="0.25">
      <c r="A673" t="s">
        <v>14</v>
      </c>
      <c r="B673" t="s">
        <v>1973</v>
      </c>
      <c r="C673" t="s">
        <v>4402</v>
      </c>
      <c r="D673" t="s">
        <v>4379</v>
      </c>
      <c r="E673">
        <v>47300070597</v>
      </c>
      <c r="F673" t="s">
        <v>16</v>
      </c>
      <c r="G673" t="s">
        <v>28</v>
      </c>
      <c r="H673" t="s">
        <v>77</v>
      </c>
      <c r="K673" t="s">
        <v>2892</v>
      </c>
      <c r="L673" t="s">
        <v>19</v>
      </c>
      <c r="M673" t="s">
        <v>46</v>
      </c>
      <c r="N673" s="2">
        <v>45383</v>
      </c>
      <c r="O673" s="2">
        <v>45412</v>
      </c>
      <c r="P673">
        <v>10000</v>
      </c>
      <c r="Q673">
        <v>10000</v>
      </c>
      <c r="R673" t="s">
        <v>2982</v>
      </c>
    </row>
    <row r="674" spans="1:20" x14ac:dyDescent="0.25">
      <c r="A674" t="s">
        <v>14</v>
      </c>
      <c r="B674" t="s">
        <v>1971</v>
      </c>
      <c r="C674" t="s">
        <v>2927</v>
      </c>
      <c r="D674" t="s">
        <v>4385</v>
      </c>
      <c r="E674">
        <v>47300046605</v>
      </c>
      <c r="F674" t="s">
        <v>16</v>
      </c>
      <c r="G674" t="s">
        <v>17</v>
      </c>
      <c r="H674" t="s">
        <v>49</v>
      </c>
      <c r="K674" t="s">
        <v>4229</v>
      </c>
      <c r="L674" t="s">
        <v>19</v>
      </c>
      <c r="M674" t="s">
        <v>63</v>
      </c>
      <c r="N674" s="2">
        <v>45383</v>
      </c>
      <c r="O674" s="2">
        <v>45412</v>
      </c>
      <c r="P674">
        <v>80000</v>
      </c>
      <c r="Q674">
        <v>80000</v>
      </c>
      <c r="R674" t="s">
        <v>4259</v>
      </c>
      <c r="S674" t="s">
        <v>1972</v>
      </c>
      <c r="T674">
        <v>187</v>
      </c>
    </row>
    <row r="675" spans="1:20" x14ac:dyDescent="0.25">
      <c r="A675" t="s">
        <v>14</v>
      </c>
      <c r="B675" t="s">
        <v>1969</v>
      </c>
      <c r="C675" t="s">
        <v>2927</v>
      </c>
      <c r="D675" t="s">
        <v>4385</v>
      </c>
      <c r="E675">
        <v>47300046746</v>
      </c>
      <c r="F675" t="s">
        <v>16</v>
      </c>
      <c r="G675" t="s">
        <v>28</v>
      </c>
      <c r="H675" t="s">
        <v>32</v>
      </c>
      <c r="K675" t="s">
        <v>3557</v>
      </c>
      <c r="L675" t="s">
        <v>19</v>
      </c>
      <c r="M675" t="s">
        <v>20</v>
      </c>
      <c r="P675">
        <v>20000</v>
      </c>
      <c r="Q675">
        <v>20000</v>
      </c>
      <c r="R675" t="s">
        <v>3729</v>
      </c>
      <c r="S675" t="s">
        <v>1970</v>
      </c>
      <c r="T675">
        <v>46.8</v>
      </c>
    </row>
    <row r="676" spans="1:20" x14ac:dyDescent="0.25">
      <c r="A676" t="s">
        <v>14</v>
      </c>
      <c r="B676" t="s">
        <v>1967</v>
      </c>
      <c r="C676" t="s">
        <v>4380</v>
      </c>
      <c r="D676" t="s">
        <v>4381</v>
      </c>
      <c r="E676">
        <v>47300046365</v>
      </c>
      <c r="F676" t="s">
        <v>16</v>
      </c>
      <c r="G676" t="s">
        <v>28</v>
      </c>
      <c r="H676" t="s">
        <v>62</v>
      </c>
      <c r="K676" t="s">
        <v>4229</v>
      </c>
      <c r="L676" t="s">
        <v>19</v>
      </c>
      <c r="M676" t="s">
        <v>63</v>
      </c>
      <c r="N676" s="2">
        <v>45383</v>
      </c>
      <c r="O676" s="2">
        <v>45412</v>
      </c>
      <c r="P676">
        <v>75000</v>
      </c>
      <c r="Q676">
        <v>75000</v>
      </c>
      <c r="R676" t="s">
        <v>2983</v>
      </c>
      <c r="S676" t="s">
        <v>1968</v>
      </c>
      <c r="T676">
        <v>175.2</v>
      </c>
    </row>
    <row r="677" spans="1:20" x14ac:dyDescent="0.25">
      <c r="A677" t="s">
        <v>14</v>
      </c>
      <c r="B677" t="s">
        <v>1967</v>
      </c>
      <c r="C677" t="s">
        <v>4414</v>
      </c>
      <c r="D677" t="s">
        <v>4401</v>
      </c>
      <c r="E677">
        <v>47300046365</v>
      </c>
      <c r="F677" t="s">
        <v>16</v>
      </c>
      <c r="G677" t="s">
        <v>28</v>
      </c>
      <c r="H677" t="s">
        <v>62</v>
      </c>
      <c r="K677" t="s">
        <v>3294</v>
      </c>
      <c r="L677" t="s">
        <v>19</v>
      </c>
      <c r="M677" t="s">
        <v>46</v>
      </c>
      <c r="N677" s="2">
        <v>45383</v>
      </c>
      <c r="O677" s="2">
        <v>45412</v>
      </c>
      <c r="P677">
        <v>500</v>
      </c>
      <c r="Q677">
        <v>500</v>
      </c>
      <c r="R677" t="s">
        <v>2983</v>
      </c>
    </row>
    <row r="678" spans="1:20" x14ac:dyDescent="0.25">
      <c r="A678" t="s">
        <v>14</v>
      </c>
      <c r="B678" t="s">
        <v>1967</v>
      </c>
      <c r="C678" t="s">
        <v>2927</v>
      </c>
      <c r="D678" t="s">
        <v>4385</v>
      </c>
      <c r="E678">
        <v>47300046365</v>
      </c>
      <c r="F678" t="s">
        <v>16</v>
      </c>
      <c r="G678" t="s">
        <v>28</v>
      </c>
      <c r="H678" t="s">
        <v>62</v>
      </c>
      <c r="K678" t="s">
        <v>3197</v>
      </c>
      <c r="L678" t="s">
        <v>19</v>
      </c>
      <c r="M678" t="s">
        <v>46</v>
      </c>
      <c r="N678" s="2">
        <v>45383</v>
      </c>
      <c r="O678" s="2">
        <v>45412</v>
      </c>
      <c r="P678">
        <v>145500</v>
      </c>
      <c r="Q678">
        <v>145500</v>
      </c>
      <c r="R678" t="s">
        <v>2983</v>
      </c>
    </row>
    <row r="679" spans="1:20" x14ac:dyDescent="0.25">
      <c r="A679" t="s">
        <v>14</v>
      </c>
      <c r="B679" t="s">
        <v>1967</v>
      </c>
      <c r="C679" t="s">
        <v>2927</v>
      </c>
      <c r="D679" t="s">
        <v>4385</v>
      </c>
      <c r="E679">
        <v>47300046365</v>
      </c>
      <c r="F679" t="s">
        <v>16</v>
      </c>
      <c r="G679" t="s">
        <v>28</v>
      </c>
      <c r="H679" t="s">
        <v>62</v>
      </c>
      <c r="K679" t="s">
        <v>2892</v>
      </c>
      <c r="L679" t="s">
        <v>19</v>
      </c>
      <c r="M679" t="s">
        <v>46</v>
      </c>
      <c r="N679" s="2">
        <v>45383</v>
      </c>
      <c r="O679" s="2">
        <v>45412</v>
      </c>
      <c r="P679">
        <v>10000</v>
      </c>
      <c r="Q679">
        <v>10000</v>
      </c>
      <c r="R679" t="s">
        <v>2983</v>
      </c>
    </row>
    <row r="680" spans="1:20" x14ac:dyDescent="0.25">
      <c r="A680" t="s">
        <v>14</v>
      </c>
      <c r="B680" t="s">
        <v>1965</v>
      </c>
      <c r="C680" t="s">
        <v>4420</v>
      </c>
      <c r="D680" t="s">
        <v>4394</v>
      </c>
      <c r="E680">
        <v>47300070555</v>
      </c>
      <c r="F680" t="s">
        <v>35</v>
      </c>
      <c r="G680" t="s">
        <v>35</v>
      </c>
      <c r="H680" t="s">
        <v>116</v>
      </c>
      <c r="K680" t="s">
        <v>3557</v>
      </c>
      <c r="L680" t="s">
        <v>19</v>
      </c>
      <c r="M680" t="s">
        <v>20</v>
      </c>
      <c r="P680">
        <v>20000</v>
      </c>
      <c r="Q680">
        <v>20000</v>
      </c>
      <c r="R680" t="s">
        <v>3730</v>
      </c>
      <c r="S680" t="s">
        <v>1966</v>
      </c>
      <c r="T680">
        <v>46.8</v>
      </c>
    </row>
    <row r="681" spans="1:20" x14ac:dyDescent="0.25">
      <c r="A681" t="s">
        <v>14</v>
      </c>
      <c r="B681" t="s">
        <v>1963</v>
      </c>
      <c r="C681" t="s">
        <v>4420</v>
      </c>
      <c r="D681" t="s">
        <v>4394</v>
      </c>
      <c r="E681">
        <v>47300046191</v>
      </c>
      <c r="F681" t="s">
        <v>16</v>
      </c>
      <c r="G681" t="s">
        <v>28</v>
      </c>
      <c r="H681" t="s">
        <v>119</v>
      </c>
      <c r="I681" t="s">
        <v>2799</v>
      </c>
      <c r="J681">
        <v>8033011626</v>
      </c>
      <c r="K681" t="s">
        <v>4229</v>
      </c>
      <c r="L681" t="s">
        <v>19</v>
      </c>
      <c r="M681" t="s">
        <v>63</v>
      </c>
      <c r="N681" s="2">
        <v>45383</v>
      </c>
      <c r="O681" s="2">
        <v>45412</v>
      </c>
      <c r="P681">
        <v>50000</v>
      </c>
      <c r="Q681">
        <v>50000</v>
      </c>
      <c r="R681" t="s">
        <v>2847</v>
      </c>
      <c r="S681" t="s">
        <v>1964</v>
      </c>
      <c r="T681">
        <v>116.8</v>
      </c>
    </row>
    <row r="682" spans="1:20" x14ac:dyDescent="0.25">
      <c r="A682" t="s">
        <v>14</v>
      </c>
      <c r="B682" t="s">
        <v>1963</v>
      </c>
      <c r="C682" t="s">
        <v>4387</v>
      </c>
      <c r="D682" t="s">
        <v>4388</v>
      </c>
      <c r="E682">
        <v>47300046191</v>
      </c>
      <c r="F682" t="s">
        <v>16</v>
      </c>
      <c r="G682" t="s">
        <v>28</v>
      </c>
      <c r="H682" t="s">
        <v>119</v>
      </c>
      <c r="I682" t="s">
        <v>2799</v>
      </c>
      <c r="J682">
        <v>8033011626</v>
      </c>
      <c r="K682" t="s">
        <v>3294</v>
      </c>
      <c r="L682" t="s">
        <v>19</v>
      </c>
      <c r="M682" t="s">
        <v>46</v>
      </c>
      <c r="N682" s="2">
        <v>45383</v>
      </c>
      <c r="O682" s="2">
        <v>45412</v>
      </c>
      <c r="P682">
        <v>500</v>
      </c>
      <c r="Q682">
        <v>500</v>
      </c>
      <c r="R682" t="s">
        <v>2847</v>
      </c>
    </row>
    <row r="683" spans="1:20" x14ac:dyDescent="0.25">
      <c r="A683" t="s">
        <v>14</v>
      </c>
      <c r="B683" t="s">
        <v>1963</v>
      </c>
      <c r="C683" t="s">
        <v>4367</v>
      </c>
      <c r="D683" t="s">
        <v>4368</v>
      </c>
      <c r="E683">
        <v>47300046191</v>
      </c>
      <c r="F683" t="s">
        <v>16</v>
      </c>
      <c r="G683" t="s">
        <v>28</v>
      </c>
      <c r="H683" t="s">
        <v>119</v>
      </c>
      <c r="I683" t="s">
        <v>2799</v>
      </c>
      <c r="J683">
        <v>8033011626</v>
      </c>
      <c r="K683" t="s">
        <v>3197</v>
      </c>
      <c r="L683" t="s">
        <v>19</v>
      </c>
      <c r="M683" t="s">
        <v>46</v>
      </c>
      <c r="N683" s="2">
        <v>45383</v>
      </c>
      <c r="O683" s="2">
        <v>45412</v>
      </c>
      <c r="P683">
        <v>145500</v>
      </c>
      <c r="Q683">
        <v>145500</v>
      </c>
      <c r="R683" t="s">
        <v>2847</v>
      </c>
    </row>
    <row r="684" spans="1:20" x14ac:dyDescent="0.25">
      <c r="A684" t="s">
        <v>14</v>
      </c>
      <c r="B684" t="s">
        <v>1963</v>
      </c>
      <c r="C684" t="s">
        <v>3300</v>
      </c>
      <c r="D684" t="s">
        <v>3299</v>
      </c>
      <c r="E684">
        <v>47300046191</v>
      </c>
      <c r="F684" t="s">
        <v>16</v>
      </c>
      <c r="G684" t="s">
        <v>28</v>
      </c>
      <c r="H684" t="s">
        <v>119</v>
      </c>
      <c r="I684" t="s">
        <v>2799</v>
      </c>
      <c r="J684">
        <v>8033011626</v>
      </c>
      <c r="K684" t="s">
        <v>2892</v>
      </c>
      <c r="L684" t="s">
        <v>19</v>
      </c>
      <c r="M684" t="s">
        <v>46</v>
      </c>
      <c r="N684" s="2">
        <v>45383</v>
      </c>
      <c r="O684" s="2">
        <v>45412</v>
      </c>
      <c r="P684">
        <v>10000</v>
      </c>
      <c r="Q684">
        <v>10000</v>
      </c>
      <c r="R684" t="s">
        <v>2847</v>
      </c>
    </row>
    <row r="685" spans="1:20" x14ac:dyDescent="0.25">
      <c r="A685" t="s">
        <v>14</v>
      </c>
      <c r="B685" t="s">
        <v>1963</v>
      </c>
      <c r="C685" t="s">
        <v>4420</v>
      </c>
      <c r="D685" t="s">
        <v>4394</v>
      </c>
      <c r="E685">
        <v>47300046191</v>
      </c>
      <c r="F685" t="s">
        <v>16</v>
      </c>
      <c r="G685" t="s">
        <v>28</v>
      </c>
      <c r="H685" t="s">
        <v>119</v>
      </c>
      <c r="I685" t="s">
        <v>2799</v>
      </c>
      <c r="J685">
        <v>8033011626</v>
      </c>
      <c r="K685" t="s">
        <v>2848</v>
      </c>
      <c r="L685" t="s">
        <v>47</v>
      </c>
      <c r="N685" s="2">
        <v>45407</v>
      </c>
      <c r="O685" s="2">
        <v>45407</v>
      </c>
      <c r="P685">
        <v>107688.62</v>
      </c>
      <c r="Q685">
        <v>107688.62</v>
      </c>
      <c r="R685" t="s">
        <v>2847</v>
      </c>
    </row>
    <row r="686" spans="1:20" x14ac:dyDescent="0.25">
      <c r="A686" t="s">
        <v>14</v>
      </c>
      <c r="B686" t="s">
        <v>1961</v>
      </c>
      <c r="C686" t="s">
        <v>4420</v>
      </c>
      <c r="D686" t="s">
        <v>4394</v>
      </c>
      <c r="E686">
        <v>47300026094</v>
      </c>
      <c r="F686" t="s">
        <v>35</v>
      </c>
      <c r="G686" t="s">
        <v>36</v>
      </c>
      <c r="H686" t="s">
        <v>4359</v>
      </c>
      <c r="K686" t="s">
        <v>3557</v>
      </c>
      <c r="L686" t="s">
        <v>19</v>
      </c>
      <c r="M686" t="s">
        <v>20</v>
      </c>
      <c r="P686">
        <v>100000</v>
      </c>
      <c r="Q686">
        <v>100000</v>
      </c>
      <c r="R686" t="s">
        <v>3731</v>
      </c>
      <c r="S686" t="s">
        <v>1962</v>
      </c>
      <c r="T686">
        <v>233.7</v>
      </c>
    </row>
    <row r="687" spans="1:20" x14ac:dyDescent="0.25">
      <c r="A687" t="s">
        <v>14</v>
      </c>
      <c r="B687" t="s">
        <v>1959</v>
      </c>
      <c r="C687" t="s">
        <v>4420</v>
      </c>
      <c r="D687" t="s">
        <v>4394</v>
      </c>
      <c r="E687">
        <v>47300046761</v>
      </c>
      <c r="F687" t="s">
        <v>42</v>
      </c>
      <c r="G687" t="s">
        <v>28</v>
      </c>
      <c r="H687" t="s">
        <v>43</v>
      </c>
      <c r="K687" t="s">
        <v>3557</v>
      </c>
      <c r="L687" t="s">
        <v>19</v>
      </c>
      <c r="M687" t="s">
        <v>20</v>
      </c>
      <c r="P687">
        <v>25000</v>
      </c>
      <c r="Q687">
        <v>25000</v>
      </c>
      <c r="R687" t="s">
        <v>3732</v>
      </c>
      <c r="S687" t="s">
        <v>1960</v>
      </c>
      <c r="T687">
        <v>58.4</v>
      </c>
    </row>
    <row r="688" spans="1:20" x14ac:dyDescent="0.25">
      <c r="A688" t="s">
        <v>14</v>
      </c>
      <c r="B688" t="s">
        <v>1957</v>
      </c>
      <c r="C688" t="s">
        <v>4412</v>
      </c>
      <c r="D688" t="s">
        <v>4377</v>
      </c>
      <c r="E688">
        <v>47300086445</v>
      </c>
      <c r="F688" t="s">
        <v>16</v>
      </c>
      <c r="G688" t="s">
        <v>28</v>
      </c>
      <c r="H688" t="s">
        <v>187</v>
      </c>
      <c r="I688" t="s">
        <v>2777</v>
      </c>
      <c r="J688" t="s">
        <v>2776</v>
      </c>
      <c r="K688" t="s">
        <v>3557</v>
      </c>
      <c r="L688" t="s">
        <v>19</v>
      </c>
      <c r="M688" t="s">
        <v>20</v>
      </c>
      <c r="P688">
        <v>30000</v>
      </c>
      <c r="Q688">
        <v>30000</v>
      </c>
      <c r="R688" t="s">
        <v>3733</v>
      </c>
      <c r="S688" t="s">
        <v>1958</v>
      </c>
      <c r="T688">
        <v>70.099999999999994</v>
      </c>
    </row>
    <row r="689" spans="1:20" x14ac:dyDescent="0.25">
      <c r="A689" t="s">
        <v>14</v>
      </c>
      <c r="B689" t="s">
        <v>1955</v>
      </c>
      <c r="C689" t="s">
        <v>4369</v>
      </c>
      <c r="D689" t="s">
        <v>4370</v>
      </c>
      <c r="E689">
        <v>47300046258</v>
      </c>
      <c r="F689" t="s">
        <v>16</v>
      </c>
      <c r="G689" t="s">
        <v>28</v>
      </c>
      <c r="H689" t="s">
        <v>160</v>
      </c>
      <c r="K689" t="s">
        <v>3557</v>
      </c>
      <c r="L689" t="s">
        <v>19</v>
      </c>
      <c r="M689" t="s">
        <v>20</v>
      </c>
      <c r="P689">
        <v>10000</v>
      </c>
      <c r="Q689">
        <v>10000</v>
      </c>
      <c r="R689" t="s">
        <v>3734</v>
      </c>
      <c r="S689" t="s">
        <v>1956</v>
      </c>
      <c r="T689">
        <v>23.3</v>
      </c>
    </row>
    <row r="690" spans="1:20" x14ac:dyDescent="0.25">
      <c r="A690" t="s">
        <v>14</v>
      </c>
      <c r="B690" t="s">
        <v>1954</v>
      </c>
      <c r="C690" t="s">
        <v>4398</v>
      </c>
      <c r="D690" t="s">
        <v>4399</v>
      </c>
      <c r="E690">
        <v>47300046779</v>
      </c>
      <c r="F690" t="s">
        <v>42</v>
      </c>
      <c r="G690" t="s">
        <v>28</v>
      </c>
      <c r="H690" t="s">
        <v>199</v>
      </c>
      <c r="K690" t="s">
        <v>3294</v>
      </c>
      <c r="L690" t="s">
        <v>19</v>
      </c>
      <c r="M690" t="s">
        <v>46</v>
      </c>
      <c r="N690" s="2">
        <v>45383</v>
      </c>
      <c r="O690" s="2">
        <v>45412</v>
      </c>
      <c r="P690">
        <v>500</v>
      </c>
      <c r="Q690">
        <v>500</v>
      </c>
      <c r="R690" t="s">
        <v>3206</v>
      </c>
    </row>
    <row r="691" spans="1:20" x14ac:dyDescent="0.25">
      <c r="A691" t="s">
        <v>14</v>
      </c>
      <c r="B691" t="s">
        <v>1954</v>
      </c>
      <c r="C691" t="s">
        <v>4406</v>
      </c>
      <c r="D691" t="s">
        <v>4394</v>
      </c>
      <c r="E691">
        <v>47300046779</v>
      </c>
      <c r="F691" t="s">
        <v>42</v>
      </c>
      <c r="G691" t="s">
        <v>28</v>
      </c>
      <c r="H691" t="s">
        <v>199</v>
      </c>
      <c r="K691" t="s">
        <v>3197</v>
      </c>
      <c r="L691" t="s">
        <v>19</v>
      </c>
      <c r="M691" t="s">
        <v>46</v>
      </c>
      <c r="N691" s="2">
        <v>45383</v>
      </c>
      <c r="O691" s="2">
        <v>45412</v>
      </c>
      <c r="P691">
        <v>145500</v>
      </c>
      <c r="Q691">
        <v>145500</v>
      </c>
      <c r="R691" t="s">
        <v>3206</v>
      </c>
    </row>
    <row r="692" spans="1:20" x14ac:dyDescent="0.25">
      <c r="A692" t="s">
        <v>14</v>
      </c>
      <c r="B692" t="s">
        <v>1952</v>
      </c>
      <c r="C692" t="s">
        <v>4387</v>
      </c>
      <c r="D692" t="s">
        <v>4388</v>
      </c>
      <c r="E692">
        <v>47300026094</v>
      </c>
      <c r="F692" t="s">
        <v>35</v>
      </c>
      <c r="G692" t="s">
        <v>36</v>
      </c>
      <c r="H692" t="s">
        <v>4359</v>
      </c>
      <c r="K692" t="s">
        <v>3557</v>
      </c>
      <c r="L692" t="s">
        <v>19</v>
      </c>
      <c r="M692" t="s">
        <v>20</v>
      </c>
      <c r="P692">
        <v>100000</v>
      </c>
      <c r="Q692">
        <v>100000</v>
      </c>
      <c r="R692" t="s">
        <v>3735</v>
      </c>
      <c r="S692" t="s">
        <v>1953</v>
      </c>
      <c r="T692">
        <v>233.8</v>
      </c>
    </row>
    <row r="693" spans="1:20" x14ac:dyDescent="0.25">
      <c r="A693" t="s">
        <v>14</v>
      </c>
      <c r="B693" t="s">
        <v>1950</v>
      </c>
      <c r="C693" t="s">
        <v>4419</v>
      </c>
      <c r="D693" t="s">
        <v>4368</v>
      </c>
      <c r="E693">
        <v>47300025708</v>
      </c>
      <c r="F693" t="s">
        <v>35</v>
      </c>
      <c r="G693" t="s">
        <v>36</v>
      </c>
      <c r="H693" t="s">
        <v>4360</v>
      </c>
      <c r="K693" t="s">
        <v>3557</v>
      </c>
      <c r="L693" t="s">
        <v>19</v>
      </c>
      <c r="M693" t="s">
        <v>20</v>
      </c>
      <c r="P693">
        <v>50000</v>
      </c>
      <c r="Q693">
        <v>50000</v>
      </c>
      <c r="R693" t="s">
        <v>3736</v>
      </c>
      <c r="S693" t="s">
        <v>1951</v>
      </c>
      <c r="T693">
        <v>116.8</v>
      </c>
    </row>
    <row r="694" spans="1:20" x14ac:dyDescent="0.25">
      <c r="A694" t="s">
        <v>14</v>
      </c>
      <c r="B694" t="s">
        <v>1948</v>
      </c>
      <c r="C694" t="s">
        <v>4371</v>
      </c>
      <c r="D694" t="s">
        <v>4368</v>
      </c>
      <c r="E694">
        <v>47300020147</v>
      </c>
      <c r="F694" t="s">
        <v>35</v>
      </c>
      <c r="G694" t="s">
        <v>36</v>
      </c>
      <c r="H694" t="s">
        <v>4363</v>
      </c>
      <c r="K694" t="s">
        <v>3557</v>
      </c>
      <c r="L694" t="s">
        <v>19</v>
      </c>
      <c r="M694" t="s">
        <v>20</v>
      </c>
      <c r="P694">
        <v>50000</v>
      </c>
      <c r="Q694">
        <v>50000</v>
      </c>
      <c r="R694" t="s">
        <v>3737</v>
      </c>
      <c r="S694" t="s">
        <v>1949</v>
      </c>
      <c r="T694">
        <v>116.9</v>
      </c>
    </row>
    <row r="695" spans="1:20" x14ac:dyDescent="0.25">
      <c r="A695" t="s">
        <v>14</v>
      </c>
      <c r="B695" t="s">
        <v>1946</v>
      </c>
      <c r="C695" t="s">
        <v>4367</v>
      </c>
      <c r="D695" t="s">
        <v>4368</v>
      </c>
      <c r="E695">
        <v>47300046761</v>
      </c>
      <c r="F695" t="s">
        <v>42</v>
      </c>
      <c r="G695" t="s">
        <v>28</v>
      </c>
      <c r="H695" t="s">
        <v>43</v>
      </c>
      <c r="K695" t="s">
        <v>3557</v>
      </c>
      <c r="L695" t="s">
        <v>19</v>
      </c>
      <c r="M695" t="s">
        <v>20</v>
      </c>
      <c r="P695">
        <v>25000</v>
      </c>
      <c r="Q695">
        <v>25000</v>
      </c>
      <c r="R695" t="s">
        <v>3738</v>
      </c>
      <c r="S695" t="s">
        <v>1947</v>
      </c>
      <c r="T695">
        <v>58.4</v>
      </c>
    </row>
    <row r="696" spans="1:20" x14ac:dyDescent="0.25">
      <c r="A696" t="s">
        <v>14</v>
      </c>
      <c r="B696" t="s">
        <v>1944</v>
      </c>
      <c r="C696" t="s">
        <v>4398</v>
      </c>
      <c r="D696" t="s">
        <v>4399</v>
      </c>
      <c r="E696">
        <v>47300046688</v>
      </c>
      <c r="F696" t="s">
        <v>16</v>
      </c>
      <c r="G696" t="s">
        <v>17</v>
      </c>
      <c r="H696" t="s">
        <v>154</v>
      </c>
      <c r="K696" t="s">
        <v>3557</v>
      </c>
      <c r="L696" t="s">
        <v>19</v>
      </c>
      <c r="M696" t="s">
        <v>20</v>
      </c>
      <c r="P696">
        <v>150000</v>
      </c>
      <c r="Q696">
        <v>150000</v>
      </c>
      <c r="R696" t="s">
        <v>3739</v>
      </c>
      <c r="S696" t="s">
        <v>1945</v>
      </c>
      <c r="T696">
        <v>350.5</v>
      </c>
    </row>
    <row r="697" spans="1:20" x14ac:dyDescent="0.25">
      <c r="A697" t="s">
        <v>14</v>
      </c>
      <c r="B697" t="s">
        <v>1942</v>
      </c>
      <c r="C697" t="s">
        <v>4378</v>
      </c>
      <c r="D697" t="s">
        <v>4379</v>
      </c>
      <c r="E697">
        <v>47300046258</v>
      </c>
      <c r="F697" t="s">
        <v>16</v>
      </c>
      <c r="G697" t="s">
        <v>28</v>
      </c>
      <c r="H697" t="s">
        <v>160</v>
      </c>
      <c r="K697" t="s">
        <v>3557</v>
      </c>
      <c r="L697" t="s">
        <v>19</v>
      </c>
      <c r="M697" t="s">
        <v>20</v>
      </c>
      <c r="P697">
        <v>30000</v>
      </c>
      <c r="Q697">
        <v>30000</v>
      </c>
      <c r="R697" t="s">
        <v>3740</v>
      </c>
      <c r="S697" t="s">
        <v>1943</v>
      </c>
      <c r="T697">
        <v>70.099999999999994</v>
      </c>
    </row>
    <row r="698" spans="1:20" x14ac:dyDescent="0.25">
      <c r="A698" t="s">
        <v>14</v>
      </c>
      <c r="B698" t="s">
        <v>1940</v>
      </c>
      <c r="C698" t="s">
        <v>4387</v>
      </c>
      <c r="D698" t="s">
        <v>4388</v>
      </c>
      <c r="E698">
        <v>47300046761</v>
      </c>
      <c r="F698" t="s">
        <v>42</v>
      </c>
      <c r="G698" t="s">
        <v>28</v>
      </c>
      <c r="H698" t="s">
        <v>43</v>
      </c>
      <c r="K698" t="s">
        <v>3557</v>
      </c>
      <c r="L698" t="s">
        <v>19</v>
      </c>
      <c r="M698" t="s">
        <v>20</v>
      </c>
      <c r="P698">
        <v>25000</v>
      </c>
      <c r="Q698">
        <v>25000</v>
      </c>
      <c r="R698" t="s">
        <v>3741</v>
      </c>
      <c r="S698" t="s">
        <v>1941</v>
      </c>
      <c r="T698">
        <v>58.4</v>
      </c>
    </row>
    <row r="699" spans="1:20" x14ac:dyDescent="0.25">
      <c r="A699" t="s">
        <v>14</v>
      </c>
      <c r="B699" t="s">
        <v>1938</v>
      </c>
      <c r="C699" t="s">
        <v>4412</v>
      </c>
      <c r="D699" t="s">
        <v>4377</v>
      </c>
      <c r="E699">
        <v>47300046399</v>
      </c>
      <c r="F699" t="s">
        <v>16</v>
      </c>
      <c r="G699" t="s">
        <v>28</v>
      </c>
      <c r="H699" t="s">
        <v>122</v>
      </c>
      <c r="K699" t="s">
        <v>3557</v>
      </c>
      <c r="L699" t="s">
        <v>19</v>
      </c>
      <c r="M699" t="s">
        <v>20</v>
      </c>
      <c r="P699">
        <v>55000</v>
      </c>
      <c r="Q699">
        <v>55000</v>
      </c>
      <c r="R699" t="s">
        <v>3742</v>
      </c>
      <c r="S699" t="s">
        <v>1939</v>
      </c>
      <c r="T699">
        <v>128.6</v>
      </c>
    </row>
    <row r="700" spans="1:20" x14ac:dyDescent="0.25">
      <c r="A700" t="s">
        <v>14</v>
      </c>
      <c r="B700" t="s">
        <v>1936</v>
      </c>
      <c r="C700" t="s">
        <v>4414</v>
      </c>
      <c r="D700" t="s">
        <v>4401</v>
      </c>
      <c r="E700">
        <v>47300086445</v>
      </c>
      <c r="F700" t="s">
        <v>16</v>
      </c>
      <c r="G700" t="s">
        <v>28</v>
      </c>
      <c r="H700" t="s">
        <v>187</v>
      </c>
      <c r="I700" t="s">
        <v>2777</v>
      </c>
      <c r="J700" t="s">
        <v>2776</v>
      </c>
      <c r="K700" t="s">
        <v>3557</v>
      </c>
      <c r="L700" t="s">
        <v>19</v>
      </c>
      <c r="M700" t="s">
        <v>20</v>
      </c>
      <c r="P700">
        <v>45000</v>
      </c>
      <c r="Q700">
        <v>45000</v>
      </c>
      <c r="R700" t="s">
        <v>3743</v>
      </c>
      <c r="S700" t="s">
        <v>1937</v>
      </c>
      <c r="T700">
        <v>105.2</v>
      </c>
    </row>
    <row r="701" spans="1:20" x14ac:dyDescent="0.25">
      <c r="A701" t="s">
        <v>14</v>
      </c>
      <c r="B701" t="s">
        <v>1934</v>
      </c>
      <c r="C701" t="s">
        <v>4387</v>
      </c>
      <c r="D701" t="s">
        <v>4388</v>
      </c>
      <c r="E701">
        <v>47300070555</v>
      </c>
      <c r="F701" t="s">
        <v>35</v>
      </c>
      <c r="G701" t="s">
        <v>35</v>
      </c>
      <c r="H701" t="s">
        <v>116</v>
      </c>
      <c r="K701" t="s">
        <v>3557</v>
      </c>
      <c r="L701" t="s">
        <v>19</v>
      </c>
      <c r="M701" t="s">
        <v>20</v>
      </c>
      <c r="P701">
        <v>20000</v>
      </c>
      <c r="Q701">
        <v>20000</v>
      </c>
      <c r="R701" t="s">
        <v>3744</v>
      </c>
      <c r="S701" t="s">
        <v>1935</v>
      </c>
      <c r="T701">
        <v>46.7</v>
      </c>
    </row>
    <row r="702" spans="1:20" x14ac:dyDescent="0.25">
      <c r="A702" t="s">
        <v>14</v>
      </c>
      <c r="B702" t="s">
        <v>1932</v>
      </c>
      <c r="C702" t="s">
        <v>4409</v>
      </c>
      <c r="D702" t="s">
        <v>4410</v>
      </c>
      <c r="E702">
        <v>47300026094</v>
      </c>
      <c r="F702" t="s">
        <v>35</v>
      </c>
      <c r="G702" t="s">
        <v>36</v>
      </c>
      <c r="H702" t="s">
        <v>4359</v>
      </c>
      <c r="K702" t="s">
        <v>3557</v>
      </c>
      <c r="L702" t="s">
        <v>19</v>
      </c>
      <c r="M702" t="s">
        <v>20</v>
      </c>
      <c r="P702">
        <v>100000</v>
      </c>
      <c r="Q702">
        <v>100000</v>
      </c>
      <c r="R702" t="s">
        <v>3745</v>
      </c>
      <c r="S702" t="s">
        <v>1933</v>
      </c>
      <c r="T702">
        <v>233.7</v>
      </c>
    </row>
    <row r="703" spans="1:20" x14ac:dyDescent="0.25">
      <c r="A703" t="s">
        <v>14</v>
      </c>
      <c r="B703" t="s">
        <v>1930</v>
      </c>
      <c r="C703" t="s">
        <v>4371</v>
      </c>
      <c r="D703" t="s">
        <v>4368</v>
      </c>
      <c r="E703">
        <v>47300025690</v>
      </c>
      <c r="F703" t="s">
        <v>35</v>
      </c>
      <c r="G703" t="s">
        <v>36</v>
      </c>
      <c r="H703" t="s">
        <v>37</v>
      </c>
      <c r="K703" t="s">
        <v>3557</v>
      </c>
      <c r="L703" t="s">
        <v>19</v>
      </c>
      <c r="M703" t="s">
        <v>20</v>
      </c>
      <c r="P703">
        <v>50000</v>
      </c>
      <c r="Q703">
        <v>50000</v>
      </c>
      <c r="R703" t="s">
        <v>3746</v>
      </c>
      <c r="S703" t="s">
        <v>1931</v>
      </c>
      <c r="T703">
        <v>116.9</v>
      </c>
    </row>
    <row r="704" spans="1:20" x14ac:dyDescent="0.25">
      <c r="A704" t="s">
        <v>14</v>
      </c>
      <c r="B704" t="s">
        <v>1928</v>
      </c>
      <c r="C704" t="s">
        <v>4386</v>
      </c>
      <c r="D704" t="s">
        <v>4368</v>
      </c>
      <c r="E704">
        <v>47300025708</v>
      </c>
      <c r="F704" t="s">
        <v>35</v>
      </c>
      <c r="G704" t="s">
        <v>36</v>
      </c>
      <c r="H704" t="s">
        <v>4360</v>
      </c>
      <c r="K704" t="s">
        <v>3557</v>
      </c>
      <c r="L704" t="s">
        <v>19</v>
      </c>
      <c r="M704" t="s">
        <v>20</v>
      </c>
      <c r="P704">
        <v>50000</v>
      </c>
      <c r="Q704">
        <v>50000</v>
      </c>
      <c r="R704" t="s">
        <v>3747</v>
      </c>
      <c r="S704" t="s">
        <v>1929</v>
      </c>
      <c r="T704">
        <v>116.9</v>
      </c>
    </row>
    <row r="705" spans="1:20" x14ac:dyDescent="0.25">
      <c r="A705" t="s">
        <v>14</v>
      </c>
      <c r="B705" t="s">
        <v>1926</v>
      </c>
      <c r="C705" t="s">
        <v>4367</v>
      </c>
      <c r="D705" t="s">
        <v>4368</v>
      </c>
      <c r="E705">
        <v>47300026185</v>
      </c>
      <c r="F705" t="s">
        <v>35</v>
      </c>
      <c r="G705" t="s">
        <v>36</v>
      </c>
      <c r="H705" t="s">
        <v>4361</v>
      </c>
      <c r="K705" t="s">
        <v>3557</v>
      </c>
      <c r="L705" t="s">
        <v>19</v>
      </c>
      <c r="M705" t="s">
        <v>20</v>
      </c>
      <c r="P705">
        <v>50000</v>
      </c>
      <c r="Q705">
        <v>50000</v>
      </c>
      <c r="R705" t="s">
        <v>3748</v>
      </c>
      <c r="S705" t="s">
        <v>1927</v>
      </c>
      <c r="T705">
        <v>116.8</v>
      </c>
    </row>
    <row r="706" spans="1:20" x14ac:dyDescent="0.25">
      <c r="A706" t="s">
        <v>14</v>
      </c>
      <c r="B706" t="s">
        <v>1924</v>
      </c>
      <c r="C706" t="s">
        <v>3300</v>
      </c>
      <c r="D706" t="s">
        <v>3299</v>
      </c>
      <c r="E706">
        <v>47300046761</v>
      </c>
      <c r="F706" t="s">
        <v>42</v>
      </c>
      <c r="G706" t="s">
        <v>28</v>
      </c>
      <c r="H706" t="s">
        <v>43</v>
      </c>
      <c r="K706" t="s">
        <v>3557</v>
      </c>
      <c r="L706" t="s">
        <v>19</v>
      </c>
      <c r="M706" t="s">
        <v>20</v>
      </c>
      <c r="P706">
        <v>30000</v>
      </c>
      <c r="Q706">
        <v>30000</v>
      </c>
      <c r="R706" t="s">
        <v>3749</v>
      </c>
      <c r="S706" t="s">
        <v>1925</v>
      </c>
      <c r="T706">
        <v>70.2</v>
      </c>
    </row>
    <row r="707" spans="1:20" x14ac:dyDescent="0.25">
      <c r="A707" t="s">
        <v>14</v>
      </c>
      <c r="B707" t="s">
        <v>1922</v>
      </c>
      <c r="C707" t="s">
        <v>4369</v>
      </c>
      <c r="D707" t="s">
        <v>4370</v>
      </c>
      <c r="E707">
        <v>47300046746</v>
      </c>
      <c r="F707" t="s">
        <v>16</v>
      </c>
      <c r="G707" t="s">
        <v>28</v>
      </c>
      <c r="H707" t="s">
        <v>32</v>
      </c>
      <c r="K707" t="s">
        <v>3557</v>
      </c>
      <c r="L707" t="s">
        <v>19</v>
      </c>
      <c r="M707" t="s">
        <v>20</v>
      </c>
      <c r="P707">
        <v>30000</v>
      </c>
      <c r="Q707">
        <v>30000</v>
      </c>
      <c r="R707" t="s">
        <v>3750</v>
      </c>
      <c r="S707" t="s">
        <v>1923</v>
      </c>
      <c r="T707">
        <v>70.099999999999994</v>
      </c>
    </row>
    <row r="708" spans="1:20" x14ac:dyDescent="0.25">
      <c r="A708" t="s">
        <v>14</v>
      </c>
      <c r="B708" t="s">
        <v>1920</v>
      </c>
      <c r="C708" t="s">
        <v>4369</v>
      </c>
      <c r="D708" t="s">
        <v>4370</v>
      </c>
      <c r="E708">
        <v>47300070654</v>
      </c>
      <c r="F708" t="s">
        <v>16</v>
      </c>
      <c r="G708" t="s">
        <v>28</v>
      </c>
      <c r="H708" t="s">
        <v>217</v>
      </c>
      <c r="K708" t="s">
        <v>3557</v>
      </c>
      <c r="L708" t="s">
        <v>19</v>
      </c>
      <c r="M708" t="s">
        <v>20</v>
      </c>
      <c r="P708">
        <v>30000</v>
      </c>
      <c r="Q708">
        <v>30000</v>
      </c>
      <c r="R708" t="s">
        <v>3751</v>
      </c>
      <c r="S708" t="s">
        <v>1921</v>
      </c>
      <c r="T708">
        <v>70.099999999999994</v>
      </c>
    </row>
    <row r="709" spans="1:20" x14ac:dyDescent="0.25">
      <c r="A709" t="s">
        <v>14</v>
      </c>
      <c r="B709" t="s">
        <v>1918</v>
      </c>
      <c r="C709" t="s">
        <v>4418</v>
      </c>
      <c r="D709" t="s">
        <v>4368</v>
      </c>
      <c r="E709">
        <v>47300046662</v>
      </c>
      <c r="F709" t="s">
        <v>16</v>
      </c>
      <c r="G709" t="s">
        <v>28</v>
      </c>
      <c r="H709" t="s">
        <v>129</v>
      </c>
      <c r="K709" t="s">
        <v>3557</v>
      </c>
      <c r="L709" t="s">
        <v>19</v>
      </c>
      <c r="M709" t="s">
        <v>20</v>
      </c>
      <c r="P709">
        <v>50000</v>
      </c>
      <c r="Q709">
        <v>50000</v>
      </c>
      <c r="R709" t="s">
        <v>3752</v>
      </c>
      <c r="S709" t="s">
        <v>1919</v>
      </c>
      <c r="T709">
        <v>116.8</v>
      </c>
    </row>
    <row r="710" spans="1:20" x14ac:dyDescent="0.25">
      <c r="A710" t="s">
        <v>14</v>
      </c>
      <c r="B710" t="s">
        <v>1916</v>
      </c>
      <c r="C710" t="s">
        <v>4371</v>
      </c>
      <c r="D710" t="s">
        <v>4368</v>
      </c>
      <c r="E710">
        <v>47300046746</v>
      </c>
      <c r="F710" t="s">
        <v>16</v>
      </c>
      <c r="G710" t="s">
        <v>28</v>
      </c>
      <c r="H710" t="s">
        <v>32</v>
      </c>
      <c r="K710" t="s">
        <v>3557</v>
      </c>
      <c r="L710" t="s">
        <v>19</v>
      </c>
      <c r="M710" t="s">
        <v>20</v>
      </c>
      <c r="P710">
        <v>15000</v>
      </c>
      <c r="Q710">
        <v>15000</v>
      </c>
      <c r="R710" t="s">
        <v>3753</v>
      </c>
      <c r="S710" t="s">
        <v>1917</v>
      </c>
      <c r="T710">
        <v>35.1</v>
      </c>
    </row>
    <row r="711" spans="1:20" x14ac:dyDescent="0.25">
      <c r="A711" t="s">
        <v>14</v>
      </c>
      <c r="B711" t="s">
        <v>1914</v>
      </c>
      <c r="C711" t="s">
        <v>4367</v>
      </c>
      <c r="D711" t="s">
        <v>4368</v>
      </c>
      <c r="E711">
        <v>47300026094</v>
      </c>
      <c r="F711" t="s">
        <v>35</v>
      </c>
      <c r="G711" t="s">
        <v>36</v>
      </c>
      <c r="H711" t="s">
        <v>4359</v>
      </c>
      <c r="K711" t="s">
        <v>3557</v>
      </c>
      <c r="L711" t="s">
        <v>19</v>
      </c>
      <c r="M711" t="s">
        <v>20</v>
      </c>
      <c r="P711">
        <v>200000</v>
      </c>
      <c r="Q711">
        <v>200000</v>
      </c>
      <c r="R711" t="s">
        <v>3754</v>
      </c>
      <c r="S711" t="s">
        <v>1915</v>
      </c>
      <c r="T711">
        <v>467.4</v>
      </c>
    </row>
    <row r="712" spans="1:20" x14ac:dyDescent="0.25">
      <c r="A712" t="s">
        <v>14</v>
      </c>
      <c r="B712" t="s">
        <v>1912</v>
      </c>
      <c r="C712" t="s">
        <v>4414</v>
      </c>
      <c r="D712" t="s">
        <v>4401</v>
      </c>
      <c r="E712">
        <v>47300025708</v>
      </c>
      <c r="F712" t="s">
        <v>35</v>
      </c>
      <c r="G712" t="s">
        <v>36</v>
      </c>
      <c r="H712" t="s">
        <v>4360</v>
      </c>
      <c r="K712" t="s">
        <v>3557</v>
      </c>
      <c r="L712" t="s">
        <v>19</v>
      </c>
      <c r="M712" t="s">
        <v>20</v>
      </c>
      <c r="P712">
        <v>100000</v>
      </c>
      <c r="Q712">
        <v>100000</v>
      </c>
      <c r="R712" t="s">
        <v>3755</v>
      </c>
      <c r="S712" t="s">
        <v>1913</v>
      </c>
      <c r="T712">
        <v>233.7</v>
      </c>
    </row>
    <row r="713" spans="1:20" x14ac:dyDescent="0.25">
      <c r="A713" t="s">
        <v>14</v>
      </c>
      <c r="B713" t="s">
        <v>1910</v>
      </c>
      <c r="C713" t="s">
        <v>4396</v>
      </c>
      <c r="D713" t="s">
        <v>4397</v>
      </c>
      <c r="E713">
        <v>47300012151</v>
      </c>
      <c r="F713" t="s">
        <v>35</v>
      </c>
      <c r="G713" t="s">
        <v>36</v>
      </c>
      <c r="H713" t="s">
        <v>4362</v>
      </c>
      <c r="K713" t="s">
        <v>3557</v>
      </c>
      <c r="L713" t="s">
        <v>19</v>
      </c>
      <c r="M713" t="s">
        <v>20</v>
      </c>
      <c r="P713">
        <v>50000</v>
      </c>
      <c r="Q713">
        <v>50000</v>
      </c>
      <c r="R713" t="s">
        <v>3756</v>
      </c>
      <c r="S713" t="s">
        <v>1911</v>
      </c>
      <c r="T713">
        <v>116.9</v>
      </c>
    </row>
    <row r="714" spans="1:20" x14ac:dyDescent="0.25">
      <c r="A714" t="s">
        <v>14</v>
      </c>
      <c r="B714" t="s">
        <v>1908</v>
      </c>
      <c r="C714" t="s">
        <v>4365</v>
      </c>
      <c r="D714" t="s">
        <v>4403</v>
      </c>
      <c r="E714">
        <v>47300086445</v>
      </c>
      <c r="F714" t="s">
        <v>16</v>
      </c>
      <c r="G714" t="s">
        <v>28</v>
      </c>
      <c r="H714" t="s">
        <v>187</v>
      </c>
      <c r="I714" t="s">
        <v>2777</v>
      </c>
      <c r="J714" t="s">
        <v>2776</v>
      </c>
      <c r="K714" t="s">
        <v>3557</v>
      </c>
      <c r="L714" t="s">
        <v>19</v>
      </c>
      <c r="M714" t="s">
        <v>20</v>
      </c>
      <c r="P714">
        <v>25000</v>
      </c>
      <c r="Q714">
        <v>25000</v>
      </c>
      <c r="R714" t="s">
        <v>3757</v>
      </c>
      <c r="S714" t="s">
        <v>1909</v>
      </c>
      <c r="T714">
        <v>58.4</v>
      </c>
    </row>
    <row r="715" spans="1:20" x14ac:dyDescent="0.25">
      <c r="A715" t="s">
        <v>14</v>
      </c>
      <c r="B715" t="s">
        <v>1907</v>
      </c>
      <c r="C715" t="s">
        <v>4387</v>
      </c>
      <c r="D715" t="s">
        <v>4388</v>
      </c>
      <c r="E715">
        <v>47300047066</v>
      </c>
      <c r="F715" t="s">
        <v>16</v>
      </c>
      <c r="G715" t="s">
        <v>28</v>
      </c>
      <c r="H715" t="s">
        <v>57</v>
      </c>
      <c r="K715" t="s">
        <v>3294</v>
      </c>
      <c r="L715" t="s">
        <v>19</v>
      </c>
      <c r="M715" t="s">
        <v>46</v>
      </c>
      <c r="N715" s="2">
        <v>45413</v>
      </c>
      <c r="O715" s="2">
        <v>45443</v>
      </c>
      <c r="P715">
        <v>500</v>
      </c>
      <c r="Q715">
        <v>500</v>
      </c>
      <c r="R715" t="s">
        <v>2984</v>
      </c>
    </row>
    <row r="716" spans="1:20" x14ac:dyDescent="0.25">
      <c r="A716" t="s">
        <v>14</v>
      </c>
      <c r="B716" t="s">
        <v>1907</v>
      </c>
      <c r="C716" t="s">
        <v>4376</v>
      </c>
      <c r="D716" t="s">
        <v>4407</v>
      </c>
      <c r="E716">
        <v>47300047066</v>
      </c>
      <c r="F716" t="s">
        <v>16</v>
      </c>
      <c r="G716" t="s">
        <v>28</v>
      </c>
      <c r="H716" t="s">
        <v>57</v>
      </c>
      <c r="K716" t="s">
        <v>3197</v>
      </c>
      <c r="L716" t="s">
        <v>19</v>
      </c>
      <c r="M716" t="s">
        <v>46</v>
      </c>
      <c r="N716" s="2">
        <v>45413</v>
      </c>
      <c r="O716" s="2">
        <v>45443</v>
      </c>
      <c r="P716">
        <v>145500</v>
      </c>
      <c r="Q716">
        <v>145500</v>
      </c>
      <c r="R716" t="s">
        <v>2984</v>
      </c>
    </row>
    <row r="717" spans="1:20" x14ac:dyDescent="0.25">
      <c r="A717" t="s">
        <v>14</v>
      </c>
      <c r="B717" t="s">
        <v>1907</v>
      </c>
      <c r="C717" t="s">
        <v>4369</v>
      </c>
      <c r="D717" t="s">
        <v>4370</v>
      </c>
      <c r="E717">
        <v>47300047066</v>
      </c>
      <c r="F717" t="s">
        <v>16</v>
      </c>
      <c r="G717" t="s">
        <v>28</v>
      </c>
      <c r="H717" t="s">
        <v>57</v>
      </c>
      <c r="K717" t="s">
        <v>2892</v>
      </c>
      <c r="L717" t="s">
        <v>19</v>
      </c>
      <c r="M717" t="s">
        <v>46</v>
      </c>
      <c r="N717" s="2">
        <v>45413</v>
      </c>
      <c r="O717" s="2">
        <v>45443</v>
      </c>
      <c r="P717">
        <v>10000</v>
      </c>
      <c r="Q717">
        <v>10000</v>
      </c>
      <c r="R717" t="s">
        <v>2984</v>
      </c>
    </row>
    <row r="718" spans="1:20" x14ac:dyDescent="0.25">
      <c r="A718" t="s">
        <v>14</v>
      </c>
      <c r="B718" t="s">
        <v>1906</v>
      </c>
      <c r="C718" t="s">
        <v>4384</v>
      </c>
      <c r="D718" t="s">
        <v>4379</v>
      </c>
      <c r="E718">
        <v>47300070480</v>
      </c>
      <c r="F718" t="s">
        <v>16</v>
      </c>
      <c r="G718" t="s">
        <v>28</v>
      </c>
      <c r="H718" t="s">
        <v>184</v>
      </c>
      <c r="K718" t="s">
        <v>3294</v>
      </c>
      <c r="L718" t="s">
        <v>19</v>
      </c>
      <c r="M718" t="s">
        <v>46</v>
      </c>
      <c r="N718" s="2">
        <v>45413</v>
      </c>
      <c r="O718" s="2">
        <v>45443</v>
      </c>
      <c r="P718">
        <v>500</v>
      </c>
      <c r="Q718">
        <v>500</v>
      </c>
      <c r="R718" t="s">
        <v>3292</v>
      </c>
    </row>
    <row r="719" spans="1:20" x14ac:dyDescent="0.25">
      <c r="A719" t="s">
        <v>14</v>
      </c>
      <c r="B719" t="s">
        <v>1906</v>
      </c>
      <c r="C719" t="s">
        <v>4382</v>
      </c>
      <c r="D719" t="s">
        <v>4383</v>
      </c>
      <c r="E719">
        <v>47300070480</v>
      </c>
      <c r="F719" t="s">
        <v>16</v>
      </c>
      <c r="G719" t="s">
        <v>28</v>
      </c>
      <c r="H719" t="s">
        <v>184</v>
      </c>
      <c r="K719" t="s">
        <v>3293</v>
      </c>
      <c r="L719" t="s">
        <v>47</v>
      </c>
      <c r="N719" s="2">
        <v>45383</v>
      </c>
      <c r="O719" s="2">
        <v>45412</v>
      </c>
      <c r="P719">
        <v>500</v>
      </c>
      <c r="Q719">
        <v>500</v>
      </c>
      <c r="R719" t="s">
        <v>3292</v>
      </c>
    </row>
    <row r="720" spans="1:20" x14ac:dyDescent="0.25">
      <c r="A720" t="s">
        <v>14</v>
      </c>
      <c r="B720" t="s">
        <v>1905</v>
      </c>
      <c r="C720" t="s">
        <v>4384</v>
      </c>
      <c r="D720" t="s">
        <v>4379</v>
      </c>
      <c r="E720">
        <v>47300086445</v>
      </c>
      <c r="F720" t="s">
        <v>16</v>
      </c>
      <c r="G720" t="s">
        <v>28</v>
      </c>
      <c r="H720" t="s">
        <v>187</v>
      </c>
      <c r="I720" t="s">
        <v>2777</v>
      </c>
      <c r="J720" t="s">
        <v>2776</v>
      </c>
      <c r="K720" t="s">
        <v>3294</v>
      </c>
      <c r="L720" t="s">
        <v>19</v>
      </c>
      <c r="M720" t="s">
        <v>46</v>
      </c>
      <c r="N720" s="2">
        <v>45413</v>
      </c>
      <c r="O720" s="2">
        <v>45443</v>
      </c>
      <c r="P720">
        <v>500</v>
      </c>
      <c r="Q720">
        <v>500</v>
      </c>
      <c r="R720" t="s">
        <v>3380</v>
      </c>
    </row>
    <row r="721" spans="1:20" x14ac:dyDescent="0.25">
      <c r="A721" t="s">
        <v>14</v>
      </c>
      <c r="B721" t="s">
        <v>1904</v>
      </c>
      <c r="C721" t="s">
        <v>4387</v>
      </c>
      <c r="D721" t="s">
        <v>4388</v>
      </c>
      <c r="E721">
        <v>47300070589</v>
      </c>
      <c r="F721" t="s">
        <v>16</v>
      </c>
      <c r="G721" t="s">
        <v>28</v>
      </c>
      <c r="H721" t="s">
        <v>221</v>
      </c>
      <c r="K721" t="s">
        <v>3294</v>
      </c>
      <c r="L721" t="s">
        <v>19</v>
      </c>
      <c r="M721" t="s">
        <v>46</v>
      </c>
      <c r="N721" s="2">
        <v>45413</v>
      </c>
      <c r="O721" s="2">
        <v>45443</v>
      </c>
      <c r="P721">
        <v>500</v>
      </c>
      <c r="Q721">
        <v>500</v>
      </c>
      <c r="R721" t="s">
        <v>2985</v>
      </c>
    </row>
    <row r="722" spans="1:20" x14ac:dyDescent="0.25">
      <c r="A722" t="s">
        <v>14</v>
      </c>
      <c r="B722" t="s">
        <v>1904</v>
      </c>
      <c r="C722" t="s">
        <v>4387</v>
      </c>
      <c r="D722" t="s">
        <v>4388</v>
      </c>
      <c r="E722">
        <v>47300070589</v>
      </c>
      <c r="F722" t="s">
        <v>16</v>
      </c>
      <c r="G722" t="s">
        <v>28</v>
      </c>
      <c r="H722" t="s">
        <v>221</v>
      </c>
      <c r="K722" t="s">
        <v>3197</v>
      </c>
      <c r="L722" t="s">
        <v>19</v>
      </c>
      <c r="M722" t="s">
        <v>46</v>
      </c>
      <c r="N722" s="2">
        <v>45413</v>
      </c>
      <c r="O722" s="2">
        <v>45443</v>
      </c>
      <c r="P722">
        <v>145500</v>
      </c>
      <c r="Q722">
        <v>145500</v>
      </c>
      <c r="R722" t="s">
        <v>2985</v>
      </c>
    </row>
    <row r="723" spans="1:20" x14ac:dyDescent="0.25">
      <c r="A723" t="s">
        <v>14</v>
      </c>
      <c r="B723" t="s">
        <v>1904</v>
      </c>
      <c r="C723" t="s">
        <v>4376</v>
      </c>
      <c r="D723" t="s">
        <v>4407</v>
      </c>
      <c r="E723">
        <v>47300070589</v>
      </c>
      <c r="F723" t="s">
        <v>16</v>
      </c>
      <c r="G723" t="s">
        <v>28</v>
      </c>
      <c r="H723" t="s">
        <v>221</v>
      </c>
      <c r="K723" t="s">
        <v>3195</v>
      </c>
      <c r="L723" t="s">
        <v>47</v>
      </c>
      <c r="N723" s="2">
        <v>45383</v>
      </c>
      <c r="O723" s="2">
        <v>45412</v>
      </c>
      <c r="P723">
        <v>145500</v>
      </c>
      <c r="Q723">
        <v>145500</v>
      </c>
      <c r="R723" t="s">
        <v>2985</v>
      </c>
    </row>
    <row r="724" spans="1:20" x14ac:dyDescent="0.25">
      <c r="A724" t="s">
        <v>14</v>
      </c>
      <c r="B724" t="s">
        <v>1904</v>
      </c>
      <c r="C724" t="s">
        <v>4382</v>
      </c>
      <c r="D724" t="s">
        <v>4383</v>
      </c>
      <c r="E724">
        <v>47300070589</v>
      </c>
      <c r="F724" t="s">
        <v>16</v>
      </c>
      <c r="G724" t="s">
        <v>28</v>
      </c>
      <c r="H724" t="s">
        <v>221</v>
      </c>
      <c r="K724" t="s">
        <v>2892</v>
      </c>
      <c r="L724" t="s">
        <v>19</v>
      </c>
      <c r="M724" t="s">
        <v>46</v>
      </c>
      <c r="N724" s="2">
        <v>45413</v>
      </c>
      <c r="O724" s="2">
        <v>45443</v>
      </c>
      <c r="P724">
        <v>10000</v>
      </c>
      <c r="Q724">
        <v>10000</v>
      </c>
      <c r="R724" t="s">
        <v>2985</v>
      </c>
    </row>
    <row r="725" spans="1:20" x14ac:dyDescent="0.25">
      <c r="A725" t="s">
        <v>14</v>
      </c>
      <c r="B725" t="s">
        <v>1902</v>
      </c>
      <c r="C725" t="s">
        <v>4376</v>
      </c>
      <c r="D725" t="s">
        <v>4407</v>
      </c>
      <c r="E725">
        <v>47300046761</v>
      </c>
      <c r="F725" t="s">
        <v>42</v>
      </c>
      <c r="G725" t="s">
        <v>28</v>
      </c>
      <c r="H725" t="s">
        <v>43</v>
      </c>
      <c r="K725" t="s">
        <v>4229</v>
      </c>
      <c r="L725" t="s">
        <v>19</v>
      </c>
      <c r="M725" t="s">
        <v>63</v>
      </c>
      <c r="N725" s="2">
        <v>45413</v>
      </c>
      <c r="O725" s="2">
        <v>45443</v>
      </c>
      <c r="P725">
        <v>25000</v>
      </c>
      <c r="Q725">
        <v>25000</v>
      </c>
      <c r="R725" t="s">
        <v>2986</v>
      </c>
      <c r="S725" t="s">
        <v>1903</v>
      </c>
      <c r="T725">
        <v>58.4</v>
      </c>
    </row>
    <row r="726" spans="1:20" x14ac:dyDescent="0.25">
      <c r="A726" t="s">
        <v>14</v>
      </c>
      <c r="B726" t="s">
        <v>1902</v>
      </c>
      <c r="C726" t="s">
        <v>4387</v>
      </c>
      <c r="D726" t="s">
        <v>4388</v>
      </c>
      <c r="E726">
        <v>47300046761</v>
      </c>
      <c r="F726" t="s">
        <v>42</v>
      </c>
      <c r="G726" t="s">
        <v>28</v>
      </c>
      <c r="H726" t="s">
        <v>43</v>
      </c>
      <c r="K726" t="s">
        <v>3294</v>
      </c>
      <c r="L726" t="s">
        <v>19</v>
      </c>
      <c r="M726" t="s">
        <v>46</v>
      </c>
      <c r="N726" s="2">
        <v>45413</v>
      </c>
      <c r="O726" s="2">
        <v>45443</v>
      </c>
      <c r="P726">
        <v>500</v>
      </c>
      <c r="Q726">
        <v>500</v>
      </c>
      <c r="R726" t="s">
        <v>2986</v>
      </c>
    </row>
    <row r="727" spans="1:20" x14ac:dyDescent="0.25">
      <c r="A727" t="s">
        <v>14</v>
      </c>
      <c r="B727" t="s">
        <v>1902</v>
      </c>
      <c r="C727" t="s">
        <v>4376</v>
      </c>
      <c r="D727" t="s">
        <v>4407</v>
      </c>
      <c r="E727">
        <v>47300046761</v>
      </c>
      <c r="F727" t="s">
        <v>42</v>
      </c>
      <c r="G727" t="s">
        <v>28</v>
      </c>
      <c r="H727" t="s">
        <v>43</v>
      </c>
      <c r="K727" t="s">
        <v>3197</v>
      </c>
      <c r="L727" t="s">
        <v>19</v>
      </c>
      <c r="M727" t="s">
        <v>46</v>
      </c>
      <c r="N727" s="2">
        <v>45413</v>
      </c>
      <c r="O727" s="2">
        <v>45443</v>
      </c>
      <c r="P727">
        <v>145500</v>
      </c>
      <c r="Q727">
        <v>145500</v>
      </c>
      <c r="R727" t="s">
        <v>2986</v>
      </c>
    </row>
    <row r="728" spans="1:20" x14ac:dyDescent="0.25">
      <c r="A728" t="s">
        <v>14</v>
      </c>
      <c r="B728" t="s">
        <v>1902</v>
      </c>
      <c r="C728" t="s">
        <v>4382</v>
      </c>
      <c r="D728" t="s">
        <v>4383</v>
      </c>
      <c r="E728">
        <v>47300046761</v>
      </c>
      <c r="F728" t="s">
        <v>42</v>
      </c>
      <c r="G728" t="s">
        <v>28</v>
      </c>
      <c r="H728" t="s">
        <v>43</v>
      </c>
      <c r="K728" t="s">
        <v>2892</v>
      </c>
      <c r="L728" t="s">
        <v>19</v>
      </c>
      <c r="M728" t="s">
        <v>46</v>
      </c>
      <c r="N728" s="2">
        <v>45413</v>
      </c>
      <c r="O728" s="2">
        <v>45443</v>
      </c>
      <c r="P728">
        <v>10000</v>
      </c>
      <c r="Q728">
        <v>10000</v>
      </c>
      <c r="R728" t="s">
        <v>2986</v>
      </c>
    </row>
    <row r="729" spans="1:20" x14ac:dyDescent="0.25">
      <c r="A729" t="s">
        <v>14</v>
      </c>
      <c r="B729" t="s">
        <v>1900</v>
      </c>
      <c r="C729" t="s">
        <v>4408</v>
      </c>
      <c r="D729" t="s">
        <v>4407</v>
      </c>
      <c r="E729">
        <v>47300046720</v>
      </c>
      <c r="F729" t="s">
        <v>16</v>
      </c>
      <c r="G729" t="s">
        <v>28</v>
      </c>
      <c r="H729" t="s">
        <v>143</v>
      </c>
      <c r="K729" t="s">
        <v>4229</v>
      </c>
      <c r="L729" t="s">
        <v>19</v>
      </c>
      <c r="M729" t="s">
        <v>63</v>
      </c>
      <c r="N729" s="2">
        <v>45413</v>
      </c>
      <c r="O729" s="2">
        <v>45443</v>
      </c>
      <c r="P729">
        <v>50000</v>
      </c>
      <c r="Q729">
        <v>50000</v>
      </c>
      <c r="R729" t="s">
        <v>2987</v>
      </c>
      <c r="S729" t="s">
        <v>1901</v>
      </c>
      <c r="T729">
        <v>116.9</v>
      </c>
    </row>
    <row r="730" spans="1:20" x14ac:dyDescent="0.25">
      <c r="A730" t="s">
        <v>14</v>
      </c>
      <c r="B730" t="s">
        <v>1900</v>
      </c>
      <c r="C730" t="s">
        <v>4417</v>
      </c>
      <c r="D730" t="s">
        <v>4397</v>
      </c>
      <c r="E730">
        <v>47300046720</v>
      </c>
      <c r="F730" t="s">
        <v>16</v>
      </c>
      <c r="G730" t="s">
        <v>28</v>
      </c>
      <c r="H730" t="s">
        <v>143</v>
      </c>
      <c r="K730" t="s">
        <v>3294</v>
      </c>
      <c r="L730" t="s">
        <v>19</v>
      </c>
      <c r="M730" t="s">
        <v>46</v>
      </c>
      <c r="N730" s="2">
        <v>45413</v>
      </c>
      <c r="O730" s="2">
        <v>45443</v>
      </c>
      <c r="P730">
        <v>500</v>
      </c>
      <c r="Q730">
        <v>500</v>
      </c>
      <c r="R730" t="s">
        <v>2987</v>
      </c>
    </row>
    <row r="731" spans="1:20" x14ac:dyDescent="0.25">
      <c r="A731" t="s">
        <v>14</v>
      </c>
      <c r="B731" t="s">
        <v>1900</v>
      </c>
      <c r="C731" t="s">
        <v>4402</v>
      </c>
      <c r="D731" t="s">
        <v>4403</v>
      </c>
      <c r="E731">
        <v>47300046720</v>
      </c>
      <c r="F731" t="s">
        <v>16</v>
      </c>
      <c r="G731" t="s">
        <v>28</v>
      </c>
      <c r="H731" t="s">
        <v>143</v>
      </c>
      <c r="K731" t="s">
        <v>2892</v>
      </c>
      <c r="L731" t="s">
        <v>19</v>
      </c>
      <c r="M731" t="s">
        <v>46</v>
      </c>
      <c r="N731" s="2">
        <v>45413</v>
      </c>
      <c r="O731" s="2">
        <v>45443</v>
      </c>
      <c r="P731">
        <v>10000</v>
      </c>
      <c r="Q731">
        <v>10000</v>
      </c>
      <c r="R731" t="s">
        <v>2987</v>
      </c>
    </row>
    <row r="732" spans="1:20" x14ac:dyDescent="0.25">
      <c r="A732" t="s">
        <v>14</v>
      </c>
      <c r="B732" t="s">
        <v>1899</v>
      </c>
      <c r="C732" t="s">
        <v>4376</v>
      </c>
      <c r="D732" t="s">
        <v>4377</v>
      </c>
      <c r="E732">
        <v>47300070845</v>
      </c>
      <c r="F732" t="s">
        <v>16</v>
      </c>
      <c r="G732" t="s">
        <v>23</v>
      </c>
      <c r="H732" t="s">
        <v>157</v>
      </c>
      <c r="K732" t="s">
        <v>3294</v>
      </c>
      <c r="L732" t="s">
        <v>19</v>
      </c>
      <c r="M732" t="s">
        <v>46</v>
      </c>
      <c r="N732" s="2">
        <v>45413</v>
      </c>
      <c r="O732" s="2">
        <v>45535</v>
      </c>
      <c r="P732">
        <v>500</v>
      </c>
      <c r="Q732">
        <v>2000</v>
      </c>
      <c r="R732" t="s">
        <v>3381</v>
      </c>
    </row>
    <row r="733" spans="1:20" x14ac:dyDescent="0.25">
      <c r="A733" t="s">
        <v>14</v>
      </c>
      <c r="B733" t="s">
        <v>1898</v>
      </c>
      <c r="C733" t="s">
        <v>4417</v>
      </c>
      <c r="D733" t="s">
        <v>4397</v>
      </c>
      <c r="E733">
        <v>47300047280</v>
      </c>
      <c r="F733" t="s">
        <v>16</v>
      </c>
      <c r="G733" t="s">
        <v>28</v>
      </c>
      <c r="H733" t="s">
        <v>274</v>
      </c>
      <c r="K733" t="s">
        <v>3294</v>
      </c>
      <c r="L733" t="s">
        <v>19</v>
      </c>
      <c r="M733" t="s">
        <v>46</v>
      </c>
      <c r="N733" s="2">
        <v>45413</v>
      </c>
      <c r="O733" s="2">
        <v>45443</v>
      </c>
      <c r="P733">
        <v>500</v>
      </c>
      <c r="Q733">
        <v>500</v>
      </c>
      <c r="R733" t="s">
        <v>3191</v>
      </c>
    </row>
    <row r="734" spans="1:20" x14ac:dyDescent="0.25">
      <c r="A734" t="s">
        <v>14</v>
      </c>
      <c r="B734" t="s">
        <v>1898</v>
      </c>
      <c r="C734" t="s">
        <v>4417</v>
      </c>
      <c r="D734" t="s">
        <v>4397</v>
      </c>
      <c r="E734">
        <v>47300047280</v>
      </c>
      <c r="F734" t="s">
        <v>16</v>
      </c>
      <c r="G734" t="s">
        <v>28</v>
      </c>
      <c r="H734" t="s">
        <v>274</v>
      </c>
      <c r="K734" t="s">
        <v>3293</v>
      </c>
      <c r="L734" t="s">
        <v>47</v>
      </c>
      <c r="N734" s="2">
        <v>45383</v>
      </c>
      <c r="O734" s="2">
        <v>45412</v>
      </c>
      <c r="P734">
        <v>500</v>
      </c>
      <c r="Q734">
        <v>500</v>
      </c>
      <c r="R734" t="s">
        <v>3191</v>
      </c>
    </row>
    <row r="735" spans="1:20" x14ac:dyDescent="0.25">
      <c r="A735" t="s">
        <v>14</v>
      </c>
      <c r="B735" t="s">
        <v>1898</v>
      </c>
      <c r="C735" t="s">
        <v>4417</v>
      </c>
      <c r="D735" t="s">
        <v>4397</v>
      </c>
      <c r="E735">
        <v>47300047280</v>
      </c>
      <c r="F735" t="s">
        <v>16</v>
      </c>
      <c r="G735" t="s">
        <v>28</v>
      </c>
      <c r="H735" t="s">
        <v>274</v>
      </c>
      <c r="K735" t="s">
        <v>3290</v>
      </c>
      <c r="L735" t="s">
        <v>47</v>
      </c>
      <c r="N735" s="2">
        <v>45323</v>
      </c>
      <c r="O735" s="2">
        <v>45351</v>
      </c>
      <c r="P735">
        <v>500</v>
      </c>
      <c r="Q735">
        <v>500</v>
      </c>
      <c r="R735" t="s">
        <v>3191</v>
      </c>
    </row>
    <row r="736" spans="1:20" x14ac:dyDescent="0.25">
      <c r="A736" t="s">
        <v>14</v>
      </c>
      <c r="B736" t="s">
        <v>1898</v>
      </c>
      <c r="C736" t="s">
        <v>4417</v>
      </c>
      <c r="D736" t="s">
        <v>4397</v>
      </c>
      <c r="E736">
        <v>47300047280</v>
      </c>
      <c r="F736" t="s">
        <v>16</v>
      </c>
      <c r="G736" t="s">
        <v>28</v>
      </c>
      <c r="H736" t="s">
        <v>274</v>
      </c>
      <c r="K736" t="s">
        <v>3280</v>
      </c>
      <c r="L736" t="s">
        <v>47</v>
      </c>
      <c r="N736" s="2">
        <v>45352</v>
      </c>
      <c r="O736" s="2">
        <v>45382</v>
      </c>
      <c r="P736">
        <v>500</v>
      </c>
      <c r="Q736">
        <v>500</v>
      </c>
      <c r="R736" t="s">
        <v>3191</v>
      </c>
    </row>
    <row r="737" spans="1:25" x14ac:dyDescent="0.25">
      <c r="A737" t="s">
        <v>14</v>
      </c>
      <c r="B737" t="s">
        <v>1898</v>
      </c>
      <c r="C737" t="s">
        <v>4376</v>
      </c>
      <c r="D737" t="s">
        <v>4377</v>
      </c>
      <c r="E737">
        <v>47300047280</v>
      </c>
      <c r="F737" t="s">
        <v>16</v>
      </c>
      <c r="G737" t="s">
        <v>28</v>
      </c>
      <c r="H737" t="s">
        <v>274</v>
      </c>
      <c r="K737" t="s">
        <v>3197</v>
      </c>
      <c r="L737" t="s">
        <v>19</v>
      </c>
      <c r="M737" t="s">
        <v>46</v>
      </c>
      <c r="N737" s="2">
        <v>45413</v>
      </c>
      <c r="O737" s="2">
        <v>45443</v>
      </c>
      <c r="P737">
        <v>145500</v>
      </c>
      <c r="Q737">
        <v>145500</v>
      </c>
      <c r="R737" t="s">
        <v>3191</v>
      </c>
    </row>
    <row r="738" spans="1:25" x14ac:dyDescent="0.25">
      <c r="A738" t="s">
        <v>14</v>
      </c>
      <c r="B738" t="s">
        <v>1898</v>
      </c>
      <c r="C738" t="s">
        <v>4417</v>
      </c>
      <c r="D738" t="s">
        <v>4397</v>
      </c>
      <c r="E738">
        <v>47300047280</v>
      </c>
      <c r="F738" t="s">
        <v>16</v>
      </c>
      <c r="G738" t="s">
        <v>28</v>
      </c>
      <c r="H738" t="s">
        <v>274</v>
      </c>
      <c r="K738" t="s">
        <v>3195</v>
      </c>
      <c r="L738" t="s">
        <v>47</v>
      </c>
      <c r="N738" s="2">
        <v>45383</v>
      </c>
      <c r="O738" s="2">
        <v>45412</v>
      </c>
      <c r="P738">
        <v>145500</v>
      </c>
      <c r="Q738">
        <v>145500</v>
      </c>
      <c r="R738" t="s">
        <v>3191</v>
      </c>
    </row>
    <row r="739" spans="1:25" x14ac:dyDescent="0.25">
      <c r="A739" t="s">
        <v>14</v>
      </c>
      <c r="B739" t="s">
        <v>1898</v>
      </c>
      <c r="C739" t="s">
        <v>4417</v>
      </c>
      <c r="D739" t="s">
        <v>4397</v>
      </c>
      <c r="E739">
        <v>47300047280</v>
      </c>
      <c r="F739" t="s">
        <v>16</v>
      </c>
      <c r="G739" t="s">
        <v>28</v>
      </c>
      <c r="H739" t="s">
        <v>274</v>
      </c>
      <c r="K739" t="s">
        <v>3194</v>
      </c>
      <c r="L739" t="s">
        <v>47</v>
      </c>
      <c r="N739" s="2">
        <v>45323</v>
      </c>
      <c r="O739" s="2">
        <v>45351</v>
      </c>
      <c r="P739">
        <v>145500</v>
      </c>
      <c r="Q739">
        <v>145500</v>
      </c>
      <c r="R739" t="s">
        <v>3191</v>
      </c>
    </row>
    <row r="740" spans="1:25" x14ac:dyDescent="0.25">
      <c r="A740" t="s">
        <v>14</v>
      </c>
      <c r="B740" t="s">
        <v>1898</v>
      </c>
      <c r="C740" t="s">
        <v>4417</v>
      </c>
      <c r="D740" t="s">
        <v>4397</v>
      </c>
      <c r="E740">
        <v>47300047280</v>
      </c>
      <c r="F740" t="s">
        <v>16</v>
      </c>
      <c r="G740" t="s">
        <v>28</v>
      </c>
      <c r="H740" t="s">
        <v>274</v>
      </c>
      <c r="K740" t="s">
        <v>3192</v>
      </c>
      <c r="L740" t="s">
        <v>47</v>
      </c>
      <c r="N740" s="2">
        <v>45352</v>
      </c>
      <c r="O740" s="2">
        <v>45382</v>
      </c>
      <c r="P740">
        <v>145500</v>
      </c>
      <c r="Q740">
        <v>145500</v>
      </c>
      <c r="R740" t="s">
        <v>3191</v>
      </c>
    </row>
    <row r="741" spans="1:25" x14ac:dyDescent="0.25">
      <c r="A741" t="s">
        <v>14</v>
      </c>
      <c r="B741" t="s">
        <v>1896</v>
      </c>
      <c r="C741" t="s">
        <v>4417</v>
      </c>
      <c r="D741" t="s">
        <v>4397</v>
      </c>
      <c r="E741">
        <v>47300047280</v>
      </c>
      <c r="F741" t="s">
        <v>16</v>
      </c>
      <c r="G741" t="s">
        <v>28</v>
      </c>
      <c r="H741" t="s">
        <v>274</v>
      </c>
      <c r="K741" t="s">
        <v>4229</v>
      </c>
      <c r="L741" t="s">
        <v>19</v>
      </c>
      <c r="M741" t="s">
        <v>63</v>
      </c>
      <c r="N741" s="2">
        <v>45413</v>
      </c>
      <c r="O741" s="2">
        <v>45443</v>
      </c>
      <c r="P741">
        <v>150000</v>
      </c>
      <c r="Q741">
        <v>150000</v>
      </c>
      <c r="R741" t="s">
        <v>4260</v>
      </c>
      <c r="S741" t="s">
        <v>1897</v>
      </c>
      <c r="T741">
        <v>350.5</v>
      </c>
    </row>
    <row r="742" spans="1:25" x14ac:dyDescent="0.25">
      <c r="A742" t="s">
        <v>14</v>
      </c>
      <c r="B742" t="s">
        <v>1895</v>
      </c>
      <c r="C742" t="s">
        <v>4376</v>
      </c>
      <c r="D742" t="s">
        <v>4377</v>
      </c>
      <c r="E742">
        <v>47300070753</v>
      </c>
      <c r="F742" t="s">
        <v>16</v>
      </c>
      <c r="G742" t="s">
        <v>17</v>
      </c>
      <c r="H742" t="s">
        <v>82</v>
      </c>
      <c r="K742" t="s">
        <v>3294</v>
      </c>
      <c r="L742" t="s">
        <v>19</v>
      </c>
      <c r="M742" t="s">
        <v>46</v>
      </c>
      <c r="N742" s="2">
        <v>45413</v>
      </c>
      <c r="O742" s="2">
        <v>45443</v>
      </c>
      <c r="P742">
        <v>500</v>
      </c>
      <c r="Q742">
        <v>500</v>
      </c>
      <c r="R742" t="s">
        <v>3382</v>
      </c>
    </row>
    <row r="743" spans="1:25" x14ac:dyDescent="0.25">
      <c r="A743" t="s">
        <v>14</v>
      </c>
      <c r="B743" t="s">
        <v>1893</v>
      </c>
      <c r="C743" t="s">
        <v>4394</v>
      </c>
      <c r="D743" t="s">
        <v>4421</v>
      </c>
      <c r="E743">
        <v>47300046241</v>
      </c>
      <c r="F743" t="s">
        <v>16</v>
      </c>
      <c r="G743" t="s">
        <v>23</v>
      </c>
      <c r="H743" t="s">
        <v>24</v>
      </c>
      <c r="I743" t="s">
        <v>2754</v>
      </c>
      <c r="J743">
        <v>0</v>
      </c>
      <c r="K743" t="s">
        <v>4229</v>
      </c>
      <c r="L743" t="s">
        <v>19</v>
      </c>
      <c r="M743" t="s">
        <v>63</v>
      </c>
      <c r="N743" s="2">
        <v>45413</v>
      </c>
      <c r="O743" s="2">
        <v>45443</v>
      </c>
      <c r="P743">
        <v>25000</v>
      </c>
      <c r="Q743">
        <v>25000</v>
      </c>
      <c r="R743" t="s">
        <v>2988</v>
      </c>
      <c r="S743" t="s">
        <v>1894</v>
      </c>
      <c r="T743">
        <v>58.4</v>
      </c>
      <c r="X743" t="s">
        <v>4422</v>
      </c>
      <c r="Y743" t="s">
        <v>4423</v>
      </c>
    </row>
    <row r="744" spans="1:25" x14ac:dyDescent="0.25">
      <c r="A744" t="s">
        <v>14</v>
      </c>
      <c r="B744" t="s">
        <v>1893</v>
      </c>
      <c r="C744" t="s">
        <v>4412</v>
      </c>
      <c r="D744" t="s">
        <v>4377</v>
      </c>
      <c r="E744">
        <v>47300046241</v>
      </c>
      <c r="F744" t="s">
        <v>16</v>
      </c>
      <c r="G744" t="s">
        <v>23</v>
      </c>
      <c r="H744" t="s">
        <v>24</v>
      </c>
      <c r="I744" t="s">
        <v>2754</v>
      </c>
      <c r="J744">
        <v>0</v>
      </c>
      <c r="K744" t="s">
        <v>3294</v>
      </c>
      <c r="L744" t="s">
        <v>19</v>
      </c>
      <c r="M744" t="s">
        <v>46</v>
      </c>
      <c r="N744" s="2">
        <v>45413</v>
      </c>
      <c r="O744" s="2">
        <v>45443</v>
      </c>
      <c r="P744">
        <v>500</v>
      </c>
      <c r="Q744">
        <v>500</v>
      </c>
      <c r="R744" t="s">
        <v>2988</v>
      </c>
    </row>
    <row r="745" spans="1:25" x14ac:dyDescent="0.25">
      <c r="A745" t="s">
        <v>14</v>
      </c>
      <c r="B745" t="s">
        <v>1893</v>
      </c>
      <c r="C745" t="s">
        <v>3300</v>
      </c>
      <c r="D745" t="s">
        <v>3299</v>
      </c>
      <c r="E745">
        <v>47300046241</v>
      </c>
      <c r="F745" t="s">
        <v>16</v>
      </c>
      <c r="G745" t="s">
        <v>23</v>
      </c>
      <c r="H745" t="s">
        <v>24</v>
      </c>
      <c r="I745" t="s">
        <v>2754</v>
      </c>
      <c r="J745">
        <v>0</v>
      </c>
      <c r="K745" t="s">
        <v>2892</v>
      </c>
      <c r="L745" t="s">
        <v>19</v>
      </c>
      <c r="M745" t="s">
        <v>46</v>
      </c>
      <c r="N745" s="2">
        <v>45413</v>
      </c>
      <c r="O745" s="2">
        <v>45443</v>
      </c>
      <c r="P745">
        <v>10000</v>
      </c>
      <c r="Q745">
        <v>10000</v>
      </c>
      <c r="R745" t="s">
        <v>2988</v>
      </c>
    </row>
    <row r="746" spans="1:25" x14ac:dyDescent="0.25">
      <c r="A746" t="s">
        <v>14</v>
      </c>
      <c r="B746" t="s">
        <v>1891</v>
      </c>
      <c r="C746" t="s">
        <v>4394</v>
      </c>
      <c r="D746" t="s">
        <v>4395</v>
      </c>
      <c r="E746">
        <v>47300046761</v>
      </c>
      <c r="F746" t="s">
        <v>42</v>
      </c>
      <c r="G746" t="s">
        <v>28</v>
      </c>
      <c r="H746" t="s">
        <v>43</v>
      </c>
      <c r="K746" t="s">
        <v>3557</v>
      </c>
      <c r="L746" t="s">
        <v>19</v>
      </c>
      <c r="M746" t="s">
        <v>20</v>
      </c>
      <c r="P746">
        <v>25000</v>
      </c>
      <c r="Q746">
        <v>25000</v>
      </c>
      <c r="R746" t="s">
        <v>3758</v>
      </c>
      <c r="S746" t="s">
        <v>1892</v>
      </c>
      <c r="T746">
        <v>58.4</v>
      </c>
    </row>
    <row r="747" spans="1:25" x14ac:dyDescent="0.25">
      <c r="A747" t="s">
        <v>14</v>
      </c>
      <c r="B747" t="s">
        <v>1889</v>
      </c>
      <c r="C747" t="s">
        <v>4412</v>
      </c>
      <c r="D747" t="s">
        <v>4377</v>
      </c>
      <c r="E747">
        <v>47300070555</v>
      </c>
      <c r="F747" t="s">
        <v>35</v>
      </c>
      <c r="G747" t="s">
        <v>35</v>
      </c>
      <c r="H747" t="s">
        <v>116</v>
      </c>
      <c r="K747" t="s">
        <v>4229</v>
      </c>
      <c r="L747" t="s">
        <v>19</v>
      </c>
      <c r="M747" t="s">
        <v>63</v>
      </c>
      <c r="N747" s="2">
        <v>45413</v>
      </c>
      <c r="O747" s="2">
        <v>45443</v>
      </c>
      <c r="P747">
        <v>50000</v>
      </c>
      <c r="Q747">
        <v>50000</v>
      </c>
      <c r="R747" t="s">
        <v>3383</v>
      </c>
      <c r="S747" t="s">
        <v>1890</v>
      </c>
      <c r="T747">
        <v>116.9</v>
      </c>
    </row>
    <row r="748" spans="1:25" x14ac:dyDescent="0.25">
      <c r="A748" t="s">
        <v>14</v>
      </c>
      <c r="B748" t="s">
        <v>1889</v>
      </c>
      <c r="C748" t="s">
        <v>3300</v>
      </c>
      <c r="D748" t="s">
        <v>3299</v>
      </c>
      <c r="E748">
        <v>47300070555</v>
      </c>
      <c r="F748" t="s">
        <v>35</v>
      </c>
      <c r="G748" t="s">
        <v>35</v>
      </c>
      <c r="H748" t="s">
        <v>116</v>
      </c>
      <c r="K748" t="s">
        <v>3294</v>
      </c>
      <c r="L748" t="s">
        <v>19</v>
      </c>
      <c r="M748" t="s">
        <v>46</v>
      </c>
      <c r="N748" s="2">
        <v>45413</v>
      </c>
      <c r="O748" s="2">
        <v>45443</v>
      </c>
      <c r="P748">
        <v>500</v>
      </c>
      <c r="Q748">
        <v>500</v>
      </c>
      <c r="R748" t="s">
        <v>3383</v>
      </c>
    </row>
    <row r="749" spans="1:25" x14ac:dyDescent="0.25">
      <c r="A749" t="s">
        <v>14</v>
      </c>
      <c r="B749" t="s">
        <v>1887</v>
      </c>
      <c r="C749" t="s">
        <v>4394</v>
      </c>
      <c r="D749" t="s">
        <v>4395</v>
      </c>
      <c r="E749">
        <v>47300046258</v>
      </c>
      <c r="F749" t="s">
        <v>16</v>
      </c>
      <c r="G749" t="s">
        <v>28</v>
      </c>
      <c r="H749" t="s">
        <v>160</v>
      </c>
      <c r="K749" t="s">
        <v>4229</v>
      </c>
      <c r="L749" t="s">
        <v>19</v>
      </c>
      <c r="M749" t="s">
        <v>63</v>
      </c>
      <c r="N749" s="2">
        <v>45413</v>
      </c>
      <c r="O749" s="2">
        <v>45443</v>
      </c>
      <c r="P749">
        <v>40000</v>
      </c>
      <c r="Q749">
        <v>40000</v>
      </c>
      <c r="R749" t="s">
        <v>2989</v>
      </c>
      <c r="S749" t="s">
        <v>1888</v>
      </c>
      <c r="T749">
        <v>93.5</v>
      </c>
    </row>
    <row r="750" spans="1:25" x14ac:dyDescent="0.25">
      <c r="A750" t="s">
        <v>14</v>
      </c>
      <c r="B750" t="s">
        <v>1887</v>
      </c>
      <c r="C750" t="s">
        <v>4387</v>
      </c>
      <c r="D750" t="s">
        <v>4388</v>
      </c>
      <c r="E750">
        <v>47300046258</v>
      </c>
      <c r="F750" t="s">
        <v>16</v>
      </c>
      <c r="G750" t="s">
        <v>28</v>
      </c>
      <c r="H750" t="s">
        <v>160</v>
      </c>
      <c r="K750" t="s">
        <v>3294</v>
      </c>
      <c r="L750" t="s">
        <v>19</v>
      </c>
      <c r="M750" t="s">
        <v>46</v>
      </c>
      <c r="N750" s="2">
        <v>45413</v>
      </c>
      <c r="O750" s="2">
        <v>45443</v>
      </c>
      <c r="P750">
        <v>500</v>
      </c>
      <c r="Q750">
        <v>500</v>
      </c>
      <c r="R750" t="s">
        <v>2989</v>
      </c>
    </row>
    <row r="751" spans="1:25" x14ac:dyDescent="0.25">
      <c r="A751" t="s">
        <v>14</v>
      </c>
      <c r="B751" t="s">
        <v>1887</v>
      </c>
      <c r="C751" t="s">
        <v>4394</v>
      </c>
      <c r="D751" t="s">
        <v>4421</v>
      </c>
      <c r="E751">
        <v>47300046258</v>
      </c>
      <c r="F751" t="s">
        <v>16</v>
      </c>
      <c r="G751" t="s">
        <v>28</v>
      </c>
      <c r="H751" t="s">
        <v>160</v>
      </c>
      <c r="K751" t="s">
        <v>2892</v>
      </c>
      <c r="L751" t="s">
        <v>19</v>
      </c>
      <c r="M751" t="s">
        <v>46</v>
      </c>
      <c r="N751" s="2">
        <v>45413</v>
      </c>
      <c r="O751" s="2">
        <v>45443</v>
      </c>
      <c r="P751">
        <v>10000</v>
      </c>
      <c r="Q751">
        <v>10000</v>
      </c>
      <c r="R751" t="s">
        <v>2989</v>
      </c>
      <c r="X751" t="s">
        <v>4422</v>
      </c>
      <c r="Y751" t="s">
        <v>4423</v>
      </c>
    </row>
    <row r="752" spans="1:25" x14ac:dyDescent="0.25">
      <c r="A752" t="s">
        <v>14</v>
      </c>
      <c r="B752" t="s">
        <v>1886</v>
      </c>
      <c r="C752" t="s">
        <v>4394</v>
      </c>
      <c r="D752" t="s">
        <v>4421</v>
      </c>
      <c r="E752">
        <v>47300070498</v>
      </c>
      <c r="F752" t="s">
        <v>16</v>
      </c>
      <c r="G752" t="s">
        <v>28</v>
      </c>
      <c r="H752" t="s">
        <v>794</v>
      </c>
      <c r="I752" t="s">
        <v>2853</v>
      </c>
      <c r="J752" t="s">
        <v>2852</v>
      </c>
      <c r="K752" t="s">
        <v>3294</v>
      </c>
      <c r="L752" t="s">
        <v>19</v>
      </c>
      <c r="M752" t="s">
        <v>46</v>
      </c>
      <c r="N752" s="2">
        <v>45413</v>
      </c>
      <c r="O752" s="2">
        <v>45443</v>
      </c>
      <c r="P752">
        <v>500</v>
      </c>
      <c r="Q752">
        <v>500</v>
      </c>
      <c r="R752" t="s">
        <v>2990</v>
      </c>
      <c r="X752" t="s">
        <v>4422</v>
      </c>
      <c r="Y752" t="s">
        <v>4423</v>
      </c>
    </row>
    <row r="753" spans="1:20" x14ac:dyDescent="0.25">
      <c r="A753" t="s">
        <v>14</v>
      </c>
      <c r="B753" t="s">
        <v>1886</v>
      </c>
      <c r="C753" t="s">
        <v>4412</v>
      </c>
      <c r="D753" t="s">
        <v>4377</v>
      </c>
      <c r="E753">
        <v>47300070498</v>
      </c>
      <c r="F753" t="s">
        <v>16</v>
      </c>
      <c r="G753" t="s">
        <v>28</v>
      </c>
      <c r="H753" t="s">
        <v>794</v>
      </c>
      <c r="I753" t="s">
        <v>2853</v>
      </c>
      <c r="J753" t="s">
        <v>2852</v>
      </c>
      <c r="K753" t="s">
        <v>3197</v>
      </c>
      <c r="L753" t="s">
        <v>19</v>
      </c>
      <c r="M753" t="s">
        <v>46</v>
      </c>
      <c r="N753" s="2">
        <v>45413</v>
      </c>
      <c r="O753" s="2">
        <v>45443</v>
      </c>
      <c r="P753">
        <v>145500</v>
      </c>
      <c r="Q753">
        <v>145500</v>
      </c>
      <c r="R753" t="s">
        <v>2990</v>
      </c>
    </row>
    <row r="754" spans="1:20" x14ac:dyDescent="0.25">
      <c r="A754" t="s">
        <v>14</v>
      </c>
      <c r="B754" t="s">
        <v>1886</v>
      </c>
      <c r="C754" t="s">
        <v>4394</v>
      </c>
      <c r="D754" t="s">
        <v>4395</v>
      </c>
      <c r="E754">
        <v>47300070498</v>
      </c>
      <c r="F754" t="s">
        <v>16</v>
      </c>
      <c r="G754" t="s">
        <v>28</v>
      </c>
      <c r="H754" t="s">
        <v>794</v>
      </c>
      <c r="I754" t="s">
        <v>2853</v>
      </c>
      <c r="J754" t="s">
        <v>2852</v>
      </c>
      <c r="K754" t="s">
        <v>2892</v>
      </c>
      <c r="L754" t="s">
        <v>19</v>
      </c>
      <c r="M754" t="s">
        <v>46</v>
      </c>
      <c r="N754" s="2">
        <v>45413</v>
      </c>
      <c r="O754" s="2">
        <v>45443</v>
      </c>
      <c r="P754">
        <v>10000</v>
      </c>
      <c r="Q754">
        <v>10000</v>
      </c>
      <c r="R754" t="s">
        <v>2990</v>
      </c>
    </row>
    <row r="755" spans="1:20" x14ac:dyDescent="0.25">
      <c r="A755" t="s">
        <v>14</v>
      </c>
      <c r="B755" t="s">
        <v>1884</v>
      </c>
      <c r="C755" t="s">
        <v>4378</v>
      </c>
      <c r="D755" t="s">
        <v>4379</v>
      </c>
      <c r="E755">
        <v>47300047066</v>
      </c>
      <c r="F755" t="s">
        <v>16</v>
      </c>
      <c r="G755" t="s">
        <v>28</v>
      </c>
      <c r="H755" t="s">
        <v>57</v>
      </c>
      <c r="K755" t="s">
        <v>4229</v>
      </c>
      <c r="L755" t="s">
        <v>19</v>
      </c>
      <c r="M755" t="s">
        <v>63</v>
      </c>
      <c r="N755" s="2">
        <v>45413</v>
      </c>
      <c r="O755" s="2">
        <v>45443</v>
      </c>
      <c r="P755">
        <v>60000</v>
      </c>
      <c r="Q755">
        <v>60000</v>
      </c>
      <c r="R755" t="s">
        <v>4261</v>
      </c>
      <c r="S755" t="s">
        <v>1885</v>
      </c>
      <c r="T755">
        <v>140.19999999999999</v>
      </c>
    </row>
    <row r="756" spans="1:20" x14ac:dyDescent="0.25">
      <c r="A756" t="s">
        <v>14</v>
      </c>
      <c r="B756" t="s">
        <v>1882</v>
      </c>
      <c r="C756" t="s">
        <v>4386</v>
      </c>
      <c r="D756" t="s">
        <v>4368</v>
      </c>
      <c r="E756">
        <v>47300026094</v>
      </c>
      <c r="F756" t="s">
        <v>35</v>
      </c>
      <c r="G756" t="s">
        <v>36</v>
      </c>
      <c r="H756" t="s">
        <v>4359</v>
      </c>
      <c r="K756" t="s">
        <v>4229</v>
      </c>
      <c r="L756" t="s">
        <v>19</v>
      </c>
      <c r="M756" t="s">
        <v>63</v>
      </c>
      <c r="N756" s="2">
        <v>45413</v>
      </c>
      <c r="O756" s="2">
        <v>45443</v>
      </c>
      <c r="P756">
        <v>250000</v>
      </c>
      <c r="Q756">
        <v>250000</v>
      </c>
      <c r="R756" t="s">
        <v>3384</v>
      </c>
      <c r="S756" t="s">
        <v>1883</v>
      </c>
      <c r="T756">
        <v>584.29999999999995</v>
      </c>
    </row>
    <row r="757" spans="1:20" x14ac:dyDescent="0.25">
      <c r="A757" t="s">
        <v>14</v>
      </c>
      <c r="B757" t="s">
        <v>1882</v>
      </c>
      <c r="C757" t="s">
        <v>4367</v>
      </c>
      <c r="D757" t="s">
        <v>4368</v>
      </c>
      <c r="E757">
        <v>47300026094</v>
      </c>
      <c r="F757" t="s">
        <v>35</v>
      </c>
      <c r="G757" t="s">
        <v>36</v>
      </c>
      <c r="H757" t="s">
        <v>4359</v>
      </c>
      <c r="K757" t="s">
        <v>3294</v>
      </c>
      <c r="L757" t="s">
        <v>19</v>
      </c>
      <c r="M757" t="s">
        <v>46</v>
      </c>
      <c r="N757" s="2">
        <v>45413</v>
      </c>
      <c r="O757" s="2">
        <v>45443</v>
      </c>
      <c r="P757">
        <v>500</v>
      </c>
      <c r="Q757">
        <v>500</v>
      </c>
      <c r="R757" t="s">
        <v>3384</v>
      </c>
    </row>
    <row r="758" spans="1:20" x14ac:dyDescent="0.25">
      <c r="A758" t="s">
        <v>14</v>
      </c>
      <c r="B758" t="s">
        <v>1880</v>
      </c>
      <c r="C758" t="s">
        <v>4378</v>
      </c>
      <c r="D758" t="s">
        <v>4379</v>
      </c>
      <c r="E758">
        <v>47300025690</v>
      </c>
      <c r="F758" t="s">
        <v>35</v>
      </c>
      <c r="G758" t="s">
        <v>36</v>
      </c>
      <c r="H758" t="s">
        <v>37</v>
      </c>
      <c r="K758" t="s">
        <v>4229</v>
      </c>
      <c r="L758" t="s">
        <v>19</v>
      </c>
      <c r="M758" t="s">
        <v>63</v>
      </c>
      <c r="N758" s="2">
        <v>45413</v>
      </c>
      <c r="O758" s="2">
        <v>45443</v>
      </c>
      <c r="P758">
        <v>100000</v>
      </c>
      <c r="Q758">
        <v>100000</v>
      </c>
      <c r="R758" t="s">
        <v>3385</v>
      </c>
      <c r="S758" t="s">
        <v>1881</v>
      </c>
      <c r="T758">
        <v>233.7</v>
      </c>
    </row>
    <row r="759" spans="1:20" x14ac:dyDescent="0.25">
      <c r="A759" t="s">
        <v>14</v>
      </c>
      <c r="B759" t="s">
        <v>1880</v>
      </c>
      <c r="C759" t="s">
        <v>4386</v>
      </c>
      <c r="D759" t="s">
        <v>4368</v>
      </c>
      <c r="E759">
        <v>47300025690</v>
      </c>
      <c r="F759" t="s">
        <v>35</v>
      </c>
      <c r="G759" t="s">
        <v>36</v>
      </c>
      <c r="H759" t="s">
        <v>37</v>
      </c>
      <c r="K759" t="s">
        <v>3294</v>
      </c>
      <c r="L759" t="s">
        <v>19</v>
      </c>
      <c r="M759" t="s">
        <v>46</v>
      </c>
      <c r="N759" s="2">
        <v>45413</v>
      </c>
      <c r="O759" s="2">
        <v>45443</v>
      </c>
      <c r="P759">
        <v>500</v>
      </c>
      <c r="Q759">
        <v>500</v>
      </c>
      <c r="R759" t="s">
        <v>3385</v>
      </c>
    </row>
    <row r="760" spans="1:20" x14ac:dyDescent="0.25">
      <c r="A760" t="s">
        <v>14</v>
      </c>
      <c r="B760" t="s">
        <v>1878</v>
      </c>
      <c r="C760" t="s">
        <v>4367</v>
      </c>
      <c r="D760" t="s">
        <v>4368</v>
      </c>
      <c r="E760">
        <v>47300046399</v>
      </c>
      <c r="F760" t="s">
        <v>16</v>
      </c>
      <c r="G760" t="s">
        <v>28</v>
      </c>
      <c r="H760" t="s">
        <v>122</v>
      </c>
      <c r="K760" t="s">
        <v>4229</v>
      </c>
      <c r="L760" t="s">
        <v>19</v>
      </c>
      <c r="M760" t="s">
        <v>63</v>
      </c>
      <c r="N760" s="2">
        <v>45413</v>
      </c>
      <c r="O760" s="2">
        <v>45443</v>
      </c>
      <c r="P760">
        <v>49500</v>
      </c>
      <c r="Q760">
        <v>49500</v>
      </c>
      <c r="R760" t="s">
        <v>2991</v>
      </c>
      <c r="S760" t="s">
        <v>1879</v>
      </c>
      <c r="T760">
        <v>115.7</v>
      </c>
    </row>
    <row r="761" spans="1:20" x14ac:dyDescent="0.25">
      <c r="A761" t="s">
        <v>14</v>
      </c>
      <c r="B761" t="s">
        <v>1878</v>
      </c>
      <c r="C761" t="s">
        <v>4382</v>
      </c>
      <c r="D761" t="s">
        <v>4383</v>
      </c>
      <c r="E761">
        <v>47300046399</v>
      </c>
      <c r="F761" t="s">
        <v>16</v>
      </c>
      <c r="G761" t="s">
        <v>28</v>
      </c>
      <c r="H761" t="s">
        <v>122</v>
      </c>
      <c r="K761" t="s">
        <v>3294</v>
      </c>
      <c r="L761" t="s">
        <v>19</v>
      </c>
      <c r="M761" t="s">
        <v>46</v>
      </c>
      <c r="N761" s="2">
        <v>45413</v>
      </c>
      <c r="O761" s="2">
        <v>45443</v>
      </c>
      <c r="P761">
        <v>500</v>
      </c>
      <c r="Q761">
        <v>500</v>
      </c>
      <c r="R761" t="s">
        <v>2991</v>
      </c>
    </row>
    <row r="762" spans="1:20" x14ac:dyDescent="0.25">
      <c r="A762" t="s">
        <v>14</v>
      </c>
      <c r="B762" t="s">
        <v>1878</v>
      </c>
      <c r="C762" t="s">
        <v>4387</v>
      </c>
      <c r="D762" t="s">
        <v>4388</v>
      </c>
      <c r="E762">
        <v>47300046399</v>
      </c>
      <c r="F762" t="s">
        <v>16</v>
      </c>
      <c r="G762" t="s">
        <v>28</v>
      </c>
      <c r="H762" t="s">
        <v>122</v>
      </c>
      <c r="K762" t="s">
        <v>2892</v>
      </c>
      <c r="L762" t="s">
        <v>19</v>
      </c>
      <c r="M762" t="s">
        <v>46</v>
      </c>
      <c r="N762" s="2">
        <v>45413</v>
      </c>
      <c r="O762" s="2">
        <v>45443</v>
      </c>
      <c r="P762">
        <v>10000</v>
      </c>
      <c r="Q762">
        <v>10000</v>
      </c>
      <c r="R762" t="s">
        <v>2991</v>
      </c>
    </row>
    <row r="763" spans="1:20" x14ac:dyDescent="0.25">
      <c r="A763" t="s">
        <v>14</v>
      </c>
      <c r="B763" t="s">
        <v>1876</v>
      </c>
      <c r="C763" t="s">
        <v>4378</v>
      </c>
      <c r="D763" t="s">
        <v>4379</v>
      </c>
      <c r="E763">
        <v>47300046761</v>
      </c>
      <c r="F763" t="s">
        <v>42</v>
      </c>
      <c r="G763" t="s">
        <v>28</v>
      </c>
      <c r="H763" t="s">
        <v>43</v>
      </c>
      <c r="K763" t="s">
        <v>3557</v>
      </c>
      <c r="L763" t="s">
        <v>19</v>
      </c>
      <c r="M763" t="s">
        <v>20</v>
      </c>
      <c r="P763">
        <v>25000</v>
      </c>
      <c r="Q763">
        <v>25000</v>
      </c>
      <c r="R763" t="s">
        <v>3759</v>
      </c>
      <c r="S763" t="s">
        <v>1877</v>
      </c>
      <c r="T763">
        <v>58.4</v>
      </c>
    </row>
    <row r="764" spans="1:20" x14ac:dyDescent="0.25">
      <c r="A764" t="s">
        <v>14</v>
      </c>
      <c r="B764" t="s">
        <v>1874</v>
      </c>
      <c r="C764" t="s">
        <v>4406</v>
      </c>
      <c r="D764" t="s">
        <v>4394</v>
      </c>
      <c r="E764">
        <v>47300046761</v>
      </c>
      <c r="F764" t="s">
        <v>42</v>
      </c>
      <c r="G764" t="s">
        <v>28</v>
      </c>
      <c r="H764" t="s">
        <v>43</v>
      </c>
      <c r="K764" t="s">
        <v>3557</v>
      </c>
      <c r="L764" t="s">
        <v>19</v>
      </c>
      <c r="M764" t="s">
        <v>20</v>
      </c>
      <c r="P764">
        <v>25000</v>
      </c>
      <c r="Q764">
        <v>25000</v>
      </c>
      <c r="R764" t="s">
        <v>3760</v>
      </c>
      <c r="S764" t="s">
        <v>1875</v>
      </c>
      <c r="T764">
        <v>58.5</v>
      </c>
    </row>
    <row r="765" spans="1:20" x14ac:dyDescent="0.25">
      <c r="A765" t="s">
        <v>14</v>
      </c>
      <c r="B765" t="s">
        <v>1872</v>
      </c>
      <c r="C765" t="s">
        <v>4389</v>
      </c>
      <c r="D765" t="s">
        <v>4390</v>
      </c>
      <c r="E765">
        <v>47300070571</v>
      </c>
      <c r="F765" t="s">
        <v>42</v>
      </c>
      <c r="G765" t="s">
        <v>28</v>
      </c>
      <c r="H765" t="s">
        <v>72</v>
      </c>
      <c r="K765" t="s">
        <v>4229</v>
      </c>
      <c r="L765" t="s">
        <v>19</v>
      </c>
      <c r="M765" t="s">
        <v>63</v>
      </c>
      <c r="N765" s="2">
        <v>45413</v>
      </c>
      <c r="O765" s="2">
        <v>45443</v>
      </c>
      <c r="P765">
        <v>200000</v>
      </c>
      <c r="Q765">
        <v>200000</v>
      </c>
      <c r="R765" t="s">
        <v>2992</v>
      </c>
      <c r="S765" t="s">
        <v>1873</v>
      </c>
      <c r="T765">
        <v>467.4</v>
      </c>
    </row>
    <row r="766" spans="1:20" x14ac:dyDescent="0.25">
      <c r="A766" t="s">
        <v>14</v>
      </c>
      <c r="B766" t="s">
        <v>1872</v>
      </c>
      <c r="C766" t="s">
        <v>4413</v>
      </c>
      <c r="D766" t="s">
        <v>4395</v>
      </c>
      <c r="E766">
        <v>47300070571</v>
      </c>
      <c r="F766" t="s">
        <v>42</v>
      </c>
      <c r="G766" t="s">
        <v>28</v>
      </c>
      <c r="H766" t="s">
        <v>72</v>
      </c>
      <c r="K766" t="s">
        <v>3294</v>
      </c>
      <c r="L766" t="s">
        <v>19</v>
      </c>
      <c r="M766" t="s">
        <v>46</v>
      </c>
      <c r="N766" s="2">
        <v>45413</v>
      </c>
      <c r="O766" s="2">
        <v>45443</v>
      </c>
      <c r="P766">
        <v>500</v>
      </c>
      <c r="Q766">
        <v>500</v>
      </c>
      <c r="R766" t="s">
        <v>2992</v>
      </c>
    </row>
    <row r="767" spans="1:20" x14ac:dyDescent="0.25">
      <c r="A767" t="s">
        <v>14</v>
      </c>
      <c r="B767" t="s">
        <v>1872</v>
      </c>
      <c r="C767" t="s">
        <v>4389</v>
      </c>
      <c r="D767" t="s">
        <v>4390</v>
      </c>
      <c r="E767">
        <v>47300070571</v>
      </c>
      <c r="F767" t="s">
        <v>42</v>
      </c>
      <c r="G767" t="s">
        <v>28</v>
      </c>
      <c r="H767" t="s">
        <v>72</v>
      </c>
      <c r="K767" t="s">
        <v>3197</v>
      </c>
      <c r="L767" t="s">
        <v>19</v>
      </c>
      <c r="M767" t="s">
        <v>46</v>
      </c>
      <c r="N767" s="2">
        <v>45413</v>
      </c>
      <c r="O767" s="2">
        <v>45443</v>
      </c>
      <c r="P767">
        <v>145500</v>
      </c>
      <c r="Q767">
        <v>145500</v>
      </c>
      <c r="R767" t="s">
        <v>2992</v>
      </c>
    </row>
    <row r="768" spans="1:20" x14ac:dyDescent="0.25">
      <c r="A768" t="s">
        <v>14</v>
      </c>
      <c r="B768" t="s">
        <v>1872</v>
      </c>
      <c r="C768" t="s">
        <v>4387</v>
      </c>
      <c r="D768" t="s">
        <v>4388</v>
      </c>
      <c r="E768">
        <v>47300070571</v>
      </c>
      <c r="F768" t="s">
        <v>42</v>
      </c>
      <c r="G768" t="s">
        <v>28</v>
      </c>
      <c r="H768" t="s">
        <v>72</v>
      </c>
      <c r="K768" t="s">
        <v>2892</v>
      </c>
      <c r="L768" t="s">
        <v>19</v>
      </c>
      <c r="M768" t="s">
        <v>46</v>
      </c>
      <c r="N768" s="2">
        <v>45413</v>
      </c>
      <c r="O768" s="2">
        <v>45443</v>
      </c>
      <c r="P768">
        <v>10000</v>
      </c>
      <c r="Q768">
        <v>10000</v>
      </c>
      <c r="R768" t="s">
        <v>2992</v>
      </c>
    </row>
    <row r="769" spans="1:20" x14ac:dyDescent="0.25">
      <c r="A769" t="s">
        <v>14</v>
      </c>
      <c r="B769" t="s">
        <v>1871</v>
      </c>
      <c r="C769" t="s">
        <v>4406</v>
      </c>
      <c r="D769" t="s">
        <v>4394</v>
      </c>
      <c r="E769">
        <v>47300070548</v>
      </c>
      <c r="F769" t="s">
        <v>27</v>
      </c>
      <c r="G769" t="s">
        <v>17</v>
      </c>
      <c r="H769" t="s">
        <v>51</v>
      </c>
      <c r="K769" t="s">
        <v>3293</v>
      </c>
      <c r="L769" t="s">
        <v>47</v>
      </c>
      <c r="N769" s="2">
        <v>45383</v>
      </c>
      <c r="O769" s="2">
        <v>45412</v>
      </c>
      <c r="P769">
        <v>500</v>
      </c>
      <c r="Q769">
        <v>500</v>
      </c>
      <c r="R769" t="s">
        <v>3196</v>
      </c>
    </row>
    <row r="770" spans="1:20" x14ac:dyDescent="0.25">
      <c r="A770" t="s">
        <v>14</v>
      </c>
      <c r="B770" t="s">
        <v>1871</v>
      </c>
      <c r="C770" t="s">
        <v>4389</v>
      </c>
      <c r="D770" t="s">
        <v>4390</v>
      </c>
      <c r="E770">
        <v>47300070548</v>
      </c>
      <c r="F770" t="s">
        <v>27</v>
      </c>
      <c r="G770" t="s">
        <v>17</v>
      </c>
      <c r="H770" t="s">
        <v>51</v>
      </c>
      <c r="K770" t="s">
        <v>3195</v>
      </c>
      <c r="L770" t="s">
        <v>47</v>
      </c>
      <c r="N770" s="2">
        <v>45383</v>
      </c>
      <c r="O770" s="2">
        <v>45412</v>
      </c>
      <c r="P770">
        <v>145500</v>
      </c>
      <c r="Q770">
        <v>145500</v>
      </c>
      <c r="R770" t="s">
        <v>3196</v>
      </c>
    </row>
    <row r="771" spans="1:20" x14ac:dyDescent="0.25">
      <c r="A771" t="s">
        <v>14</v>
      </c>
      <c r="B771" t="s">
        <v>1870</v>
      </c>
      <c r="C771" t="s">
        <v>4413</v>
      </c>
      <c r="D771" t="s">
        <v>4395</v>
      </c>
      <c r="E771">
        <v>47300046688</v>
      </c>
      <c r="F771" t="s">
        <v>16</v>
      </c>
      <c r="G771" t="s">
        <v>17</v>
      </c>
      <c r="H771" t="s">
        <v>154</v>
      </c>
      <c r="K771" t="s">
        <v>3294</v>
      </c>
      <c r="L771" t="s">
        <v>19</v>
      </c>
      <c r="M771" t="s">
        <v>46</v>
      </c>
      <c r="N771" s="2">
        <v>45413</v>
      </c>
      <c r="O771" s="2">
        <v>45443</v>
      </c>
      <c r="P771">
        <v>500</v>
      </c>
      <c r="Q771">
        <v>500</v>
      </c>
      <c r="R771" t="s">
        <v>2993</v>
      </c>
    </row>
    <row r="772" spans="1:20" x14ac:dyDescent="0.25">
      <c r="A772" t="s">
        <v>14</v>
      </c>
      <c r="B772" t="s">
        <v>1870</v>
      </c>
      <c r="C772" t="s">
        <v>4406</v>
      </c>
      <c r="D772" t="s">
        <v>4394</v>
      </c>
      <c r="E772">
        <v>47300046688</v>
      </c>
      <c r="F772" t="s">
        <v>16</v>
      </c>
      <c r="G772" t="s">
        <v>17</v>
      </c>
      <c r="H772" t="s">
        <v>154</v>
      </c>
      <c r="K772" t="s">
        <v>3197</v>
      </c>
      <c r="L772" t="s">
        <v>19</v>
      </c>
      <c r="M772" t="s">
        <v>46</v>
      </c>
      <c r="N772" s="2">
        <v>45413</v>
      </c>
      <c r="O772" s="2">
        <v>45443</v>
      </c>
      <c r="P772">
        <v>145500</v>
      </c>
      <c r="Q772">
        <v>145500</v>
      </c>
      <c r="R772" t="s">
        <v>2993</v>
      </c>
    </row>
    <row r="773" spans="1:20" x14ac:dyDescent="0.25">
      <c r="A773" t="s">
        <v>14</v>
      </c>
      <c r="B773" t="s">
        <v>1870</v>
      </c>
      <c r="C773" t="s">
        <v>4389</v>
      </c>
      <c r="D773" t="s">
        <v>4390</v>
      </c>
      <c r="E773">
        <v>47300046688</v>
      </c>
      <c r="F773" t="s">
        <v>16</v>
      </c>
      <c r="G773" t="s">
        <v>17</v>
      </c>
      <c r="H773" t="s">
        <v>154</v>
      </c>
      <c r="K773" t="s">
        <v>2892</v>
      </c>
      <c r="L773" t="s">
        <v>19</v>
      </c>
      <c r="M773" t="s">
        <v>46</v>
      </c>
      <c r="N773" s="2">
        <v>45413</v>
      </c>
      <c r="O773" s="2">
        <v>45443</v>
      </c>
      <c r="P773">
        <v>10000</v>
      </c>
      <c r="Q773">
        <v>10000</v>
      </c>
      <c r="R773" t="s">
        <v>2993</v>
      </c>
    </row>
    <row r="774" spans="1:20" x14ac:dyDescent="0.25">
      <c r="A774" t="s">
        <v>14</v>
      </c>
      <c r="B774" t="s">
        <v>1868</v>
      </c>
      <c r="C774" t="s">
        <v>4389</v>
      </c>
      <c r="D774" t="s">
        <v>4375</v>
      </c>
      <c r="E774">
        <v>47300046191</v>
      </c>
      <c r="F774" t="s">
        <v>16</v>
      </c>
      <c r="G774" t="s">
        <v>28</v>
      </c>
      <c r="H774" t="s">
        <v>119</v>
      </c>
      <c r="I774" t="s">
        <v>2799</v>
      </c>
      <c r="J774">
        <v>8033011626</v>
      </c>
      <c r="K774" t="s">
        <v>4229</v>
      </c>
      <c r="L774" t="s">
        <v>19</v>
      </c>
      <c r="M774" t="s">
        <v>63</v>
      </c>
      <c r="N774" s="2">
        <v>45413</v>
      </c>
      <c r="O774" s="2">
        <v>45443</v>
      </c>
      <c r="P774">
        <v>30000</v>
      </c>
      <c r="Q774">
        <v>30000</v>
      </c>
      <c r="R774" t="s">
        <v>3386</v>
      </c>
      <c r="S774" t="s">
        <v>1869</v>
      </c>
      <c r="T774">
        <v>70.2</v>
      </c>
    </row>
    <row r="775" spans="1:20" x14ac:dyDescent="0.25">
      <c r="A775" t="s">
        <v>14</v>
      </c>
      <c r="B775" t="s">
        <v>1868</v>
      </c>
      <c r="C775" t="s">
        <v>4420</v>
      </c>
      <c r="D775" t="s">
        <v>4394</v>
      </c>
      <c r="E775">
        <v>47300046191</v>
      </c>
      <c r="F775" t="s">
        <v>16</v>
      </c>
      <c r="G775" t="s">
        <v>28</v>
      </c>
      <c r="H775" t="s">
        <v>119</v>
      </c>
      <c r="I775" t="s">
        <v>2799</v>
      </c>
      <c r="J775">
        <v>8033011626</v>
      </c>
      <c r="K775" t="s">
        <v>3294</v>
      </c>
      <c r="L775" t="s">
        <v>19</v>
      </c>
      <c r="M775" t="s">
        <v>46</v>
      </c>
      <c r="N775" s="2">
        <v>45413</v>
      </c>
      <c r="O775" s="2">
        <v>45443</v>
      </c>
      <c r="P775">
        <v>500</v>
      </c>
      <c r="Q775">
        <v>500</v>
      </c>
      <c r="R775" t="s">
        <v>3386</v>
      </c>
    </row>
    <row r="776" spans="1:20" x14ac:dyDescent="0.25">
      <c r="A776" t="s">
        <v>14</v>
      </c>
      <c r="B776" t="s">
        <v>1867</v>
      </c>
      <c r="C776" t="s">
        <v>4420</v>
      </c>
      <c r="D776" t="s">
        <v>4394</v>
      </c>
      <c r="E776">
        <v>47300046399</v>
      </c>
      <c r="F776" t="s">
        <v>16</v>
      </c>
      <c r="G776" t="s">
        <v>28</v>
      </c>
      <c r="H776" t="s">
        <v>122</v>
      </c>
      <c r="K776" t="s">
        <v>3197</v>
      </c>
      <c r="L776" t="s">
        <v>19</v>
      </c>
      <c r="M776" t="s">
        <v>46</v>
      </c>
      <c r="N776" s="2">
        <v>45413</v>
      </c>
      <c r="O776" s="2">
        <v>45443</v>
      </c>
      <c r="P776">
        <v>145500</v>
      </c>
      <c r="Q776">
        <v>145500</v>
      </c>
      <c r="R776" t="s">
        <v>2805</v>
      </c>
    </row>
    <row r="777" spans="1:20" x14ac:dyDescent="0.25">
      <c r="A777" t="s">
        <v>14</v>
      </c>
      <c r="B777" t="s">
        <v>1867</v>
      </c>
      <c r="C777" t="s">
        <v>4389</v>
      </c>
      <c r="D777" t="s">
        <v>4375</v>
      </c>
      <c r="E777">
        <v>47300046399</v>
      </c>
      <c r="F777" t="s">
        <v>16</v>
      </c>
      <c r="G777" t="s">
        <v>28</v>
      </c>
      <c r="H777" t="s">
        <v>122</v>
      </c>
      <c r="K777" t="s">
        <v>2892</v>
      </c>
      <c r="L777" t="s">
        <v>19</v>
      </c>
      <c r="M777" t="s">
        <v>46</v>
      </c>
      <c r="N777" s="2">
        <v>45413</v>
      </c>
      <c r="O777" s="2">
        <v>45443</v>
      </c>
      <c r="P777">
        <v>10000</v>
      </c>
      <c r="Q777">
        <v>10000</v>
      </c>
      <c r="R777" t="s">
        <v>2805</v>
      </c>
    </row>
    <row r="778" spans="1:20" x14ac:dyDescent="0.25">
      <c r="A778" t="s">
        <v>14</v>
      </c>
      <c r="B778" t="s">
        <v>1867</v>
      </c>
      <c r="C778" t="s">
        <v>4378</v>
      </c>
      <c r="D778" t="s">
        <v>4379</v>
      </c>
      <c r="E778">
        <v>47300046399</v>
      </c>
      <c r="F778" t="s">
        <v>16</v>
      </c>
      <c r="G778" t="s">
        <v>28</v>
      </c>
      <c r="H778" t="s">
        <v>122</v>
      </c>
      <c r="K778" t="s">
        <v>2806</v>
      </c>
      <c r="L778" t="s">
        <v>47</v>
      </c>
      <c r="N778" s="2">
        <v>45419</v>
      </c>
      <c r="O778" s="2">
        <v>45419</v>
      </c>
      <c r="P778">
        <v>209983.86</v>
      </c>
      <c r="Q778">
        <v>209983.86</v>
      </c>
      <c r="R778" t="s">
        <v>2805</v>
      </c>
    </row>
    <row r="779" spans="1:20" x14ac:dyDescent="0.25">
      <c r="A779" t="s">
        <v>14</v>
      </c>
      <c r="B779" t="s">
        <v>1866</v>
      </c>
      <c r="C779" t="s">
        <v>4378</v>
      </c>
      <c r="D779" t="s">
        <v>4379</v>
      </c>
      <c r="E779">
        <v>47300070514</v>
      </c>
      <c r="F779" t="s">
        <v>27</v>
      </c>
      <c r="G779" t="s">
        <v>28</v>
      </c>
      <c r="H779" t="s">
        <v>29</v>
      </c>
      <c r="K779" t="s">
        <v>3294</v>
      </c>
      <c r="L779" t="s">
        <v>19</v>
      </c>
      <c r="M779" t="s">
        <v>46</v>
      </c>
      <c r="N779" s="2">
        <v>45413</v>
      </c>
      <c r="O779" s="2">
        <v>45443</v>
      </c>
      <c r="P779">
        <v>500</v>
      </c>
      <c r="Q779">
        <v>500</v>
      </c>
      <c r="R779" t="s">
        <v>3387</v>
      </c>
    </row>
    <row r="780" spans="1:20" x14ac:dyDescent="0.25">
      <c r="A780" t="s">
        <v>14</v>
      </c>
      <c r="B780" t="s">
        <v>1865</v>
      </c>
      <c r="C780" t="s">
        <v>4389</v>
      </c>
      <c r="D780" t="s">
        <v>4375</v>
      </c>
      <c r="E780">
        <v>47300070514</v>
      </c>
      <c r="F780" t="s">
        <v>27</v>
      </c>
      <c r="G780" t="s">
        <v>28</v>
      </c>
      <c r="H780" t="s">
        <v>29</v>
      </c>
      <c r="K780" t="s">
        <v>3197</v>
      </c>
      <c r="L780" t="s">
        <v>19</v>
      </c>
      <c r="M780" t="s">
        <v>46</v>
      </c>
      <c r="N780" s="2">
        <v>45413</v>
      </c>
      <c r="O780" s="2">
        <v>45443</v>
      </c>
      <c r="P780">
        <v>145500</v>
      </c>
      <c r="Q780">
        <v>145500</v>
      </c>
      <c r="R780" t="s">
        <v>2994</v>
      </c>
    </row>
    <row r="781" spans="1:20" x14ac:dyDescent="0.25">
      <c r="A781" t="s">
        <v>14</v>
      </c>
      <c r="B781" t="s">
        <v>1865</v>
      </c>
      <c r="C781" t="s">
        <v>4378</v>
      </c>
      <c r="D781" t="s">
        <v>4379</v>
      </c>
      <c r="E781">
        <v>47300070514</v>
      </c>
      <c r="F781" t="s">
        <v>27</v>
      </c>
      <c r="G781" t="s">
        <v>28</v>
      </c>
      <c r="H781" t="s">
        <v>29</v>
      </c>
      <c r="K781" t="s">
        <v>2892</v>
      </c>
      <c r="L781" t="s">
        <v>19</v>
      </c>
      <c r="M781" t="s">
        <v>46</v>
      </c>
      <c r="N781" s="2">
        <v>45413</v>
      </c>
      <c r="O781" s="2">
        <v>45443</v>
      </c>
      <c r="P781">
        <v>10000</v>
      </c>
      <c r="Q781">
        <v>10000</v>
      </c>
      <c r="R781" t="s">
        <v>2994</v>
      </c>
    </row>
    <row r="782" spans="1:20" x14ac:dyDescent="0.25">
      <c r="A782" t="s">
        <v>14</v>
      </c>
      <c r="B782" t="s">
        <v>1864</v>
      </c>
      <c r="C782" t="s">
        <v>4414</v>
      </c>
      <c r="D782" t="s">
        <v>4401</v>
      </c>
      <c r="E782">
        <v>47300046282</v>
      </c>
      <c r="F782" t="s">
        <v>16</v>
      </c>
      <c r="G782" t="s">
        <v>17</v>
      </c>
      <c r="H782" t="s">
        <v>746</v>
      </c>
      <c r="K782" t="s">
        <v>3294</v>
      </c>
      <c r="L782" t="s">
        <v>19</v>
      </c>
      <c r="M782" t="s">
        <v>46</v>
      </c>
      <c r="N782" s="2">
        <v>45413</v>
      </c>
      <c r="O782" s="2">
        <v>45473</v>
      </c>
      <c r="P782">
        <v>500</v>
      </c>
      <c r="Q782">
        <v>1000</v>
      </c>
      <c r="R782" t="s">
        <v>2995</v>
      </c>
    </row>
    <row r="783" spans="1:20" x14ac:dyDescent="0.25">
      <c r="A783" t="s">
        <v>14</v>
      </c>
      <c r="B783" t="s">
        <v>1864</v>
      </c>
      <c r="C783" t="s">
        <v>4418</v>
      </c>
      <c r="D783" t="s">
        <v>4368</v>
      </c>
      <c r="E783">
        <v>47300046282</v>
      </c>
      <c r="F783" t="s">
        <v>16</v>
      </c>
      <c r="G783" t="s">
        <v>17</v>
      </c>
      <c r="H783" t="s">
        <v>746</v>
      </c>
      <c r="K783" t="s">
        <v>2892</v>
      </c>
      <c r="L783" t="s">
        <v>19</v>
      </c>
      <c r="M783" t="s">
        <v>46</v>
      </c>
      <c r="N783" s="2">
        <v>45413</v>
      </c>
      <c r="O783" s="2">
        <v>45473</v>
      </c>
      <c r="P783">
        <v>10000</v>
      </c>
      <c r="Q783">
        <v>20000</v>
      </c>
      <c r="R783" t="s">
        <v>2995</v>
      </c>
    </row>
    <row r="784" spans="1:20" x14ac:dyDescent="0.25">
      <c r="A784" t="s">
        <v>14</v>
      </c>
      <c r="B784" t="s">
        <v>1862</v>
      </c>
      <c r="C784" t="s">
        <v>4419</v>
      </c>
      <c r="D784" t="s">
        <v>4368</v>
      </c>
      <c r="E784">
        <v>47300070704</v>
      </c>
      <c r="F784" t="s">
        <v>16</v>
      </c>
      <c r="G784" t="s">
        <v>28</v>
      </c>
      <c r="H784" t="s">
        <v>146</v>
      </c>
      <c r="K784" t="s">
        <v>4229</v>
      </c>
      <c r="L784" t="s">
        <v>19</v>
      </c>
      <c r="M784" t="s">
        <v>63</v>
      </c>
      <c r="N784" s="2">
        <v>45413</v>
      </c>
      <c r="O784" s="2">
        <v>45443</v>
      </c>
      <c r="P784">
        <v>250000</v>
      </c>
      <c r="Q784">
        <v>250000</v>
      </c>
      <c r="R784" t="s">
        <v>4262</v>
      </c>
      <c r="S784" t="s">
        <v>1863</v>
      </c>
      <c r="T784">
        <v>584.29999999999995</v>
      </c>
    </row>
    <row r="785" spans="1:20" x14ac:dyDescent="0.25">
      <c r="A785" t="s">
        <v>14</v>
      </c>
      <c r="B785" t="s">
        <v>1861</v>
      </c>
      <c r="C785" t="s">
        <v>4409</v>
      </c>
      <c r="D785" t="s">
        <v>4410</v>
      </c>
      <c r="E785">
        <v>47300086445</v>
      </c>
      <c r="F785" t="s">
        <v>16</v>
      </c>
      <c r="G785" t="s">
        <v>28</v>
      </c>
      <c r="H785" t="s">
        <v>187</v>
      </c>
      <c r="I785" t="s">
        <v>2777</v>
      </c>
      <c r="J785" t="s">
        <v>2776</v>
      </c>
      <c r="K785" t="s">
        <v>3197</v>
      </c>
      <c r="L785" t="s">
        <v>19</v>
      </c>
      <c r="M785" t="s">
        <v>46</v>
      </c>
      <c r="N785" s="2">
        <v>45413</v>
      </c>
      <c r="O785" s="2">
        <v>45443</v>
      </c>
      <c r="P785">
        <v>145500</v>
      </c>
      <c r="Q785">
        <v>145500</v>
      </c>
      <c r="R785" t="s">
        <v>2996</v>
      </c>
    </row>
    <row r="786" spans="1:20" x14ac:dyDescent="0.25">
      <c r="A786" t="s">
        <v>14</v>
      </c>
      <c r="B786" t="s">
        <v>1861</v>
      </c>
      <c r="C786" t="s">
        <v>4371</v>
      </c>
      <c r="D786" t="s">
        <v>4368</v>
      </c>
      <c r="E786">
        <v>47300086445</v>
      </c>
      <c r="F786" t="s">
        <v>16</v>
      </c>
      <c r="G786" t="s">
        <v>28</v>
      </c>
      <c r="H786" t="s">
        <v>187</v>
      </c>
      <c r="I786" t="s">
        <v>2777</v>
      </c>
      <c r="J786" t="s">
        <v>2776</v>
      </c>
      <c r="K786" t="s">
        <v>2892</v>
      </c>
      <c r="L786" t="s">
        <v>19</v>
      </c>
      <c r="M786" t="s">
        <v>46</v>
      </c>
      <c r="N786" s="2">
        <v>45413</v>
      </c>
      <c r="O786" s="2">
        <v>45443</v>
      </c>
      <c r="P786">
        <v>10000</v>
      </c>
      <c r="Q786">
        <v>10000</v>
      </c>
      <c r="R786" t="s">
        <v>2996</v>
      </c>
    </row>
    <row r="787" spans="1:20" x14ac:dyDescent="0.25">
      <c r="A787" t="s">
        <v>14</v>
      </c>
      <c r="B787" t="s">
        <v>1859</v>
      </c>
      <c r="C787" t="s">
        <v>4372</v>
      </c>
      <c r="D787" t="s">
        <v>4373</v>
      </c>
      <c r="E787">
        <v>47300046761</v>
      </c>
      <c r="F787" t="s">
        <v>42</v>
      </c>
      <c r="G787" t="s">
        <v>28</v>
      </c>
      <c r="H787" t="s">
        <v>43</v>
      </c>
      <c r="K787" t="s">
        <v>3557</v>
      </c>
      <c r="L787" t="s">
        <v>19</v>
      </c>
      <c r="M787" t="s">
        <v>20</v>
      </c>
      <c r="P787">
        <v>25000</v>
      </c>
      <c r="Q787">
        <v>25000</v>
      </c>
      <c r="R787" t="s">
        <v>3761</v>
      </c>
      <c r="S787" t="s">
        <v>1860</v>
      </c>
      <c r="T787">
        <v>58.4</v>
      </c>
    </row>
    <row r="788" spans="1:20" x14ac:dyDescent="0.25">
      <c r="A788" t="s">
        <v>14</v>
      </c>
      <c r="B788" t="s">
        <v>1857</v>
      </c>
      <c r="C788" t="s">
        <v>4414</v>
      </c>
      <c r="D788" t="s">
        <v>4401</v>
      </c>
      <c r="E788">
        <v>47300026094</v>
      </c>
      <c r="F788" t="s">
        <v>35</v>
      </c>
      <c r="G788" t="s">
        <v>36</v>
      </c>
      <c r="H788" t="s">
        <v>4359</v>
      </c>
      <c r="K788" t="s">
        <v>3557</v>
      </c>
      <c r="L788" t="s">
        <v>19</v>
      </c>
      <c r="M788" t="s">
        <v>20</v>
      </c>
      <c r="P788">
        <v>200000</v>
      </c>
      <c r="Q788">
        <v>200000</v>
      </c>
      <c r="R788" t="s">
        <v>3762</v>
      </c>
      <c r="S788" t="s">
        <v>1858</v>
      </c>
      <c r="T788">
        <v>467.4</v>
      </c>
    </row>
    <row r="789" spans="1:20" x14ac:dyDescent="0.25">
      <c r="A789" t="s">
        <v>14</v>
      </c>
      <c r="B789" t="s">
        <v>1855</v>
      </c>
      <c r="C789" t="s">
        <v>4418</v>
      </c>
      <c r="D789" t="s">
        <v>4368</v>
      </c>
      <c r="E789">
        <v>47300025708</v>
      </c>
      <c r="F789" t="s">
        <v>35</v>
      </c>
      <c r="G789" t="s">
        <v>36</v>
      </c>
      <c r="H789" t="s">
        <v>4360</v>
      </c>
      <c r="K789" t="s">
        <v>4229</v>
      </c>
      <c r="L789" t="s">
        <v>19</v>
      </c>
      <c r="M789" t="s">
        <v>63</v>
      </c>
      <c r="N789" s="2">
        <v>45413</v>
      </c>
      <c r="O789" s="2">
        <v>45443</v>
      </c>
      <c r="P789">
        <v>100000</v>
      </c>
      <c r="Q789">
        <v>100000</v>
      </c>
      <c r="R789" t="s">
        <v>3388</v>
      </c>
      <c r="S789" t="s">
        <v>1856</v>
      </c>
      <c r="T789">
        <v>233.7</v>
      </c>
    </row>
    <row r="790" spans="1:20" x14ac:dyDescent="0.25">
      <c r="A790" t="s">
        <v>14</v>
      </c>
      <c r="B790" t="s">
        <v>1855</v>
      </c>
      <c r="C790" t="s">
        <v>4419</v>
      </c>
      <c r="D790" t="s">
        <v>4368</v>
      </c>
      <c r="E790">
        <v>47300025708</v>
      </c>
      <c r="F790" t="s">
        <v>35</v>
      </c>
      <c r="G790" t="s">
        <v>36</v>
      </c>
      <c r="H790" t="s">
        <v>4360</v>
      </c>
      <c r="K790" t="s">
        <v>3294</v>
      </c>
      <c r="L790" t="s">
        <v>19</v>
      </c>
      <c r="M790" t="s">
        <v>46</v>
      </c>
      <c r="N790" s="2">
        <v>45413</v>
      </c>
      <c r="O790" s="2">
        <v>45443</v>
      </c>
      <c r="P790">
        <v>500</v>
      </c>
      <c r="Q790">
        <v>500</v>
      </c>
      <c r="R790" t="s">
        <v>3388</v>
      </c>
    </row>
    <row r="791" spans="1:20" x14ac:dyDescent="0.25">
      <c r="A791" t="s">
        <v>14</v>
      </c>
      <c r="B791" t="s">
        <v>1853</v>
      </c>
      <c r="C791" t="s">
        <v>4409</v>
      </c>
      <c r="D791" t="s">
        <v>4410</v>
      </c>
      <c r="E791">
        <v>47300026185</v>
      </c>
      <c r="F791" t="s">
        <v>35</v>
      </c>
      <c r="G791" t="s">
        <v>36</v>
      </c>
      <c r="H791" t="s">
        <v>4361</v>
      </c>
      <c r="K791" t="s">
        <v>4229</v>
      </c>
      <c r="L791" t="s">
        <v>19</v>
      </c>
      <c r="M791" t="s">
        <v>63</v>
      </c>
      <c r="N791" s="2">
        <v>45413</v>
      </c>
      <c r="O791" s="2">
        <v>45443</v>
      </c>
      <c r="P791">
        <v>50000</v>
      </c>
      <c r="Q791">
        <v>50000</v>
      </c>
      <c r="R791" t="s">
        <v>3389</v>
      </c>
      <c r="S791" t="s">
        <v>1854</v>
      </c>
      <c r="T791">
        <v>116.9</v>
      </c>
    </row>
    <row r="792" spans="1:20" x14ac:dyDescent="0.25">
      <c r="A792" t="s">
        <v>14</v>
      </c>
      <c r="B792" t="s">
        <v>1853</v>
      </c>
      <c r="C792" t="s">
        <v>4371</v>
      </c>
      <c r="D792" t="s">
        <v>4368</v>
      </c>
      <c r="E792">
        <v>47300026185</v>
      </c>
      <c r="F792" t="s">
        <v>35</v>
      </c>
      <c r="G792" t="s">
        <v>36</v>
      </c>
      <c r="H792" t="s">
        <v>4361</v>
      </c>
      <c r="K792" t="s">
        <v>3294</v>
      </c>
      <c r="L792" t="s">
        <v>19</v>
      </c>
      <c r="M792" t="s">
        <v>46</v>
      </c>
      <c r="N792" s="2">
        <v>45413</v>
      </c>
      <c r="O792" s="2">
        <v>45443</v>
      </c>
      <c r="P792">
        <v>500</v>
      </c>
      <c r="Q792">
        <v>500</v>
      </c>
      <c r="R792" t="s">
        <v>3389</v>
      </c>
    </row>
    <row r="793" spans="1:20" x14ac:dyDescent="0.25">
      <c r="A793" t="s">
        <v>14</v>
      </c>
      <c r="B793" t="s">
        <v>1851</v>
      </c>
      <c r="C793" t="s">
        <v>4364</v>
      </c>
      <c r="D793" t="s">
        <v>4358</v>
      </c>
      <c r="E793">
        <v>47300020147</v>
      </c>
      <c r="F793" t="s">
        <v>35</v>
      </c>
      <c r="G793" t="s">
        <v>36</v>
      </c>
      <c r="H793" t="s">
        <v>4363</v>
      </c>
      <c r="K793" t="s">
        <v>4229</v>
      </c>
      <c r="L793" t="s">
        <v>19</v>
      </c>
      <c r="M793" t="s">
        <v>63</v>
      </c>
      <c r="N793" s="2">
        <v>45413</v>
      </c>
      <c r="O793" s="2">
        <v>45443</v>
      </c>
      <c r="P793">
        <v>50000</v>
      </c>
      <c r="Q793">
        <v>50000</v>
      </c>
      <c r="R793" t="s">
        <v>3390</v>
      </c>
      <c r="S793" t="s">
        <v>1852</v>
      </c>
      <c r="T793">
        <v>116.8</v>
      </c>
    </row>
    <row r="794" spans="1:20" x14ac:dyDescent="0.25">
      <c r="A794" t="s">
        <v>14</v>
      </c>
      <c r="B794" t="s">
        <v>1851</v>
      </c>
      <c r="C794" t="s">
        <v>4367</v>
      </c>
      <c r="D794" t="s">
        <v>4368</v>
      </c>
      <c r="E794">
        <v>47300020147</v>
      </c>
      <c r="F794" t="s">
        <v>35</v>
      </c>
      <c r="G794" t="s">
        <v>36</v>
      </c>
      <c r="H794" t="s">
        <v>4363</v>
      </c>
      <c r="K794" t="s">
        <v>3294</v>
      </c>
      <c r="L794" t="s">
        <v>19</v>
      </c>
      <c r="M794" t="s">
        <v>46</v>
      </c>
      <c r="N794" s="2">
        <v>45413</v>
      </c>
      <c r="O794" s="2">
        <v>45443</v>
      </c>
      <c r="P794">
        <v>500</v>
      </c>
      <c r="Q794">
        <v>500</v>
      </c>
      <c r="R794" t="s">
        <v>3390</v>
      </c>
    </row>
    <row r="795" spans="1:20" x14ac:dyDescent="0.25">
      <c r="A795" t="s">
        <v>14</v>
      </c>
      <c r="B795" t="s">
        <v>1849</v>
      </c>
      <c r="C795" t="s">
        <v>4387</v>
      </c>
      <c r="D795" t="s">
        <v>4388</v>
      </c>
      <c r="E795">
        <v>47300012151</v>
      </c>
      <c r="F795" t="s">
        <v>35</v>
      </c>
      <c r="G795" t="s">
        <v>36</v>
      </c>
      <c r="H795" t="s">
        <v>4362</v>
      </c>
      <c r="K795" t="s">
        <v>4229</v>
      </c>
      <c r="L795" t="s">
        <v>19</v>
      </c>
      <c r="M795" t="s">
        <v>63</v>
      </c>
      <c r="N795" s="2">
        <v>45413</v>
      </c>
      <c r="O795" s="2">
        <v>45443</v>
      </c>
      <c r="P795">
        <v>50000</v>
      </c>
      <c r="Q795">
        <v>50000</v>
      </c>
      <c r="R795" t="s">
        <v>3391</v>
      </c>
      <c r="S795" t="s">
        <v>1850</v>
      </c>
      <c r="T795">
        <v>116.8</v>
      </c>
    </row>
    <row r="796" spans="1:20" x14ac:dyDescent="0.25">
      <c r="A796" t="s">
        <v>14</v>
      </c>
      <c r="B796" t="s">
        <v>1849</v>
      </c>
      <c r="C796" t="s">
        <v>4414</v>
      </c>
      <c r="D796" t="s">
        <v>4401</v>
      </c>
      <c r="E796">
        <v>47300012151</v>
      </c>
      <c r="F796" t="s">
        <v>35</v>
      </c>
      <c r="G796" t="s">
        <v>36</v>
      </c>
      <c r="H796" t="s">
        <v>4362</v>
      </c>
      <c r="K796" t="s">
        <v>3294</v>
      </c>
      <c r="L796" t="s">
        <v>19</v>
      </c>
      <c r="M796" t="s">
        <v>46</v>
      </c>
      <c r="N796" s="2">
        <v>45413</v>
      </c>
      <c r="O796" s="2">
        <v>45443</v>
      </c>
      <c r="P796">
        <v>500</v>
      </c>
      <c r="Q796">
        <v>500</v>
      </c>
      <c r="R796" t="s">
        <v>3391</v>
      </c>
    </row>
    <row r="797" spans="1:20" x14ac:dyDescent="0.25">
      <c r="A797" t="s">
        <v>14</v>
      </c>
      <c r="B797" t="s">
        <v>1848</v>
      </c>
      <c r="C797" t="s">
        <v>4369</v>
      </c>
      <c r="D797" t="s">
        <v>4370</v>
      </c>
      <c r="E797">
        <v>47300046746</v>
      </c>
      <c r="F797" t="s">
        <v>16</v>
      </c>
      <c r="G797" t="s">
        <v>28</v>
      </c>
      <c r="H797" t="s">
        <v>32</v>
      </c>
      <c r="K797" t="s">
        <v>3294</v>
      </c>
      <c r="L797" t="s">
        <v>19</v>
      </c>
      <c r="M797" t="s">
        <v>46</v>
      </c>
      <c r="N797" s="2">
        <v>45413</v>
      </c>
      <c r="O797" s="2">
        <v>45443</v>
      </c>
      <c r="P797">
        <v>500</v>
      </c>
      <c r="Q797">
        <v>500</v>
      </c>
      <c r="R797" t="s">
        <v>2997</v>
      </c>
    </row>
    <row r="798" spans="1:20" x14ac:dyDescent="0.25">
      <c r="A798" t="s">
        <v>14</v>
      </c>
      <c r="B798" t="s">
        <v>1848</v>
      </c>
      <c r="C798" t="s">
        <v>4414</v>
      </c>
      <c r="D798" t="s">
        <v>4401</v>
      </c>
      <c r="E798">
        <v>47300046746</v>
      </c>
      <c r="F798" t="s">
        <v>16</v>
      </c>
      <c r="G798" t="s">
        <v>28</v>
      </c>
      <c r="H798" t="s">
        <v>32</v>
      </c>
      <c r="K798" t="s">
        <v>2892</v>
      </c>
      <c r="L798" t="s">
        <v>19</v>
      </c>
      <c r="M798" t="s">
        <v>46</v>
      </c>
      <c r="N798" s="2">
        <v>45413</v>
      </c>
      <c r="O798" s="2">
        <v>45443</v>
      </c>
      <c r="P798">
        <v>10000</v>
      </c>
      <c r="Q798">
        <v>10000</v>
      </c>
      <c r="R798" t="s">
        <v>2997</v>
      </c>
    </row>
    <row r="799" spans="1:20" x14ac:dyDescent="0.25">
      <c r="A799" t="s">
        <v>14</v>
      </c>
      <c r="B799" t="s">
        <v>1846</v>
      </c>
      <c r="C799" t="s">
        <v>4369</v>
      </c>
      <c r="D799" t="s">
        <v>4370</v>
      </c>
      <c r="E799">
        <v>47300046746</v>
      </c>
      <c r="F799" t="s">
        <v>16</v>
      </c>
      <c r="G799" t="s">
        <v>28</v>
      </c>
      <c r="H799" t="s">
        <v>32</v>
      </c>
      <c r="K799" t="s">
        <v>4229</v>
      </c>
      <c r="L799" t="s">
        <v>19</v>
      </c>
      <c r="M799" t="s">
        <v>63</v>
      </c>
      <c r="N799" s="2">
        <v>45413</v>
      </c>
      <c r="O799" s="2">
        <v>45443</v>
      </c>
      <c r="P799">
        <v>10000</v>
      </c>
      <c r="Q799">
        <v>10000</v>
      </c>
      <c r="R799" t="s">
        <v>3207</v>
      </c>
      <c r="S799" t="s">
        <v>1847</v>
      </c>
      <c r="T799">
        <v>23.3</v>
      </c>
    </row>
    <row r="800" spans="1:20" x14ac:dyDescent="0.25">
      <c r="A800" t="s">
        <v>14</v>
      </c>
      <c r="B800" t="s">
        <v>1846</v>
      </c>
      <c r="C800" t="s">
        <v>4372</v>
      </c>
      <c r="D800" t="s">
        <v>4373</v>
      </c>
      <c r="E800">
        <v>47300046746</v>
      </c>
      <c r="F800" t="s">
        <v>16</v>
      </c>
      <c r="G800" t="s">
        <v>28</v>
      </c>
      <c r="H800" t="s">
        <v>32</v>
      </c>
      <c r="K800" t="s">
        <v>3197</v>
      </c>
      <c r="L800" t="s">
        <v>19</v>
      </c>
      <c r="M800" t="s">
        <v>46</v>
      </c>
      <c r="N800" s="2">
        <v>45413</v>
      </c>
      <c r="O800" s="2">
        <v>45443</v>
      </c>
      <c r="P800">
        <v>145500</v>
      </c>
      <c r="Q800">
        <v>145500</v>
      </c>
      <c r="R800" t="s">
        <v>3207</v>
      </c>
    </row>
    <row r="801" spans="1:24" x14ac:dyDescent="0.25">
      <c r="A801" t="s">
        <v>14</v>
      </c>
      <c r="B801" t="s">
        <v>1844</v>
      </c>
      <c r="C801" t="s">
        <v>4369</v>
      </c>
      <c r="D801" t="s">
        <v>4370</v>
      </c>
      <c r="E801">
        <v>47300046720</v>
      </c>
      <c r="F801" t="s">
        <v>16</v>
      </c>
      <c r="G801" t="s">
        <v>28</v>
      </c>
      <c r="H801" t="s">
        <v>143</v>
      </c>
      <c r="K801" t="s">
        <v>3557</v>
      </c>
      <c r="L801" t="s">
        <v>19</v>
      </c>
      <c r="M801" t="s">
        <v>20</v>
      </c>
      <c r="P801">
        <v>50000</v>
      </c>
      <c r="Q801">
        <v>50000</v>
      </c>
      <c r="R801" t="s">
        <v>3763</v>
      </c>
      <c r="S801" t="s">
        <v>1845</v>
      </c>
      <c r="T801">
        <v>116.8</v>
      </c>
    </row>
    <row r="802" spans="1:24" x14ac:dyDescent="0.25">
      <c r="A802" t="s">
        <v>14</v>
      </c>
      <c r="B802" t="s">
        <v>1842</v>
      </c>
      <c r="C802" t="s">
        <v>4387</v>
      </c>
      <c r="D802" t="s">
        <v>4388</v>
      </c>
      <c r="E802">
        <v>47300086445</v>
      </c>
      <c r="F802" t="s">
        <v>16</v>
      </c>
      <c r="G802" t="s">
        <v>28</v>
      </c>
      <c r="H802" t="s">
        <v>187</v>
      </c>
      <c r="I802" t="s">
        <v>2777</v>
      </c>
      <c r="J802" t="s">
        <v>2776</v>
      </c>
      <c r="K802" t="s">
        <v>4229</v>
      </c>
      <c r="L802" t="s">
        <v>19</v>
      </c>
      <c r="M802" t="s">
        <v>63</v>
      </c>
      <c r="N802" s="2">
        <v>45413</v>
      </c>
      <c r="O802" s="2">
        <v>45443</v>
      </c>
      <c r="P802">
        <v>40000</v>
      </c>
      <c r="Q802">
        <v>40000</v>
      </c>
      <c r="R802" t="s">
        <v>4263</v>
      </c>
      <c r="S802" t="s">
        <v>1843</v>
      </c>
      <c r="T802">
        <v>93.5</v>
      </c>
    </row>
    <row r="803" spans="1:24" x14ac:dyDescent="0.25">
      <c r="A803" t="s">
        <v>14</v>
      </c>
      <c r="B803" t="s">
        <v>1840</v>
      </c>
      <c r="C803" t="s">
        <v>4376</v>
      </c>
      <c r="D803" t="s">
        <v>4377</v>
      </c>
      <c r="E803">
        <v>47300046761</v>
      </c>
      <c r="F803" t="s">
        <v>42</v>
      </c>
      <c r="G803" t="s">
        <v>28</v>
      </c>
      <c r="H803" t="s">
        <v>43</v>
      </c>
      <c r="K803" t="s">
        <v>3557</v>
      </c>
      <c r="L803" t="s">
        <v>19</v>
      </c>
      <c r="M803" t="s">
        <v>20</v>
      </c>
      <c r="P803">
        <v>35000</v>
      </c>
      <c r="Q803">
        <v>35000</v>
      </c>
      <c r="R803" t="s">
        <v>3764</v>
      </c>
      <c r="S803" t="s">
        <v>1841</v>
      </c>
      <c r="T803">
        <v>81.8</v>
      </c>
    </row>
    <row r="804" spans="1:24" x14ac:dyDescent="0.25">
      <c r="A804" t="s">
        <v>14</v>
      </c>
      <c r="B804" t="s">
        <v>1838</v>
      </c>
      <c r="C804" t="s">
        <v>4365</v>
      </c>
      <c r="D804" t="s">
        <v>4403</v>
      </c>
      <c r="E804">
        <v>47300046241</v>
      </c>
      <c r="F804" t="s">
        <v>16</v>
      </c>
      <c r="G804" t="s">
        <v>23</v>
      </c>
      <c r="H804" t="s">
        <v>24</v>
      </c>
      <c r="I804" t="s">
        <v>2754</v>
      </c>
      <c r="J804">
        <v>0</v>
      </c>
      <c r="K804" t="s">
        <v>3766</v>
      </c>
      <c r="L804" t="s">
        <v>19</v>
      </c>
      <c r="M804" t="s">
        <v>20</v>
      </c>
      <c r="P804">
        <v>50000</v>
      </c>
      <c r="Q804">
        <v>50000</v>
      </c>
      <c r="R804" t="s">
        <v>3765</v>
      </c>
      <c r="S804" t="s">
        <v>1839</v>
      </c>
      <c r="T804">
        <v>116.8</v>
      </c>
    </row>
    <row r="805" spans="1:24" x14ac:dyDescent="0.25">
      <c r="A805" t="s">
        <v>14</v>
      </c>
      <c r="B805" t="s">
        <v>1836</v>
      </c>
      <c r="C805" t="s">
        <v>4414</v>
      </c>
      <c r="D805" t="s">
        <v>4401</v>
      </c>
      <c r="E805">
        <v>47300070654</v>
      </c>
      <c r="F805" t="s">
        <v>16</v>
      </c>
      <c r="G805" t="s">
        <v>28</v>
      </c>
      <c r="H805" t="s">
        <v>217</v>
      </c>
      <c r="K805" t="s">
        <v>4229</v>
      </c>
      <c r="L805" t="s">
        <v>19</v>
      </c>
      <c r="M805" t="s">
        <v>63</v>
      </c>
      <c r="N805" s="2">
        <v>45413</v>
      </c>
      <c r="O805" s="2">
        <v>45443</v>
      </c>
      <c r="P805">
        <v>22000</v>
      </c>
      <c r="Q805">
        <v>22000</v>
      </c>
      <c r="R805" t="s">
        <v>3392</v>
      </c>
      <c r="S805" t="s">
        <v>1837</v>
      </c>
      <c r="T805">
        <v>51.4</v>
      </c>
    </row>
    <row r="806" spans="1:24" x14ac:dyDescent="0.25">
      <c r="A806" t="s">
        <v>14</v>
      </c>
      <c r="B806" t="s">
        <v>1836</v>
      </c>
      <c r="C806" t="s">
        <v>4365</v>
      </c>
      <c r="D806" t="s">
        <v>4403</v>
      </c>
      <c r="E806">
        <v>47300070654</v>
      </c>
      <c r="F806" t="s">
        <v>16</v>
      </c>
      <c r="G806" t="s">
        <v>28</v>
      </c>
      <c r="H806" t="s">
        <v>217</v>
      </c>
      <c r="K806" t="s">
        <v>3294</v>
      </c>
      <c r="L806" t="s">
        <v>19</v>
      </c>
      <c r="M806" t="s">
        <v>46</v>
      </c>
      <c r="N806" s="2">
        <v>45413</v>
      </c>
      <c r="O806" s="2">
        <v>45443</v>
      </c>
      <c r="P806">
        <v>500</v>
      </c>
      <c r="Q806">
        <v>500</v>
      </c>
      <c r="R806" t="s">
        <v>3392</v>
      </c>
    </row>
    <row r="807" spans="1:24" x14ac:dyDescent="0.25">
      <c r="A807" t="s">
        <v>14</v>
      </c>
      <c r="B807" t="s">
        <v>1834</v>
      </c>
      <c r="C807" t="s">
        <v>4394</v>
      </c>
      <c r="D807" t="s">
        <v>4395</v>
      </c>
      <c r="E807">
        <v>47300046746</v>
      </c>
      <c r="F807" t="s">
        <v>16</v>
      </c>
      <c r="G807" t="s">
        <v>28</v>
      </c>
      <c r="H807" t="s">
        <v>32</v>
      </c>
      <c r="K807" t="s">
        <v>3766</v>
      </c>
      <c r="L807" t="s">
        <v>19</v>
      </c>
      <c r="M807" t="s">
        <v>20</v>
      </c>
      <c r="P807">
        <v>10000</v>
      </c>
      <c r="Q807">
        <v>10000</v>
      </c>
      <c r="R807" t="s">
        <v>3767</v>
      </c>
      <c r="S807" t="s">
        <v>1835</v>
      </c>
      <c r="T807">
        <v>23.4</v>
      </c>
    </row>
    <row r="808" spans="1:24" x14ac:dyDescent="0.25">
      <c r="A808" t="s">
        <v>14</v>
      </c>
      <c r="B808" t="s">
        <v>1832</v>
      </c>
      <c r="C808" t="s">
        <v>4411</v>
      </c>
      <c r="D808" t="s">
        <v>3275</v>
      </c>
      <c r="E808">
        <v>47300026094</v>
      </c>
      <c r="F808" t="s">
        <v>35</v>
      </c>
      <c r="G808" t="s">
        <v>36</v>
      </c>
      <c r="H808" t="s">
        <v>4359</v>
      </c>
      <c r="K808" t="s">
        <v>3766</v>
      </c>
      <c r="L808" t="s">
        <v>19</v>
      </c>
      <c r="M808" t="s">
        <v>20</v>
      </c>
      <c r="P808">
        <v>100000</v>
      </c>
      <c r="Q808">
        <v>100000</v>
      </c>
      <c r="R808" t="s">
        <v>3768</v>
      </c>
      <c r="S808" t="s">
        <v>1833</v>
      </c>
      <c r="T808">
        <v>233.8</v>
      </c>
    </row>
    <row r="809" spans="1:24" x14ac:dyDescent="0.25">
      <c r="A809" t="s">
        <v>14</v>
      </c>
      <c r="B809" t="s">
        <v>1830</v>
      </c>
      <c r="C809" t="s">
        <v>4404</v>
      </c>
      <c r="D809" t="s">
        <v>2893</v>
      </c>
      <c r="E809">
        <v>47300070555</v>
      </c>
      <c r="F809" t="s">
        <v>35</v>
      </c>
      <c r="G809" t="s">
        <v>35</v>
      </c>
      <c r="H809" t="s">
        <v>116</v>
      </c>
      <c r="K809" t="s">
        <v>3766</v>
      </c>
      <c r="L809" t="s">
        <v>19</v>
      </c>
      <c r="M809" t="s">
        <v>20</v>
      </c>
      <c r="P809">
        <v>40000</v>
      </c>
      <c r="Q809">
        <v>40000</v>
      </c>
      <c r="R809" t="s">
        <v>3769</v>
      </c>
      <c r="S809" t="s">
        <v>1831</v>
      </c>
      <c r="T809">
        <v>93.5</v>
      </c>
      <c r="X809" t="s">
        <v>3275</v>
      </c>
    </row>
    <row r="810" spans="1:24" x14ac:dyDescent="0.25">
      <c r="A810" t="s">
        <v>14</v>
      </c>
      <c r="B810" t="s">
        <v>1828</v>
      </c>
      <c r="C810" t="s">
        <v>4378</v>
      </c>
      <c r="D810" t="s">
        <v>4379</v>
      </c>
      <c r="E810">
        <v>47300088367</v>
      </c>
      <c r="F810" t="s">
        <v>35</v>
      </c>
      <c r="G810" t="s">
        <v>36</v>
      </c>
      <c r="H810" t="s">
        <v>654</v>
      </c>
      <c r="K810" t="s">
        <v>4229</v>
      </c>
      <c r="L810" t="s">
        <v>19</v>
      </c>
      <c r="M810" t="s">
        <v>63</v>
      </c>
      <c r="N810" s="2">
        <v>45413</v>
      </c>
      <c r="O810" s="2">
        <v>45443</v>
      </c>
      <c r="P810">
        <v>98000</v>
      </c>
      <c r="Q810">
        <v>98000</v>
      </c>
      <c r="R810" t="s">
        <v>3393</v>
      </c>
      <c r="S810" t="s">
        <v>1829</v>
      </c>
      <c r="T810">
        <v>229</v>
      </c>
    </row>
    <row r="811" spans="1:24" x14ac:dyDescent="0.25">
      <c r="A811" t="s">
        <v>14</v>
      </c>
      <c r="B811" t="s">
        <v>1828</v>
      </c>
      <c r="C811" t="s">
        <v>4412</v>
      </c>
      <c r="D811" t="s">
        <v>4377</v>
      </c>
      <c r="E811">
        <v>47300088367</v>
      </c>
      <c r="F811" t="s">
        <v>35</v>
      </c>
      <c r="G811" t="s">
        <v>36</v>
      </c>
      <c r="H811" t="s">
        <v>654</v>
      </c>
      <c r="K811" t="s">
        <v>3294</v>
      </c>
      <c r="L811" t="s">
        <v>19</v>
      </c>
      <c r="M811" t="s">
        <v>46</v>
      </c>
      <c r="N811" s="2">
        <v>45413</v>
      </c>
      <c r="O811" s="2">
        <v>45443</v>
      </c>
      <c r="P811">
        <v>500</v>
      </c>
      <c r="Q811">
        <v>500</v>
      </c>
      <c r="R811" t="s">
        <v>3393</v>
      </c>
    </row>
    <row r="812" spans="1:24" x14ac:dyDescent="0.25">
      <c r="A812" t="s">
        <v>14</v>
      </c>
      <c r="B812" t="s">
        <v>1826</v>
      </c>
      <c r="C812" t="s">
        <v>4411</v>
      </c>
      <c r="D812" t="s">
        <v>3275</v>
      </c>
      <c r="E812">
        <v>47300088318</v>
      </c>
      <c r="F812" t="s">
        <v>35</v>
      </c>
      <c r="G812" t="s">
        <v>36</v>
      </c>
      <c r="H812" t="s">
        <v>1126</v>
      </c>
      <c r="K812" t="s">
        <v>4229</v>
      </c>
      <c r="L812" t="s">
        <v>19</v>
      </c>
      <c r="M812" t="s">
        <v>63</v>
      </c>
      <c r="N812" s="2">
        <v>45413</v>
      </c>
      <c r="O812" s="2">
        <v>45443</v>
      </c>
      <c r="P812">
        <v>98000</v>
      </c>
      <c r="Q812">
        <v>98000</v>
      </c>
      <c r="R812" t="s">
        <v>3394</v>
      </c>
      <c r="S812" t="s">
        <v>1827</v>
      </c>
      <c r="T812">
        <v>229</v>
      </c>
    </row>
    <row r="813" spans="1:24" x14ac:dyDescent="0.25">
      <c r="A813" t="s">
        <v>14</v>
      </c>
      <c r="B813" t="s">
        <v>1826</v>
      </c>
      <c r="C813" t="s">
        <v>4404</v>
      </c>
      <c r="D813" t="s">
        <v>2893</v>
      </c>
      <c r="E813">
        <v>47300088318</v>
      </c>
      <c r="F813" t="s">
        <v>35</v>
      </c>
      <c r="G813" t="s">
        <v>36</v>
      </c>
      <c r="H813" t="s">
        <v>1126</v>
      </c>
      <c r="K813" t="s">
        <v>3294</v>
      </c>
      <c r="L813" t="s">
        <v>19</v>
      </c>
      <c r="M813" t="s">
        <v>46</v>
      </c>
      <c r="N813" s="2">
        <v>45413</v>
      </c>
      <c r="O813" s="2">
        <v>45443</v>
      </c>
      <c r="P813">
        <v>500</v>
      </c>
      <c r="Q813">
        <v>500</v>
      </c>
      <c r="R813" t="s">
        <v>3394</v>
      </c>
      <c r="X813" t="s">
        <v>3275</v>
      </c>
    </row>
    <row r="814" spans="1:24" x14ac:dyDescent="0.25">
      <c r="A814" t="s">
        <v>14</v>
      </c>
      <c r="B814" t="s">
        <v>1824</v>
      </c>
      <c r="C814" t="s">
        <v>3300</v>
      </c>
      <c r="D814" t="s">
        <v>3299</v>
      </c>
      <c r="E814">
        <v>47300046258</v>
      </c>
      <c r="F814" t="s">
        <v>16</v>
      </c>
      <c r="G814" t="s">
        <v>28</v>
      </c>
      <c r="H814" t="s">
        <v>160</v>
      </c>
      <c r="K814" t="s">
        <v>3766</v>
      </c>
      <c r="L814" t="s">
        <v>19</v>
      </c>
      <c r="M814" t="s">
        <v>20</v>
      </c>
      <c r="P814">
        <v>30000</v>
      </c>
      <c r="Q814">
        <v>30000</v>
      </c>
      <c r="R814" t="s">
        <v>3770</v>
      </c>
      <c r="S814" t="s">
        <v>1825</v>
      </c>
      <c r="T814">
        <v>70.099999999999994</v>
      </c>
    </row>
    <row r="815" spans="1:24" x14ac:dyDescent="0.25">
      <c r="A815" t="s">
        <v>14</v>
      </c>
      <c r="B815" t="s">
        <v>1822</v>
      </c>
      <c r="C815" t="s">
        <v>4367</v>
      </c>
      <c r="D815" t="s">
        <v>4368</v>
      </c>
      <c r="E815">
        <v>47300046399</v>
      </c>
      <c r="F815" t="s">
        <v>16</v>
      </c>
      <c r="G815" t="s">
        <v>28</v>
      </c>
      <c r="H815" t="s">
        <v>122</v>
      </c>
      <c r="K815" t="s">
        <v>3766</v>
      </c>
      <c r="L815" t="s">
        <v>19</v>
      </c>
      <c r="M815" t="s">
        <v>20</v>
      </c>
      <c r="P815">
        <v>40000</v>
      </c>
      <c r="Q815">
        <v>40000</v>
      </c>
      <c r="R815" t="s">
        <v>3771</v>
      </c>
      <c r="S815" t="s">
        <v>1823</v>
      </c>
      <c r="T815">
        <v>93.5</v>
      </c>
    </row>
    <row r="816" spans="1:24" x14ac:dyDescent="0.25">
      <c r="A816" t="s">
        <v>14</v>
      </c>
      <c r="B816" t="s">
        <v>1820</v>
      </c>
      <c r="C816" t="s">
        <v>4389</v>
      </c>
      <c r="D816" t="s">
        <v>4375</v>
      </c>
      <c r="E816">
        <v>47300046746</v>
      </c>
      <c r="F816" t="s">
        <v>16</v>
      </c>
      <c r="G816" t="s">
        <v>28</v>
      </c>
      <c r="H816" t="s">
        <v>32</v>
      </c>
      <c r="K816" t="s">
        <v>3766</v>
      </c>
      <c r="L816" t="s">
        <v>19</v>
      </c>
      <c r="M816" t="s">
        <v>20</v>
      </c>
      <c r="P816">
        <v>15000</v>
      </c>
      <c r="Q816">
        <v>15000</v>
      </c>
      <c r="R816" t="s">
        <v>3772</v>
      </c>
      <c r="S816" t="s">
        <v>1821</v>
      </c>
      <c r="T816">
        <v>35.1</v>
      </c>
    </row>
    <row r="817" spans="1:20" x14ac:dyDescent="0.25">
      <c r="A817" t="s">
        <v>14</v>
      </c>
      <c r="B817" t="s">
        <v>1818</v>
      </c>
      <c r="C817" t="s">
        <v>4414</v>
      </c>
      <c r="D817" t="s">
        <v>4401</v>
      </c>
      <c r="E817">
        <v>47300070514</v>
      </c>
      <c r="F817" t="s">
        <v>27</v>
      </c>
      <c r="G817" t="s">
        <v>28</v>
      </c>
      <c r="H817" t="s">
        <v>29</v>
      </c>
      <c r="K817" t="s">
        <v>4229</v>
      </c>
      <c r="L817" t="s">
        <v>19</v>
      </c>
      <c r="M817" t="s">
        <v>63</v>
      </c>
      <c r="N817" s="2">
        <v>45413</v>
      </c>
      <c r="O817" s="2">
        <v>45443</v>
      </c>
      <c r="P817">
        <v>100000</v>
      </c>
      <c r="Q817">
        <v>100000</v>
      </c>
      <c r="R817" t="s">
        <v>4264</v>
      </c>
      <c r="S817" t="s">
        <v>1819</v>
      </c>
      <c r="T817">
        <v>233.7</v>
      </c>
    </row>
    <row r="818" spans="1:20" x14ac:dyDescent="0.25">
      <c r="A818" t="s">
        <v>14</v>
      </c>
      <c r="B818" t="s">
        <v>1816</v>
      </c>
      <c r="C818" t="s">
        <v>4396</v>
      </c>
      <c r="D818" t="s">
        <v>4397</v>
      </c>
      <c r="E818">
        <v>47300046662</v>
      </c>
      <c r="F818" t="s">
        <v>16</v>
      </c>
      <c r="G818" t="s">
        <v>28</v>
      </c>
      <c r="H818" t="s">
        <v>129</v>
      </c>
      <c r="K818" t="s">
        <v>4229</v>
      </c>
      <c r="L818" t="s">
        <v>19</v>
      </c>
      <c r="M818" t="s">
        <v>63</v>
      </c>
      <c r="N818" s="2">
        <v>45413</v>
      </c>
      <c r="O818" s="2">
        <v>45443</v>
      </c>
      <c r="P818">
        <v>40000</v>
      </c>
      <c r="Q818">
        <v>40000</v>
      </c>
      <c r="R818" t="s">
        <v>2998</v>
      </c>
      <c r="S818" t="s">
        <v>1817</v>
      </c>
      <c r="T818">
        <v>93.5</v>
      </c>
    </row>
    <row r="819" spans="1:20" x14ac:dyDescent="0.25">
      <c r="A819" t="s">
        <v>14</v>
      </c>
      <c r="B819" t="s">
        <v>1816</v>
      </c>
      <c r="C819" t="s">
        <v>4396</v>
      </c>
      <c r="D819" t="s">
        <v>4397</v>
      </c>
      <c r="E819">
        <v>47300046662</v>
      </c>
      <c r="F819" t="s">
        <v>16</v>
      </c>
      <c r="G819" t="s">
        <v>28</v>
      </c>
      <c r="H819" t="s">
        <v>129</v>
      </c>
      <c r="K819" t="s">
        <v>3294</v>
      </c>
      <c r="L819" t="s">
        <v>19</v>
      </c>
      <c r="M819" t="s">
        <v>46</v>
      </c>
      <c r="N819" s="2">
        <v>45413</v>
      </c>
      <c r="O819" s="2">
        <v>45443</v>
      </c>
      <c r="P819">
        <v>500</v>
      </c>
      <c r="Q819">
        <v>500</v>
      </c>
      <c r="R819" t="s">
        <v>2998</v>
      </c>
    </row>
    <row r="820" spans="1:20" x14ac:dyDescent="0.25">
      <c r="A820" t="s">
        <v>14</v>
      </c>
      <c r="B820" t="s">
        <v>1816</v>
      </c>
      <c r="C820" t="s">
        <v>4396</v>
      </c>
      <c r="D820" t="s">
        <v>4397</v>
      </c>
      <c r="E820">
        <v>47300046662</v>
      </c>
      <c r="F820" t="s">
        <v>16</v>
      </c>
      <c r="G820" t="s">
        <v>28</v>
      </c>
      <c r="H820" t="s">
        <v>129</v>
      </c>
      <c r="K820" t="s">
        <v>3197</v>
      </c>
      <c r="L820" t="s">
        <v>19</v>
      </c>
      <c r="M820" t="s">
        <v>46</v>
      </c>
      <c r="N820" s="2">
        <v>45413</v>
      </c>
      <c r="O820" s="2">
        <v>45443</v>
      </c>
      <c r="P820">
        <v>145500</v>
      </c>
      <c r="Q820">
        <v>145500</v>
      </c>
      <c r="R820" t="s">
        <v>2998</v>
      </c>
    </row>
    <row r="821" spans="1:20" x14ac:dyDescent="0.25">
      <c r="A821" t="s">
        <v>14</v>
      </c>
      <c r="B821" t="s">
        <v>1816</v>
      </c>
      <c r="C821" t="s">
        <v>4396</v>
      </c>
      <c r="D821" t="s">
        <v>4397</v>
      </c>
      <c r="E821">
        <v>47300046662</v>
      </c>
      <c r="F821" t="s">
        <v>16</v>
      </c>
      <c r="G821" t="s">
        <v>28</v>
      </c>
      <c r="H821" t="s">
        <v>129</v>
      </c>
      <c r="K821" t="s">
        <v>2892</v>
      </c>
      <c r="L821" t="s">
        <v>19</v>
      </c>
      <c r="M821" t="s">
        <v>46</v>
      </c>
      <c r="N821" s="2">
        <v>45413</v>
      </c>
      <c r="O821" s="2">
        <v>45443</v>
      </c>
      <c r="P821">
        <v>10000</v>
      </c>
      <c r="Q821">
        <v>10000</v>
      </c>
      <c r="R821" t="s">
        <v>2998</v>
      </c>
    </row>
    <row r="822" spans="1:20" x14ac:dyDescent="0.25">
      <c r="A822" t="s">
        <v>14</v>
      </c>
      <c r="B822" t="s">
        <v>1815</v>
      </c>
      <c r="C822" t="s">
        <v>4412</v>
      </c>
      <c r="D822" t="s">
        <v>4424</v>
      </c>
      <c r="E822">
        <v>47300046738</v>
      </c>
      <c r="F822" t="s">
        <v>16</v>
      </c>
      <c r="G822" t="s">
        <v>28</v>
      </c>
      <c r="H822" t="s">
        <v>202</v>
      </c>
      <c r="K822" t="s">
        <v>3294</v>
      </c>
      <c r="L822" t="s">
        <v>19</v>
      </c>
      <c r="M822" t="s">
        <v>46</v>
      </c>
      <c r="N822" s="2">
        <v>45413</v>
      </c>
      <c r="O822" s="2">
        <v>45443</v>
      </c>
      <c r="P822">
        <v>500</v>
      </c>
      <c r="Q822">
        <v>500</v>
      </c>
      <c r="R822" t="s">
        <v>2999</v>
      </c>
    </row>
    <row r="823" spans="1:20" x14ac:dyDescent="0.25">
      <c r="A823" t="s">
        <v>14</v>
      </c>
      <c r="B823" t="s">
        <v>1815</v>
      </c>
      <c r="C823" t="s">
        <v>4369</v>
      </c>
      <c r="D823" t="s">
        <v>4370</v>
      </c>
      <c r="E823">
        <v>47300046738</v>
      </c>
      <c r="F823" t="s">
        <v>16</v>
      </c>
      <c r="G823" t="s">
        <v>28</v>
      </c>
      <c r="H823" t="s">
        <v>202</v>
      </c>
      <c r="K823" t="s">
        <v>2892</v>
      </c>
      <c r="L823" t="s">
        <v>19</v>
      </c>
      <c r="M823" t="s">
        <v>46</v>
      </c>
      <c r="N823" s="2">
        <v>45413</v>
      </c>
      <c r="O823" s="2">
        <v>45443</v>
      </c>
      <c r="P823">
        <v>10000</v>
      </c>
      <c r="Q823">
        <v>10000</v>
      </c>
      <c r="R823" t="s">
        <v>2999</v>
      </c>
    </row>
    <row r="824" spans="1:20" x14ac:dyDescent="0.25">
      <c r="A824" t="s">
        <v>14</v>
      </c>
      <c r="B824" t="s">
        <v>1813</v>
      </c>
      <c r="C824" t="s">
        <v>4387</v>
      </c>
      <c r="D824" t="s">
        <v>4388</v>
      </c>
      <c r="E824">
        <v>47300026094</v>
      </c>
      <c r="F824" t="s">
        <v>35</v>
      </c>
      <c r="G824" t="s">
        <v>36</v>
      </c>
      <c r="H824" t="s">
        <v>4359</v>
      </c>
      <c r="K824" t="s">
        <v>3766</v>
      </c>
      <c r="L824" t="s">
        <v>19</v>
      </c>
      <c r="M824" t="s">
        <v>20</v>
      </c>
      <c r="P824">
        <v>250000</v>
      </c>
      <c r="Q824">
        <v>250000</v>
      </c>
      <c r="R824" t="s">
        <v>3773</v>
      </c>
      <c r="S824" t="s">
        <v>1814</v>
      </c>
      <c r="T824">
        <v>584.20000000000005</v>
      </c>
    </row>
    <row r="825" spans="1:20" x14ac:dyDescent="0.25">
      <c r="A825" t="s">
        <v>14</v>
      </c>
      <c r="B825" t="s">
        <v>1811</v>
      </c>
      <c r="C825" t="s">
        <v>4406</v>
      </c>
      <c r="D825" t="s">
        <v>4394</v>
      </c>
      <c r="E825">
        <v>47300025708</v>
      </c>
      <c r="F825" t="s">
        <v>35</v>
      </c>
      <c r="G825" t="s">
        <v>36</v>
      </c>
      <c r="H825" t="s">
        <v>4360</v>
      </c>
      <c r="K825" t="s">
        <v>3766</v>
      </c>
      <c r="L825" t="s">
        <v>19</v>
      </c>
      <c r="M825" t="s">
        <v>20</v>
      </c>
      <c r="P825">
        <v>100000</v>
      </c>
      <c r="Q825">
        <v>100000</v>
      </c>
      <c r="R825" t="s">
        <v>3774</v>
      </c>
      <c r="S825" t="s">
        <v>1812</v>
      </c>
      <c r="T825">
        <v>233.8</v>
      </c>
    </row>
    <row r="826" spans="1:20" x14ac:dyDescent="0.25">
      <c r="A826" t="s">
        <v>14</v>
      </c>
      <c r="B826" t="s">
        <v>1809</v>
      </c>
      <c r="C826" t="s">
        <v>4371</v>
      </c>
      <c r="D826" t="s">
        <v>4368</v>
      </c>
      <c r="E826">
        <v>47300046688</v>
      </c>
      <c r="F826" t="s">
        <v>16</v>
      </c>
      <c r="G826" t="s">
        <v>17</v>
      </c>
      <c r="H826" t="s">
        <v>154</v>
      </c>
      <c r="K826" t="s">
        <v>4229</v>
      </c>
      <c r="L826" t="s">
        <v>19</v>
      </c>
      <c r="M826" t="s">
        <v>63</v>
      </c>
      <c r="N826" s="2">
        <v>45413</v>
      </c>
      <c r="O826" s="2">
        <v>45443</v>
      </c>
      <c r="P826">
        <v>100000</v>
      </c>
      <c r="Q826">
        <v>100000</v>
      </c>
      <c r="R826" t="s">
        <v>4265</v>
      </c>
      <c r="S826" t="s">
        <v>1810</v>
      </c>
      <c r="T826">
        <v>233.7</v>
      </c>
    </row>
    <row r="827" spans="1:20" x14ac:dyDescent="0.25">
      <c r="A827" t="s">
        <v>14</v>
      </c>
      <c r="B827" t="s">
        <v>1807</v>
      </c>
      <c r="C827" t="s">
        <v>4367</v>
      </c>
      <c r="D827" t="s">
        <v>4368</v>
      </c>
      <c r="E827">
        <v>47300046761</v>
      </c>
      <c r="F827" t="s">
        <v>42</v>
      </c>
      <c r="G827" t="s">
        <v>28</v>
      </c>
      <c r="H827" t="s">
        <v>43</v>
      </c>
      <c r="K827" t="s">
        <v>3766</v>
      </c>
      <c r="L827" t="s">
        <v>19</v>
      </c>
      <c r="M827" t="s">
        <v>20</v>
      </c>
      <c r="P827">
        <v>25000</v>
      </c>
      <c r="Q827">
        <v>25000</v>
      </c>
      <c r="R827" t="s">
        <v>3775</v>
      </c>
      <c r="S827" t="s">
        <v>1808</v>
      </c>
      <c r="T827">
        <v>58.4</v>
      </c>
    </row>
    <row r="828" spans="1:20" x14ac:dyDescent="0.25">
      <c r="A828" t="s">
        <v>14</v>
      </c>
      <c r="B828" t="s">
        <v>1805</v>
      </c>
      <c r="C828" t="s">
        <v>4412</v>
      </c>
      <c r="D828" t="s">
        <v>4424</v>
      </c>
      <c r="E828">
        <v>47300086445</v>
      </c>
      <c r="F828" t="s">
        <v>16</v>
      </c>
      <c r="G828" t="s">
        <v>28</v>
      </c>
      <c r="H828" t="s">
        <v>187</v>
      </c>
      <c r="I828" t="s">
        <v>2777</v>
      </c>
      <c r="J828" t="s">
        <v>2776</v>
      </c>
      <c r="K828" t="s">
        <v>3766</v>
      </c>
      <c r="L828" t="s">
        <v>19</v>
      </c>
      <c r="M828" t="s">
        <v>20</v>
      </c>
      <c r="P828">
        <v>40000</v>
      </c>
      <c r="Q828">
        <v>40000</v>
      </c>
      <c r="R828" t="s">
        <v>3776</v>
      </c>
      <c r="S828" t="s">
        <v>1806</v>
      </c>
      <c r="T828">
        <v>93.5</v>
      </c>
    </row>
    <row r="829" spans="1:20" x14ac:dyDescent="0.25">
      <c r="A829" t="s">
        <v>14</v>
      </c>
      <c r="B829" t="s">
        <v>1803</v>
      </c>
      <c r="C829" t="s">
        <v>4414</v>
      </c>
      <c r="D829" t="s">
        <v>4401</v>
      </c>
      <c r="E829">
        <v>47300046720</v>
      </c>
      <c r="F829" t="s">
        <v>16</v>
      </c>
      <c r="G829" t="s">
        <v>28</v>
      </c>
      <c r="H829" t="s">
        <v>143</v>
      </c>
      <c r="K829" t="s">
        <v>3766</v>
      </c>
      <c r="L829" t="s">
        <v>19</v>
      </c>
      <c r="M829" t="s">
        <v>20</v>
      </c>
      <c r="P829">
        <v>50000</v>
      </c>
      <c r="Q829">
        <v>50000</v>
      </c>
      <c r="R829" t="s">
        <v>3777</v>
      </c>
      <c r="S829" t="s">
        <v>1804</v>
      </c>
      <c r="T829">
        <v>116.9</v>
      </c>
    </row>
    <row r="830" spans="1:20" x14ac:dyDescent="0.25">
      <c r="A830" t="s">
        <v>14</v>
      </c>
      <c r="B830" t="s">
        <v>1801</v>
      </c>
      <c r="C830" t="s">
        <v>4376</v>
      </c>
      <c r="D830" t="s">
        <v>4377</v>
      </c>
      <c r="E830">
        <v>47300046746</v>
      </c>
      <c r="F830" t="s">
        <v>16</v>
      </c>
      <c r="G830" t="s">
        <v>28</v>
      </c>
      <c r="H830" t="s">
        <v>32</v>
      </c>
      <c r="K830" t="s">
        <v>3766</v>
      </c>
      <c r="L830" t="s">
        <v>19</v>
      </c>
      <c r="M830" t="s">
        <v>20</v>
      </c>
      <c r="P830">
        <v>10000</v>
      </c>
      <c r="Q830">
        <v>10000</v>
      </c>
      <c r="R830" t="s">
        <v>3778</v>
      </c>
      <c r="S830" t="s">
        <v>1802</v>
      </c>
      <c r="T830">
        <v>23.3</v>
      </c>
    </row>
    <row r="831" spans="1:20" x14ac:dyDescent="0.25">
      <c r="A831" t="s">
        <v>14</v>
      </c>
      <c r="B831" t="s">
        <v>1799</v>
      </c>
      <c r="C831" t="s">
        <v>2927</v>
      </c>
      <c r="D831" t="s">
        <v>4375</v>
      </c>
      <c r="E831">
        <v>47300046761</v>
      </c>
      <c r="F831" t="s">
        <v>42</v>
      </c>
      <c r="G831" t="s">
        <v>28</v>
      </c>
      <c r="H831" t="s">
        <v>43</v>
      </c>
      <c r="K831" t="s">
        <v>3766</v>
      </c>
      <c r="L831" t="s">
        <v>19</v>
      </c>
      <c r="M831" t="s">
        <v>20</v>
      </c>
      <c r="P831">
        <v>25000</v>
      </c>
      <c r="Q831">
        <v>25000</v>
      </c>
      <c r="R831" t="s">
        <v>3779</v>
      </c>
      <c r="S831" t="s">
        <v>1800</v>
      </c>
      <c r="T831">
        <v>58.4</v>
      </c>
    </row>
    <row r="832" spans="1:20" x14ac:dyDescent="0.25">
      <c r="A832" t="s">
        <v>14</v>
      </c>
      <c r="B832" t="s">
        <v>1798</v>
      </c>
      <c r="C832" t="s">
        <v>4400</v>
      </c>
      <c r="D832" t="s">
        <v>4401</v>
      </c>
      <c r="E832">
        <v>47300070522</v>
      </c>
      <c r="F832" t="s">
        <v>16</v>
      </c>
      <c r="G832" t="s">
        <v>17</v>
      </c>
      <c r="H832" t="s">
        <v>18</v>
      </c>
      <c r="K832" t="s">
        <v>3294</v>
      </c>
      <c r="L832" t="s">
        <v>19</v>
      </c>
      <c r="M832" t="s">
        <v>46</v>
      </c>
      <c r="N832" s="2">
        <v>45413</v>
      </c>
      <c r="O832" s="2">
        <v>45443</v>
      </c>
      <c r="P832">
        <v>500</v>
      </c>
      <c r="Q832">
        <v>500</v>
      </c>
      <c r="R832" t="s">
        <v>3000</v>
      </c>
    </row>
    <row r="833" spans="1:20" x14ac:dyDescent="0.25">
      <c r="A833" t="s">
        <v>14</v>
      </c>
      <c r="B833" t="s">
        <v>1798</v>
      </c>
      <c r="C833" t="s">
        <v>2927</v>
      </c>
      <c r="D833" t="s">
        <v>4375</v>
      </c>
      <c r="E833">
        <v>47300070522</v>
      </c>
      <c r="F833" t="s">
        <v>16</v>
      </c>
      <c r="G833" t="s">
        <v>17</v>
      </c>
      <c r="H833" t="s">
        <v>18</v>
      </c>
      <c r="K833" t="s">
        <v>2892</v>
      </c>
      <c r="L833" t="s">
        <v>19</v>
      </c>
      <c r="M833" t="s">
        <v>46</v>
      </c>
      <c r="N833" s="2">
        <v>45413</v>
      </c>
      <c r="O833" s="2">
        <v>45443</v>
      </c>
      <c r="P833">
        <v>10000</v>
      </c>
      <c r="Q833">
        <v>10000</v>
      </c>
      <c r="R833" t="s">
        <v>3000</v>
      </c>
    </row>
    <row r="834" spans="1:20" x14ac:dyDescent="0.25">
      <c r="A834" t="s">
        <v>14</v>
      </c>
      <c r="B834" t="s">
        <v>1796</v>
      </c>
      <c r="C834" t="s">
        <v>4387</v>
      </c>
      <c r="D834" t="s">
        <v>4388</v>
      </c>
      <c r="E834">
        <v>47300070837</v>
      </c>
      <c r="F834" t="s">
        <v>16</v>
      </c>
      <c r="G834" t="s">
        <v>23</v>
      </c>
      <c r="H834" t="s">
        <v>165</v>
      </c>
      <c r="K834" t="s">
        <v>4229</v>
      </c>
      <c r="L834" t="s">
        <v>19</v>
      </c>
      <c r="M834" t="s">
        <v>63</v>
      </c>
      <c r="N834" s="2">
        <v>45413</v>
      </c>
      <c r="O834" s="2">
        <v>45443</v>
      </c>
      <c r="P834">
        <v>119400</v>
      </c>
      <c r="Q834">
        <v>119400</v>
      </c>
      <c r="R834" t="s">
        <v>3395</v>
      </c>
      <c r="S834" t="s">
        <v>1797</v>
      </c>
      <c r="T834">
        <v>279.10000000000002</v>
      </c>
    </row>
    <row r="835" spans="1:20" x14ac:dyDescent="0.25">
      <c r="A835" t="s">
        <v>14</v>
      </c>
      <c r="B835" t="s">
        <v>1796</v>
      </c>
      <c r="C835" t="s">
        <v>4400</v>
      </c>
      <c r="D835" t="s">
        <v>4401</v>
      </c>
      <c r="E835">
        <v>47300070837</v>
      </c>
      <c r="F835" t="s">
        <v>16</v>
      </c>
      <c r="G835" t="s">
        <v>23</v>
      </c>
      <c r="H835" t="s">
        <v>165</v>
      </c>
      <c r="K835" t="s">
        <v>3294</v>
      </c>
      <c r="L835" t="s">
        <v>19</v>
      </c>
      <c r="M835" t="s">
        <v>46</v>
      </c>
      <c r="N835" s="2">
        <v>45413</v>
      </c>
      <c r="O835" s="2">
        <v>45443</v>
      </c>
      <c r="P835">
        <v>500</v>
      </c>
      <c r="Q835">
        <v>500</v>
      </c>
      <c r="R835" t="s">
        <v>3395</v>
      </c>
    </row>
    <row r="836" spans="1:20" x14ac:dyDescent="0.25">
      <c r="A836" t="s">
        <v>14</v>
      </c>
      <c r="B836" t="s">
        <v>1794</v>
      </c>
      <c r="C836" t="s">
        <v>4414</v>
      </c>
      <c r="D836" t="s">
        <v>4401</v>
      </c>
      <c r="E836">
        <v>47300046761</v>
      </c>
      <c r="F836" t="s">
        <v>42</v>
      </c>
      <c r="G836" t="s">
        <v>28</v>
      </c>
      <c r="H836" t="s">
        <v>43</v>
      </c>
      <c r="K836" t="s">
        <v>3766</v>
      </c>
      <c r="L836" t="s">
        <v>19</v>
      </c>
      <c r="M836" t="s">
        <v>20</v>
      </c>
      <c r="P836">
        <v>35000</v>
      </c>
      <c r="Q836">
        <v>35000</v>
      </c>
      <c r="R836" t="s">
        <v>3780</v>
      </c>
      <c r="S836" t="s">
        <v>1795</v>
      </c>
      <c r="T836">
        <v>81.8</v>
      </c>
    </row>
    <row r="837" spans="1:20" x14ac:dyDescent="0.25">
      <c r="A837" t="s">
        <v>14</v>
      </c>
      <c r="B837" t="s">
        <v>1792</v>
      </c>
      <c r="C837" t="s">
        <v>4365</v>
      </c>
      <c r="D837" t="s">
        <v>4403</v>
      </c>
      <c r="E837">
        <v>47300070654</v>
      </c>
      <c r="F837" t="s">
        <v>16</v>
      </c>
      <c r="G837" t="s">
        <v>28</v>
      </c>
      <c r="H837" t="s">
        <v>217</v>
      </c>
      <c r="K837" t="s">
        <v>3766</v>
      </c>
      <c r="L837" t="s">
        <v>19</v>
      </c>
      <c r="M837" t="s">
        <v>20</v>
      </c>
      <c r="P837">
        <v>20000</v>
      </c>
      <c r="Q837">
        <v>20000</v>
      </c>
      <c r="R837" t="s">
        <v>3781</v>
      </c>
      <c r="S837" t="s">
        <v>1793</v>
      </c>
      <c r="T837">
        <v>46.8</v>
      </c>
    </row>
    <row r="838" spans="1:20" x14ac:dyDescent="0.25">
      <c r="A838" t="s">
        <v>14</v>
      </c>
      <c r="B838" t="s">
        <v>1790</v>
      </c>
      <c r="C838" t="s">
        <v>4387</v>
      </c>
      <c r="D838" t="s">
        <v>4388</v>
      </c>
      <c r="E838">
        <v>47300046746</v>
      </c>
      <c r="F838" t="s">
        <v>16</v>
      </c>
      <c r="G838" t="s">
        <v>28</v>
      </c>
      <c r="H838" t="s">
        <v>32</v>
      </c>
      <c r="K838" t="s">
        <v>3766</v>
      </c>
      <c r="L838" t="s">
        <v>19</v>
      </c>
      <c r="M838" t="s">
        <v>20</v>
      </c>
      <c r="P838">
        <v>10000</v>
      </c>
      <c r="Q838">
        <v>10000</v>
      </c>
      <c r="R838" t="s">
        <v>3782</v>
      </c>
      <c r="S838" t="s">
        <v>1791</v>
      </c>
      <c r="T838">
        <v>23.4</v>
      </c>
    </row>
    <row r="839" spans="1:20" x14ac:dyDescent="0.25">
      <c r="A839" t="s">
        <v>14</v>
      </c>
      <c r="B839" t="s">
        <v>1788</v>
      </c>
      <c r="C839" t="s">
        <v>4412</v>
      </c>
      <c r="D839" t="s">
        <v>4377</v>
      </c>
      <c r="E839">
        <v>47300026094</v>
      </c>
      <c r="F839" t="s">
        <v>35</v>
      </c>
      <c r="G839" t="s">
        <v>36</v>
      </c>
      <c r="H839" t="s">
        <v>4359</v>
      </c>
      <c r="K839" t="s">
        <v>3766</v>
      </c>
      <c r="L839" t="s">
        <v>19</v>
      </c>
      <c r="M839" t="s">
        <v>20</v>
      </c>
      <c r="P839">
        <v>100000</v>
      </c>
      <c r="Q839">
        <v>100000</v>
      </c>
      <c r="R839" t="s">
        <v>3783</v>
      </c>
      <c r="S839" t="s">
        <v>1789</v>
      </c>
      <c r="T839">
        <v>233.8</v>
      </c>
    </row>
    <row r="840" spans="1:20" x14ac:dyDescent="0.25">
      <c r="A840" t="s">
        <v>14</v>
      </c>
      <c r="B840" t="s">
        <v>1786</v>
      </c>
      <c r="C840" t="s">
        <v>4418</v>
      </c>
      <c r="D840" t="s">
        <v>4368</v>
      </c>
      <c r="E840">
        <v>47300025690</v>
      </c>
      <c r="F840" t="s">
        <v>35</v>
      </c>
      <c r="G840" t="s">
        <v>36</v>
      </c>
      <c r="H840" t="s">
        <v>37</v>
      </c>
      <c r="K840" t="s">
        <v>3766</v>
      </c>
      <c r="L840" t="s">
        <v>19</v>
      </c>
      <c r="M840" t="s">
        <v>20</v>
      </c>
      <c r="P840">
        <v>50000</v>
      </c>
      <c r="Q840">
        <v>50000</v>
      </c>
      <c r="R840" t="s">
        <v>3784</v>
      </c>
      <c r="S840" t="s">
        <v>1787</v>
      </c>
      <c r="T840">
        <v>116.9</v>
      </c>
    </row>
    <row r="841" spans="1:20" x14ac:dyDescent="0.25">
      <c r="A841" t="s">
        <v>14</v>
      </c>
      <c r="B841" t="s">
        <v>1784</v>
      </c>
      <c r="C841" t="s">
        <v>4419</v>
      </c>
      <c r="D841" t="s">
        <v>4368</v>
      </c>
      <c r="E841">
        <v>47300025708</v>
      </c>
      <c r="F841" t="s">
        <v>35</v>
      </c>
      <c r="G841" t="s">
        <v>36</v>
      </c>
      <c r="H841" t="s">
        <v>4360</v>
      </c>
      <c r="K841" t="s">
        <v>3766</v>
      </c>
      <c r="L841" t="s">
        <v>19</v>
      </c>
      <c r="M841" t="s">
        <v>20</v>
      </c>
      <c r="P841">
        <v>50000</v>
      </c>
      <c r="Q841">
        <v>50000</v>
      </c>
      <c r="R841" t="s">
        <v>3785</v>
      </c>
      <c r="S841" t="s">
        <v>1785</v>
      </c>
      <c r="T841">
        <v>116.8</v>
      </c>
    </row>
    <row r="842" spans="1:20" x14ac:dyDescent="0.25">
      <c r="A842" t="s">
        <v>14</v>
      </c>
      <c r="B842" t="s">
        <v>1782</v>
      </c>
      <c r="C842" t="s">
        <v>4409</v>
      </c>
      <c r="D842" t="s">
        <v>4410</v>
      </c>
      <c r="E842">
        <v>47300026185</v>
      </c>
      <c r="F842" t="s">
        <v>35</v>
      </c>
      <c r="G842" t="s">
        <v>36</v>
      </c>
      <c r="H842" t="s">
        <v>4361</v>
      </c>
      <c r="K842" t="s">
        <v>3766</v>
      </c>
      <c r="L842" t="s">
        <v>19</v>
      </c>
      <c r="M842" t="s">
        <v>20</v>
      </c>
      <c r="P842">
        <v>50000</v>
      </c>
      <c r="Q842">
        <v>50000</v>
      </c>
      <c r="R842" t="s">
        <v>3786</v>
      </c>
      <c r="S842" t="s">
        <v>1783</v>
      </c>
      <c r="T842">
        <v>116.9</v>
      </c>
    </row>
    <row r="843" spans="1:20" x14ac:dyDescent="0.25">
      <c r="A843" t="s">
        <v>14</v>
      </c>
      <c r="B843" t="s">
        <v>1780</v>
      </c>
      <c r="C843" t="s">
        <v>4371</v>
      </c>
      <c r="D843" t="s">
        <v>4368</v>
      </c>
      <c r="E843">
        <v>47300020147</v>
      </c>
      <c r="F843" t="s">
        <v>35</v>
      </c>
      <c r="G843" t="s">
        <v>36</v>
      </c>
      <c r="H843" t="s">
        <v>4363</v>
      </c>
      <c r="K843" t="s">
        <v>3766</v>
      </c>
      <c r="L843" t="s">
        <v>19</v>
      </c>
      <c r="M843" t="s">
        <v>20</v>
      </c>
      <c r="P843">
        <v>50000</v>
      </c>
      <c r="Q843">
        <v>50000</v>
      </c>
      <c r="R843" t="s">
        <v>3787</v>
      </c>
      <c r="S843" t="s">
        <v>1781</v>
      </c>
      <c r="T843">
        <v>116.9</v>
      </c>
    </row>
    <row r="844" spans="1:20" x14ac:dyDescent="0.25">
      <c r="A844" t="s">
        <v>14</v>
      </c>
      <c r="B844" t="s">
        <v>1778</v>
      </c>
      <c r="C844" t="s">
        <v>4386</v>
      </c>
      <c r="D844" t="s">
        <v>4368</v>
      </c>
      <c r="E844">
        <v>47300012151</v>
      </c>
      <c r="F844" t="s">
        <v>35</v>
      </c>
      <c r="G844" t="s">
        <v>36</v>
      </c>
      <c r="H844" t="s">
        <v>4362</v>
      </c>
      <c r="K844" t="s">
        <v>3766</v>
      </c>
      <c r="L844" t="s">
        <v>19</v>
      </c>
      <c r="M844" t="s">
        <v>20</v>
      </c>
      <c r="P844">
        <v>50000</v>
      </c>
      <c r="Q844">
        <v>50000</v>
      </c>
      <c r="R844" t="s">
        <v>3788</v>
      </c>
      <c r="S844" t="s">
        <v>1779</v>
      </c>
      <c r="T844">
        <v>116.9</v>
      </c>
    </row>
    <row r="845" spans="1:20" x14ac:dyDescent="0.25">
      <c r="A845" t="s">
        <v>14</v>
      </c>
      <c r="B845" t="s">
        <v>1776</v>
      </c>
      <c r="C845" t="s">
        <v>4367</v>
      </c>
      <c r="D845" t="s">
        <v>4368</v>
      </c>
      <c r="E845">
        <v>47300046258</v>
      </c>
      <c r="F845" t="s">
        <v>16</v>
      </c>
      <c r="G845" t="s">
        <v>28</v>
      </c>
      <c r="H845" t="s">
        <v>160</v>
      </c>
      <c r="K845" t="s">
        <v>3766</v>
      </c>
      <c r="L845" t="s">
        <v>19</v>
      </c>
      <c r="M845" t="s">
        <v>20</v>
      </c>
      <c r="P845">
        <v>30000</v>
      </c>
      <c r="Q845">
        <v>30000</v>
      </c>
      <c r="R845" t="s">
        <v>3789</v>
      </c>
      <c r="S845" t="s">
        <v>1777</v>
      </c>
      <c r="T845">
        <v>70.099999999999994</v>
      </c>
    </row>
    <row r="846" spans="1:20" x14ac:dyDescent="0.25">
      <c r="A846" t="s">
        <v>14</v>
      </c>
      <c r="B846" t="s">
        <v>1774</v>
      </c>
      <c r="C846" t="s">
        <v>4414</v>
      </c>
      <c r="D846" t="s">
        <v>4401</v>
      </c>
      <c r="E846">
        <v>47300047066</v>
      </c>
      <c r="F846" t="s">
        <v>16</v>
      </c>
      <c r="G846" t="s">
        <v>28</v>
      </c>
      <c r="H846" t="s">
        <v>57</v>
      </c>
      <c r="K846" t="s">
        <v>3766</v>
      </c>
      <c r="L846" t="s">
        <v>19</v>
      </c>
      <c r="M846" t="s">
        <v>20</v>
      </c>
      <c r="P846">
        <v>123000</v>
      </c>
      <c r="Q846">
        <v>123000</v>
      </c>
      <c r="R846" t="s">
        <v>3790</v>
      </c>
      <c r="S846" t="s">
        <v>1775</v>
      </c>
      <c r="T846">
        <v>287.5</v>
      </c>
    </row>
    <row r="847" spans="1:20" x14ac:dyDescent="0.25">
      <c r="A847" t="s">
        <v>14</v>
      </c>
      <c r="B847" t="s">
        <v>1772</v>
      </c>
      <c r="C847" t="s">
        <v>4387</v>
      </c>
      <c r="D847" t="s">
        <v>4388</v>
      </c>
      <c r="E847">
        <v>47300046761</v>
      </c>
      <c r="F847" t="s">
        <v>42</v>
      </c>
      <c r="G847" t="s">
        <v>28</v>
      </c>
      <c r="H847" t="s">
        <v>43</v>
      </c>
      <c r="K847" t="s">
        <v>3766</v>
      </c>
      <c r="L847" t="s">
        <v>19</v>
      </c>
      <c r="M847" t="s">
        <v>20</v>
      </c>
      <c r="P847">
        <v>35000</v>
      </c>
      <c r="Q847">
        <v>35000</v>
      </c>
      <c r="R847" t="s">
        <v>3791</v>
      </c>
      <c r="S847" t="s">
        <v>1773</v>
      </c>
      <c r="T847">
        <v>81.8</v>
      </c>
    </row>
    <row r="848" spans="1:20" x14ac:dyDescent="0.25">
      <c r="A848" t="s">
        <v>14</v>
      </c>
      <c r="B848" t="s">
        <v>1770</v>
      </c>
      <c r="C848" t="s">
        <v>4382</v>
      </c>
      <c r="D848" t="s">
        <v>4383</v>
      </c>
      <c r="E848">
        <v>47300046746</v>
      </c>
      <c r="F848" t="s">
        <v>16</v>
      </c>
      <c r="G848" t="s">
        <v>28</v>
      </c>
      <c r="H848" t="s">
        <v>32</v>
      </c>
      <c r="K848" t="s">
        <v>3766</v>
      </c>
      <c r="L848" t="s">
        <v>19</v>
      </c>
      <c r="M848" t="s">
        <v>20</v>
      </c>
      <c r="P848">
        <v>15000</v>
      </c>
      <c r="Q848">
        <v>15000</v>
      </c>
      <c r="R848" t="s">
        <v>3792</v>
      </c>
      <c r="S848" t="s">
        <v>1771</v>
      </c>
      <c r="T848">
        <v>35.1</v>
      </c>
    </row>
    <row r="849" spans="1:20" x14ac:dyDescent="0.25">
      <c r="A849" t="s">
        <v>14</v>
      </c>
      <c r="B849" t="s">
        <v>1768</v>
      </c>
      <c r="C849" t="s">
        <v>4380</v>
      </c>
      <c r="D849" t="s">
        <v>4381</v>
      </c>
      <c r="E849">
        <v>47300046720</v>
      </c>
      <c r="F849" t="s">
        <v>16</v>
      </c>
      <c r="G849" t="s">
        <v>28</v>
      </c>
      <c r="H849" t="s">
        <v>143</v>
      </c>
      <c r="K849" t="s">
        <v>3766</v>
      </c>
      <c r="L849" t="s">
        <v>19</v>
      </c>
      <c r="M849" t="s">
        <v>20</v>
      </c>
      <c r="P849">
        <v>50000</v>
      </c>
      <c r="Q849">
        <v>50000</v>
      </c>
      <c r="R849" t="s">
        <v>3793</v>
      </c>
      <c r="S849" t="s">
        <v>1769</v>
      </c>
      <c r="T849">
        <v>116.9</v>
      </c>
    </row>
    <row r="850" spans="1:20" x14ac:dyDescent="0.25">
      <c r="A850" t="s">
        <v>14</v>
      </c>
      <c r="B850" t="s">
        <v>1767</v>
      </c>
      <c r="C850" t="s">
        <v>4405</v>
      </c>
      <c r="D850" t="s">
        <v>4390</v>
      </c>
      <c r="E850">
        <v>47300046977</v>
      </c>
      <c r="F850" t="s">
        <v>16</v>
      </c>
      <c r="G850" t="s">
        <v>17</v>
      </c>
      <c r="H850" t="s">
        <v>175</v>
      </c>
      <c r="K850" t="s">
        <v>3294</v>
      </c>
      <c r="L850" t="s">
        <v>19</v>
      </c>
      <c r="M850" t="s">
        <v>46</v>
      </c>
      <c r="N850" s="2">
        <v>45413</v>
      </c>
      <c r="O850" s="2">
        <v>45443</v>
      </c>
      <c r="P850">
        <v>500</v>
      </c>
      <c r="Q850">
        <v>500</v>
      </c>
      <c r="R850" t="s">
        <v>3001</v>
      </c>
    </row>
    <row r="851" spans="1:20" x14ac:dyDescent="0.25">
      <c r="A851" t="s">
        <v>14</v>
      </c>
      <c r="B851" t="s">
        <v>1767</v>
      </c>
      <c r="C851" t="s">
        <v>4384</v>
      </c>
      <c r="D851" t="s">
        <v>4391</v>
      </c>
      <c r="E851">
        <v>47300046977</v>
      </c>
      <c r="F851" t="s">
        <v>16</v>
      </c>
      <c r="G851" t="s">
        <v>17</v>
      </c>
      <c r="H851" t="s">
        <v>175</v>
      </c>
      <c r="K851" t="s">
        <v>3197</v>
      </c>
      <c r="L851" t="s">
        <v>19</v>
      </c>
      <c r="M851" t="s">
        <v>46</v>
      </c>
      <c r="N851" s="2">
        <v>45413</v>
      </c>
      <c r="O851" s="2">
        <v>45443</v>
      </c>
      <c r="P851">
        <v>145500</v>
      </c>
      <c r="Q851">
        <v>145500</v>
      </c>
      <c r="R851" t="s">
        <v>3001</v>
      </c>
    </row>
    <row r="852" spans="1:20" x14ac:dyDescent="0.25">
      <c r="A852" t="s">
        <v>14</v>
      </c>
      <c r="B852" t="s">
        <v>1767</v>
      </c>
      <c r="C852" t="s">
        <v>4380</v>
      </c>
      <c r="D852" t="s">
        <v>4381</v>
      </c>
      <c r="E852">
        <v>47300046977</v>
      </c>
      <c r="F852" t="s">
        <v>16</v>
      </c>
      <c r="G852" t="s">
        <v>17</v>
      </c>
      <c r="H852" t="s">
        <v>175</v>
      </c>
      <c r="K852" t="s">
        <v>2892</v>
      </c>
      <c r="L852" t="s">
        <v>19</v>
      </c>
      <c r="M852" t="s">
        <v>46</v>
      </c>
      <c r="N852" s="2">
        <v>45413</v>
      </c>
      <c r="O852" s="2">
        <v>45443</v>
      </c>
      <c r="P852">
        <v>10000</v>
      </c>
      <c r="Q852">
        <v>10000</v>
      </c>
      <c r="R852" t="s">
        <v>3001</v>
      </c>
    </row>
    <row r="853" spans="1:20" x14ac:dyDescent="0.25">
      <c r="A853" t="s">
        <v>14</v>
      </c>
      <c r="B853" t="s">
        <v>1765</v>
      </c>
      <c r="C853" t="s">
        <v>4369</v>
      </c>
      <c r="D853" t="s">
        <v>4370</v>
      </c>
      <c r="E853">
        <v>47300070605</v>
      </c>
      <c r="F853" t="s">
        <v>16</v>
      </c>
      <c r="G853" t="s">
        <v>28</v>
      </c>
      <c r="H853" t="s">
        <v>178</v>
      </c>
      <c r="K853" t="s">
        <v>4266</v>
      </c>
      <c r="L853" t="s">
        <v>19</v>
      </c>
      <c r="M853" t="s">
        <v>63</v>
      </c>
      <c r="N853" s="2">
        <v>45413</v>
      </c>
      <c r="O853" s="2">
        <v>45443</v>
      </c>
      <c r="P853">
        <v>20000</v>
      </c>
      <c r="Q853">
        <v>20000</v>
      </c>
      <c r="R853" t="s">
        <v>3002</v>
      </c>
      <c r="S853" t="s">
        <v>1766</v>
      </c>
      <c r="T853">
        <v>46.8</v>
      </c>
    </row>
    <row r="854" spans="1:20" x14ac:dyDescent="0.25">
      <c r="A854" t="s">
        <v>14</v>
      </c>
      <c r="B854" t="s">
        <v>1765</v>
      </c>
      <c r="C854" t="s">
        <v>4378</v>
      </c>
      <c r="D854" t="s">
        <v>4379</v>
      </c>
      <c r="E854">
        <v>47300070605</v>
      </c>
      <c r="F854" t="s">
        <v>16</v>
      </c>
      <c r="G854" t="s">
        <v>28</v>
      </c>
      <c r="H854" t="s">
        <v>178</v>
      </c>
      <c r="K854" t="s">
        <v>3294</v>
      </c>
      <c r="L854" t="s">
        <v>19</v>
      </c>
      <c r="M854" t="s">
        <v>46</v>
      </c>
      <c r="N854" s="2">
        <v>45413</v>
      </c>
      <c r="O854" s="2">
        <v>45443</v>
      </c>
      <c r="P854">
        <v>500</v>
      </c>
      <c r="Q854">
        <v>500</v>
      </c>
      <c r="R854" t="s">
        <v>3002</v>
      </c>
    </row>
    <row r="855" spans="1:20" x14ac:dyDescent="0.25">
      <c r="A855" t="s">
        <v>14</v>
      </c>
      <c r="B855" t="s">
        <v>1765</v>
      </c>
      <c r="C855" t="s">
        <v>4411</v>
      </c>
      <c r="D855" t="s">
        <v>3275</v>
      </c>
      <c r="E855">
        <v>47300070605</v>
      </c>
      <c r="F855" t="s">
        <v>16</v>
      </c>
      <c r="G855" t="s">
        <v>28</v>
      </c>
      <c r="H855" t="s">
        <v>178</v>
      </c>
      <c r="K855" t="s">
        <v>3197</v>
      </c>
      <c r="L855" t="s">
        <v>19</v>
      </c>
      <c r="M855" t="s">
        <v>46</v>
      </c>
      <c r="N855" s="2">
        <v>45413</v>
      </c>
      <c r="O855" s="2">
        <v>45443</v>
      </c>
      <c r="P855">
        <v>145500</v>
      </c>
      <c r="Q855">
        <v>145500</v>
      </c>
      <c r="R855" t="s">
        <v>3002</v>
      </c>
    </row>
    <row r="856" spans="1:20" x14ac:dyDescent="0.25">
      <c r="A856" t="s">
        <v>14</v>
      </c>
      <c r="B856" t="s">
        <v>1765</v>
      </c>
      <c r="C856" t="s">
        <v>4420</v>
      </c>
      <c r="D856" t="s">
        <v>4394</v>
      </c>
      <c r="E856">
        <v>47300070605</v>
      </c>
      <c r="F856" t="s">
        <v>16</v>
      </c>
      <c r="G856" t="s">
        <v>28</v>
      </c>
      <c r="H856" t="s">
        <v>178</v>
      </c>
      <c r="K856" t="s">
        <v>2892</v>
      </c>
      <c r="L856" t="s">
        <v>19</v>
      </c>
      <c r="M856" t="s">
        <v>46</v>
      </c>
      <c r="N856" s="2">
        <v>45413</v>
      </c>
      <c r="O856" s="2">
        <v>45443</v>
      </c>
      <c r="P856">
        <v>10000</v>
      </c>
      <c r="Q856">
        <v>10000</v>
      </c>
      <c r="R856" t="s">
        <v>3002</v>
      </c>
    </row>
    <row r="857" spans="1:20" x14ac:dyDescent="0.25">
      <c r="A857" t="s">
        <v>14</v>
      </c>
      <c r="B857" t="s">
        <v>1763</v>
      </c>
      <c r="C857" t="s">
        <v>4389</v>
      </c>
      <c r="D857" t="s">
        <v>4375</v>
      </c>
      <c r="E857">
        <v>47300070514</v>
      </c>
      <c r="F857" t="s">
        <v>27</v>
      </c>
      <c r="G857" t="s">
        <v>28</v>
      </c>
      <c r="H857" t="s">
        <v>29</v>
      </c>
      <c r="K857" t="s">
        <v>3795</v>
      </c>
      <c r="L857" t="s">
        <v>19</v>
      </c>
      <c r="M857" t="s">
        <v>20</v>
      </c>
      <c r="P857">
        <v>80000</v>
      </c>
      <c r="Q857">
        <v>80000</v>
      </c>
      <c r="R857" t="s">
        <v>3794</v>
      </c>
      <c r="S857" t="s">
        <v>1764</v>
      </c>
      <c r="T857">
        <v>187</v>
      </c>
    </row>
    <row r="858" spans="1:20" x14ac:dyDescent="0.25">
      <c r="A858" t="s">
        <v>14</v>
      </c>
      <c r="B858" t="s">
        <v>1761</v>
      </c>
      <c r="C858" t="s">
        <v>4405</v>
      </c>
      <c r="D858" t="s">
        <v>4390</v>
      </c>
      <c r="E858">
        <v>47300046191</v>
      </c>
      <c r="F858" t="s">
        <v>16</v>
      </c>
      <c r="G858" t="s">
        <v>28</v>
      </c>
      <c r="H858" t="s">
        <v>119</v>
      </c>
      <c r="I858" t="s">
        <v>2799</v>
      </c>
      <c r="J858">
        <v>8033011626</v>
      </c>
      <c r="K858" t="s">
        <v>3795</v>
      </c>
      <c r="L858" t="s">
        <v>19</v>
      </c>
      <c r="M858" t="s">
        <v>20</v>
      </c>
      <c r="P858">
        <v>14000</v>
      </c>
      <c r="Q858">
        <v>14000</v>
      </c>
      <c r="R858" t="s">
        <v>3796</v>
      </c>
      <c r="S858" t="s">
        <v>1762</v>
      </c>
      <c r="T858">
        <v>32.700000000000003</v>
      </c>
    </row>
    <row r="859" spans="1:20" x14ac:dyDescent="0.25">
      <c r="A859" t="s">
        <v>14</v>
      </c>
      <c r="B859" t="s">
        <v>1759</v>
      </c>
      <c r="C859" t="s">
        <v>4376</v>
      </c>
      <c r="D859" t="s">
        <v>4377</v>
      </c>
      <c r="E859">
        <v>47300088318</v>
      </c>
      <c r="F859" t="s">
        <v>35</v>
      </c>
      <c r="G859" t="s">
        <v>36</v>
      </c>
      <c r="H859" t="s">
        <v>1126</v>
      </c>
      <c r="K859" t="s">
        <v>3795</v>
      </c>
      <c r="L859" t="s">
        <v>19</v>
      </c>
      <c r="M859" t="s">
        <v>20</v>
      </c>
      <c r="P859">
        <v>99000</v>
      </c>
      <c r="Q859">
        <v>99000</v>
      </c>
      <c r="R859" t="s">
        <v>3797</v>
      </c>
      <c r="S859" t="s">
        <v>1760</v>
      </c>
      <c r="T859">
        <v>231.4</v>
      </c>
    </row>
    <row r="860" spans="1:20" x14ac:dyDescent="0.25">
      <c r="A860" t="s">
        <v>14</v>
      </c>
      <c r="B860" t="s">
        <v>1757</v>
      </c>
      <c r="C860" t="s">
        <v>4380</v>
      </c>
      <c r="D860" t="s">
        <v>4381</v>
      </c>
      <c r="E860">
        <v>47300046399</v>
      </c>
      <c r="F860" t="s">
        <v>16</v>
      </c>
      <c r="G860" t="s">
        <v>28</v>
      </c>
      <c r="H860" t="s">
        <v>122</v>
      </c>
      <c r="K860" t="s">
        <v>3795</v>
      </c>
      <c r="L860" t="s">
        <v>19</v>
      </c>
      <c r="M860" t="s">
        <v>20</v>
      </c>
      <c r="P860">
        <v>40000</v>
      </c>
      <c r="Q860">
        <v>40000</v>
      </c>
      <c r="R860" t="s">
        <v>3798</v>
      </c>
      <c r="S860" t="s">
        <v>1758</v>
      </c>
      <c r="T860">
        <v>93.4</v>
      </c>
    </row>
    <row r="861" spans="1:20" x14ac:dyDescent="0.25">
      <c r="A861" t="s">
        <v>14</v>
      </c>
      <c r="B861" t="s">
        <v>1755</v>
      </c>
      <c r="C861" t="s">
        <v>4405</v>
      </c>
      <c r="D861" t="s">
        <v>4390</v>
      </c>
      <c r="E861">
        <v>47300086445</v>
      </c>
      <c r="F861" t="s">
        <v>16</v>
      </c>
      <c r="G861" t="s">
        <v>28</v>
      </c>
      <c r="H861" t="s">
        <v>187</v>
      </c>
      <c r="I861" t="s">
        <v>2777</v>
      </c>
      <c r="J861" t="s">
        <v>2776</v>
      </c>
      <c r="K861" t="s">
        <v>3795</v>
      </c>
      <c r="L861" t="s">
        <v>19</v>
      </c>
      <c r="M861" t="s">
        <v>20</v>
      </c>
      <c r="P861">
        <v>23000</v>
      </c>
      <c r="Q861">
        <v>23000</v>
      </c>
      <c r="R861" t="s">
        <v>3799</v>
      </c>
      <c r="S861" t="s">
        <v>1756</v>
      </c>
      <c r="T861">
        <v>53.8</v>
      </c>
    </row>
    <row r="862" spans="1:20" x14ac:dyDescent="0.25">
      <c r="A862" t="s">
        <v>14</v>
      </c>
      <c r="B862" t="s">
        <v>1754</v>
      </c>
      <c r="C862" t="s">
        <v>4384</v>
      </c>
      <c r="D862" t="s">
        <v>4391</v>
      </c>
      <c r="E862">
        <v>47300046605</v>
      </c>
      <c r="F862" t="s">
        <v>16</v>
      </c>
      <c r="G862" t="s">
        <v>17</v>
      </c>
      <c r="H862" t="s">
        <v>49</v>
      </c>
      <c r="K862" t="s">
        <v>3197</v>
      </c>
      <c r="L862" t="s">
        <v>19</v>
      </c>
      <c r="M862" t="s">
        <v>46</v>
      </c>
      <c r="N862" s="2">
        <v>45413</v>
      </c>
      <c r="O862" s="2">
        <v>45443</v>
      </c>
      <c r="P862">
        <v>145500</v>
      </c>
      <c r="Q862">
        <v>145500</v>
      </c>
      <c r="R862" t="s">
        <v>3208</v>
      </c>
    </row>
    <row r="863" spans="1:20" x14ac:dyDescent="0.25">
      <c r="A863" t="s">
        <v>14</v>
      </c>
      <c r="B863" t="s">
        <v>1753</v>
      </c>
      <c r="C863" t="s">
        <v>4402</v>
      </c>
      <c r="D863" t="s">
        <v>4403</v>
      </c>
      <c r="E863">
        <v>47300046605</v>
      </c>
      <c r="F863" t="s">
        <v>16</v>
      </c>
      <c r="G863" t="s">
        <v>17</v>
      </c>
      <c r="H863" t="s">
        <v>49</v>
      </c>
      <c r="K863" t="s">
        <v>3294</v>
      </c>
      <c r="L863" t="s">
        <v>19</v>
      </c>
      <c r="M863" t="s">
        <v>46</v>
      </c>
      <c r="N863" s="2">
        <v>45413</v>
      </c>
      <c r="O863" s="2">
        <v>45443</v>
      </c>
      <c r="P863">
        <v>500</v>
      </c>
      <c r="Q863">
        <v>500</v>
      </c>
      <c r="R863" t="s">
        <v>3396</v>
      </c>
    </row>
    <row r="864" spans="1:20" x14ac:dyDescent="0.25">
      <c r="A864" t="s">
        <v>14</v>
      </c>
      <c r="B864" t="s">
        <v>1751</v>
      </c>
      <c r="C864" t="s">
        <v>4405</v>
      </c>
      <c r="D864" t="s">
        <v>4390</v>
      </c>
      <c r="E864">
        <v>47300046605</v>
      </c>
      <c r="F864" t="s">
        <v>16</v>
      </c>
      <c r="G864" t="s">
        <v>17</v>
      </c>
      <c r="H864" t="s">
        <v>49</v>
      </c>
      <c r="K864" t="s">
        <v>4266</v>
      </c>
      <c r="L864" t="s">
        <v>19</v>
      </c>
      <c r="M864" t="s">
        <v>63</v>
      </c>
      <c r="N864" s="2">
        <v>45413</v>
      </c>
      <c r="O864" s="2">
        <v>45443</v>
      </c>
      <c r="P864">
        <v>90000</v>
      </c>
      <c r="Q864">
        <v>90000</v>
      </c>
      <c r="R864" t="s">
        <v>4267</v>
      </c>
      <c r="S864" t="s">
        <v>1752</v>
      </c>
      <c r="T864">
        <v>210.3</v>
      </c>
    </row>
    <row r="865" spans="1:20" x14ac:dyDescent="0.25">
      <c r="A865" t="s">
        <v>14</v>
      </c>
      <c r="B865" t="s">
        <v>1750</v>
      </c>
      <c r="C865" t="s">
        <v>4384</v>
      </c>
      <c r="D865" t="s">
        <v>4391</v>
      </c>
      <c r="E865">
        <v>47300070845</v>
      </c>
      <c r="F865" t="s">
        <v>16</v>
      </c>
      <c r="G865" t="s">
        <v>23</v>
      </c>
      <c r="H865" t="s">
        <v>157</v>
      </c>
      <c r="K865" t="s">
        <v>2892</v>
      </c>
      <c r="L865" t="s">
        <v>19</v>
      </c>
      <c r="M865" t="s">
        <v>46</v>
      </c>
      <c r="N865" s="2">
        <v>45413</v>
      </c>
      <c r="O865" s="2">
        <v>45443</v>
      </c>
      <c r="P865">
        <v>10000</v>
      </c>
      <c r="Q865">
        <v>10000</v>
      </c>
      <c r="R865" t="s">
        <v>3003</v>
      </c>
    </row>
    <row r="866" spans="1:20" x14ac:dyDescent="0.25">
      <c r="A866" t="s">
        <v>14</v>
      </c>
      <c r="B866" t="s">
        <v>1748</v>
      </c>
      <c r="C866" t="s">
        <v>4413</v>
      </c>
      <c r="D866" t="s">
        <v>4395</v>
      </c>
      <c r="E866">
        <v>47300070555</v>
      </c>
      <c r="F866" t="s">
        <v>35</v>
      </c>
      <c r="G866" t="s">
        <v>35</v>
      </c>
      <c r="H866" t="s">
        <v>116</v>
      </c>
      <c r="K866" t="s">
        <v>3795</v>
      </c>
      <c r="L866" t="s">
        <v>19</v>
      </c>
      <c r="M866" t="s">
        <v>20</v>
      </c>
      <c r="P866">
        <v>20000</v>
      </c>
      <c r="Q866">
        <v>20000</v>
      </c>
      <c r="R866" t="s">
        <v>3800</v>
      </c>
      <c r="S866" t="s">
        <v>1749</v>
      </c>
      <c r="T866">
        <v>46.7</v>
      </c>
    </row>
    <row r="867" spans="1:20" x14ac:dyDescent="0.25">
      <c r="A867" t="s">
        <v>14</v>
      </c>
      <c r="B867" t="s">
        <v>1747</v>
      </c>
      <c r="C867" t="s">
        <v>4394</v>
      </c>
      <c r="D867" t="s">
        <v>4395</v>
      </c>
      <c r="E867">
        <v>47300070548</v>
      </c>
      <c r="F867" t="s">
        <v>27</v>
      </c>
      <c r="G867" t="s">
        <v>17</v>
      </c>
      <c r="H867" t="s">
        <v>51</v>
      </c>
      <c r="K867" t="s">
        <v>3294</v>
      </c>
      <c r="L867" t="s">
        <v>19</v>
      </c>
      <c r="M867" t="s">
        <v>46</v>
      </c>
      <c r="N867" s="2">
        <v>45413</v>
      </c>
      <c r="O867" s="2">
        <v>45443</v>
      </c>
      <c r="P867">
        <v>500</v>
      </c>
      <c r="Q867">
        <v>500</v>
      </c>
      <c r="R867" t="s">
        <v>3209</v>
      </c>
    </row>
    <row r="868" spans="1:20" x14ac:dyDescent="0.25">
      <c r="A868" t="s">
        <v>14</v>
      </c>
      <c r="B868" t="s">
        <v>1747</v>
      </c>
      <c r="C868" t="s">
        <v>4413</v>
      </c>
      <c r="D868" t="s">
        <v>4395</v>
      </c>
      <c r="E868">
        <v>47300070548</v>
      </c>
      <c r="F868" t="s">
        <v>27</v>
      </c>
      <c r="G868" t="s">
        <v>17</v>
      </c>
      <c r="H868" t="s">
        <v>51</v>
      </c>
      <c r="K868" t="s">
        <v>3197</v>
      </c>
      <c r="L868" t="s">
        <v>19</v>
      </c>
      <c r="M868" t="s">
        <v>46</v>
      </c>
      <c r="N868" s="2">
        <v>45413</v>
      </c>
      <c r="O868" s="2">
        <v>45443</v>
      </c>
      <c r="P868">
        <v>145500</v>
      </c>
      <c r="Q868">
        <v>145500</v>
      </c>
      <c r="R868" t="s">
        <v>3209</v>
      </c>
    </row>
    <row r="869" spans="1:20" x14ac:dyDescent="0.25">
      <c r="A869" t="s">
        <v>14</v>
      </c>
      <c r="B869" t="s">
        <v>1745</v>
      </c>
      <c r="C869" t="s">
        <v>4413</v>
      </c>
      <c r="D869" t="s">
        <v>4395</v>
      </c>
      <c r="E869">
        <v>47300070548</v>
      </c>
      <c r="F869" t="s">
        <v>27</v>
      </c>
      <c r="G869" t="s">
        <v>17</v>
      </c>
      <c r="H869" t="s">
        <v>51</v>
      </c>
      <c r="K869" t="s">
        <v>4266</v>
      </c>
      <c r="L869" t="s">
        <v>19</v>
      </c>
      <c r="M869" t="s">
        <v>63</v>
      </c>
      <c r="N869" s="2">
        <v>45413</v>
      </c>
      <c r="O869" s="2">
        <v>45443</v>
      </c>
      <c r="P869">
        <v>250000</v>
      </c>
      <c r="Q869">
        <v>250000</v>
      </c>
      <c r="R869" t="s">
        <v>4268</v>
      </c>
      <c r="S869" t="s">
        <v>1746</v>
      </c>
      <c r="T869">
        <v>584.20000000000005</v>
      </c>
    </row>
    <row r="870" spans="1:20" x14ac:dyDescent="0.25">
      <c r="A870" t="s">
        <v>14</v>
      </c>
      <c r="B870" t="s">
        <v>1743</v>
      </c>
      <c r="C870" t="s">
        <v>3300</v>
      </c>
      <c r="D870" t="s">
        <v>3299</v>
      </c>
      <c r="E870">
        <v>47300070548</v>
      </c>
      <c r="F870" t="s">
        <v>27</v>
      </c>
      <c r="G870" t="s">
        <v>17</v>
      </c>
      <c r="H870" t="s">
        <v>51</v>
      </c>
      <c r="K870" t="s">
        <v>3795</v>
      </c>
      <c r="L870" t="s">
        <v>19</v>
      </c>
      <c r="M870" t="s">
        <v>20</v>
      </c>
      <c r="P870">
        <v>250000</v>
      </c>
      <c r="Q870">
        <v>250000</v>
      </c>
      <c r="R870" t="s">
        <v>3801</v>
      </c>
      <c r="S870" t="s">
        <v>1744</v>
      </c>
      <c r="T870">
        <v>584.29999999999995</v>
      </c>
    </row>
    <row r="871" spans="1:20" x14ac:dyDescent="0.25">
      <c r="A871" t="s">
        <v>14</v>
      </c>
      <c r="B871" t="s">
        <v>1741</v>
      </c>
      <c r="C871" t="s">
        <v>4413</v>
      </c>
      <c r="D871" t="s">
        <v>4395</v>
      </c>
      <c r="E871">
        <v>47300046241</v>
      </c>
      <c r="F871" t="s">
        <v>16</v>
      </c>
      <c r="G871" t="s">
        <v>23</v>
      </c>
      <c r="H871" t="s">
        <v>24</v>
      </c>
      <c r="I871" t="s">
        <v>2754</v>
      </c>
      <c r="J871">
        <v>0</v>
      </c>
      <c r="K871" t="s">
        <v>3795</v>
      </c>
      <c r="L871" t="s">
        <v>19</v>
      </c>
      <c r="M871" t="s">
        <v>20</v>
      </c>
      <c r="P871">
        <v>20000</v>
      </c>
      <c r="Q871">
        <v>20000</v>
      </c>
      <c r="R871" t="s">
        <v>2839</v>
      </c>
      <c r="S871" t="s">
        <v>1742</v>
      </c>
      <c r="T871">
        <v>46.8</v>
      </c>
    </row>
    <row r="872" spans="1:20" x14ac:dyDescent="0.25">
      <c r="A872" t="s">
        <v>14</v>
      </c>
      <c r="B872" t="s">
        <v>1741</v>
      </c>
      <c r="C872" t="s">
        <v>4394</v>
      </c>
      <c r="D872" t="s">
        <v>4395</v>
      </c>
      <c r="E872">
        <v>47300046241</v>
      </c>
      <c r="F872" t="s">
        <v>16</v>
      </c>
      <c r="G872" t="s">
        <v>23</v>
      </c>
      <c r="H872" t="s">
        <v>24</v>
      </c>
      <c r="I872" t="s">
        <v>2754</v>
      </c>
      <c r="J872">
        <v>0</v>
      </c>
      <c r="K872" t="s">
        <v>2840</v>
      </c>
      <c r="L872" t="s">
        <v>47</v>
      </c>
      <c r="N872" s="2">
        <v>45433</v>
      </c>
      <c r="O872" s="2">
        <v>45432</v>
      </c>
      <c r="P872">
        <v>145500</v>
      </c>
      <c r="Q872">
        <v>145500</v>
      </c>
      <c r="R872" t="s">
        <v>2839</v>
      </c>
    </row>
    <row r="873" spans="1:20" x14ac:dyDescent="0.25">
      <c r="A873" t="s">
        <v>14</v>
      </c>
      <c r="B873" t="s">
        <v>1739</v>
      </c>
      <c r="C873" t="s">
        <v>4402</v>
      </c>
      <c r="D873" t="s">
        <v>4379</v>
      </c>
      <c r="E873">
        <v>47300070597</v>
      </c>
      <c r="F873" t="s">
        <v>16</v>
      </c>
      <c r="G873" t="s">
        <v>28</v>
      </c>
      <c r="H873" t="s">
        <v>77</v>
      </c>
      <c r="K873" t="s">
        <v>4266</v>
      </c>
      <c r="L873" t="s">
        <v>19</v>
      </c>
      <c r="M873" t="s">
        <v>63</v>
      </c>
      <c r="N873" s="2">
        <v>45413</v>
      </c>
      <c r="O873" s="2">
        <v>45443</v>
      </c>
      <c r="P873">
        <v>100000</v>
      </c>
      <c r="Q873">
        <v>100000</v>
      </c>
      <c r="R873" t="s">
        <v>3004</v>
      </c>
      <c r="S873" t="s">
        <v>1740</v>
      </c>
      <c r="T873">
        <v>233.7</v>
      </c>
    </row>
    <row r="874" spans="1:20" x14ac:dyDescent="0.25">
      <c r="A874" t="s">
        <v>14</v>
      </c>
      <c r="B874" t="s">
        <v>1739</v>
      </c>
      <c r="C874" t="s">
        <v>4414</v>
      </c>
      <c r="D874" t="s">
        <v>4401</v>
      </c>
      <c r="E874">
        <v>47300070597</v>
      </c>
      <c r="F874" t="s">
        <v>16</v>
      </c>
      <c r="G874" t="s">
        <v>28</v>
      </c>
      <c r="H874" t="s">
        <v>77</v>
      </c>
      <c r="K874" t="s">
        <v>3294</v>
      </c>
      <c r="L874" t="s">
        <v>19</v>
      </c>
      <c r="M874" t="s">
        <v>46</v>
      </c>
      <c r="N874" s="2">
        <v>45413</v>
      </c>
      <c r="O874" s="2">
        <v>45443</v>
      </c>
      <c r="P874">
        <v>500</v>
      </c>
      <c r="Q874">
        <v>500</v>
      </c>
      <c r="R874" t="s">
        <v>3004</v>
      </c>
    </row>
    <row r="875" spans="1:20" x14ac:dyDescent="0.25">
      <c r="A875" t="s">
        <v>14</v>
      </c>
      <c r="B875" t="s">
        <v>1739</v>
      </c>
      <c r="C875" t="s">
        <v>4387</v>
      </c>
      <c r="D875" t="s">
        <v>4388</v>
      </c>
      <c r="E875">
        <v>47300070597</v>
      </c>
      <c r="F875" t="s">
        <v>16</v>
      </c>
      <c r="G875" t="s">
        <v>28</v>
      </c>
      <c r="H875" t="s">
        <v>77</v>
      </c>
      <c r="K875" t="s">
        <v>3197</v>
      </c>
      <c r="L875" t="s">
        <v>19</v>
      </c>
      <c r="M875" t="s">
        <v>46</v>
      </c>
      <c r="N875" s="2">
        <v>45413</v>
      </c>
      <c r="O875" s="2">
        <v>45443</v>
      </c>
      <c r="P875">
        <v>145500</v>
      </c>
      <c r="Q875">
        <v>145500</v>
      </c>
      <c r="R875" t="s">
        <v>3004</v>
      </c>
    </row>
    <row r="876" spans="1:20" x14ac:dyDescent="0.25">
      <c r="A876" t="s">
        <v>14</v>
      </c>
      <c r="B876" t="s">
        <v>1739</v>
      </c>
      <c r="C876" t="s">
        <v>4409</v>
      </c>
      <c r="D876" t="s">
        <v>4410</v>
      </c>
      <c r="E876">
        <v>47300070597</v>
      </c>
      <c r="F876" t="s">
        <v>16</v>
      </c>
      <c r="G876" t="s">
        <v>28</v>
      </c>
      <c r="H876" t="s">
        <v>77</v>
      </c>
      <c r="K876" t="s">
        <v>2892</v>
      </c>
      <c r="L876" t="s">
        <v>19</v>
      </c>
      <c r="M876" t="s">
        <v>46</v>
      </c>
      <c r="N876" s="2">
        <v>45413</v>
      </c>
      <c r="O876" s="2">
        <v>45443</v>
      </c>
      <c r="P876">
        <v>10000</v>
      </c>
      <c r="Q876">
        <v>10000</v>
      </c>
      <c r="R876" t="s">
        <v>3004</v>
      </c>
    </row>
    <row r="877" spans="1:20" x14ac:dyDescent="0.25">
      <c r="A877" t="s">
        <v>14</v>
      </c>
      <c r="B877" t="s">
        <v>1738</v>
      </c>
      <c r="C877" t="s">
        <v>4386</v>
      </c>
      <c r="D877" t="s">
        <v>4368</v>
      </c>
      <c r="E877">
        <v>47300046662</v>
      </c>
      <c r="F877" t="s">
        <v>16</v>
      </c>
      <c r="G877" t="s">
        <v>28</v>
      </c>
      <c r="H877" t="s">
        <v>129</v>
      </c>
      <c r="K877" t="s">
        <v>2844</v>
      </c>
      <c r="L877" t="s">
        <v>47</v>
      </c>
      <c r="N877" s="2">
        <v>45433</v>
      </c>
      <c r="O877" s="2">
        <v>45433</v>
      </c>
      <c r="P877">
        <v>110346.45</v>
      </c>
      <c r="Q877">
        <v>110346.45</v>
      </c>
      <c r="R877" t="s">
        <v>2843</v>
      </c>
    </row>
    <row r="878" spans="1:20" x14ac:dyDescent="0.25">
      <c r="A878" t="s">
        <v>14</v>
      </c>
      <c r="B878" t="s">
        <v>1736</v>
      </c>
      <c r="C878" t="s">
        <v>4371</v>
      </c>
      <c r="D878" t="s">
        <v>4368</v>
      </c>
      <c r="E878">
        <v>47300026094</v>
      </c>
      <c r="F878" t="s">
        <v>35</v>
      </c>
      <c r="G878" t="s">
        <v>36</v>
      </c>
      <c r="H878" t="s">
        <v>4359</v>
      </c>
      <c r="K878" t="s">
        <v>3795</v>
      </c>
      <c r="L878" t="s">
        <v>19</v>
      </c>
      <c r="M878" t="s">
        <v>20</v>
      </c>
      <c r="P878">
        <v>250000</v>
      </c>
      <c r="Q878">
        <v>250000</v>
      </c>
      <c r="R878" t="s">
        <v>3802</v>
      </c>
      <c r="S878" t="s">
        <v>1737</v>
      </c>
      <c r="T878">
        <v>584.29999999999995</v>
      </c>
    </row>
    <row r="879" spans="1:20" x14ac:dyDescent="0.25">
      <c r="A879" t="s">
        <v>14</v>
      </c>
      <c r="B879" t="s">
        <v>1734</v>
      </c>
      <c r="C879" t="s">
        <v>4367</v>
      </c>
      <c r="D879" t="s">
        <v>4368</v>
      </c>
      <c r="E879">
        <v>47300025708</v>
      </c>
      <c r="F879" t="s">
        <v>35</v>
      </c>
      <c r="G879" t="s">
        <v>36</v>
      </c>
      <c r="H879" t="s">
        <v>4360</v>
      </c>
      <c r="K879" t="s">
        <v>3795</v>
      </c>
      <c r="L879" t="s">
        <v>19</v>
      </c>
      <c r="M879" t="s">
        <v>20</v>
      </c>
      <c r="P879">
        <v>100000</v>
      </c>
      <c r="Q879">
        <v>100000</v>
      </c>
      <c r="R879" t="s">
        <v>3803</v>
      </c>
      <c r="S879" t="s">
        <v>1735</v>
      </c>
      <c r="T879">
        <v>233.7</v>
      </c>
    </row>
    <row r="880" spans="1:20" x14ac:dyDescent="0.25">
      <c r="A880" t="s">
        <v>14</v>
      </c>
      <c r="B880" t="s">
        <v>1732</v>
      </c>
      <c r="C880" t="s">
        <v>4402</v>
      </c>
      <c r="D880" t="s">
        <v>4379</v>
      </c>
      <c r="E880">
        <v>47300025690</v>
      </c>
      <c r="F880" t="s">
        <v>35</v>
      </c>
      <c r="G880" t="s">
        <v>36</v>
      </c>
      <c r="H880" t="s">
        <v>37</v>
      </c>
      <c r="K880" t="s">
        <v>3795</v>
      </c>
      <c r="L880" t="s">
        <v>19</v>
      </c>
      <c r="M880" t="s">
        <v>20</v>
      </c>
      <c r="P880">
        <v>100000</v>
      </c>
      <c r="Q880">
        <v>100000</v>
      </c>
      <c r="R880" t="s">
        <v>3804</v>
      </c>
      <c r="S880" t="s">
        <v>1733</v>
      </c>
      <c r="T880">
        <v>233.7</v>
      </c>
    </row>
    <row r="881" spans="1:20" x14ac:dyDescent="0.25">
      <c r="A881" t="s">
        <v>14</v>
      </c>
      <c r="B881" t="s">
        <v>1730</v>
      </c>
      <c r="C881" t="s">
        <v>4402</v>
      </c>
      <c r="D881" t="s">
        <v>4379</v>
      </c>
      <c r="E881">
        <v>47300026185</v>
      </c>
      <c r="F881" t="s">
        <v>35</v>
      </c>
      <c r="G881" t="s">
        <v>36</v>
      </c>
      <c r="H881" t="s">
        <v>4361</v>
      </c>
      <c r="K881" t="s">
        <v>3795</v>
      </c>
      <c r="L881" t="s">
        <v>19</v>
      </c>
      <c r="M881" t="s">
        <v>20</v>
      </c>
      <c r="P881">
        <v>50000</v>
      </c>
      <c r="Q881">
        <v>50000</v>
      </c>
      <c r="R881" t="s">
        <v>3805</v>
      </c>
      <c r="S881" t="s">
        <v>1731</v>
      </c>
      <c r="T881">
        <v>116.8</v>
      </c>
    </row>
    <row r="882" spans="1:20" x14ac:dyDescent="0.25">
      <c r="A882" t="s">
        <v>14</v>
      </c>
      <c r="B882" t="s">
        <v>1728</v>
      </c>
      <c r="C882" t="s">
        <v>4396</v>
      </c>
      <c r="D882" t="s">
        <v>4397</v>
      </c>
      <c r="E882">
        <v>47300046761</v>
      </c>
      <c r="F882" t="s">
        <v>42</v>
      </c>
      <c r="G882" t="s">
        <v>28</v>
      </c>
      <c r="H882" t="s">
        <v>43</v>
      </c>
      <c r="K882" t="s">
        <v>3795</v>
      </c>
      <c r="L882" t="s">
        <v>19</v>
      </c>
      <c r="M882" t="s">
        <v>20</v>
      </c>
      <c r="P882">
        <v>50000</v>
      </c>
      <c r="Q882">
        <v>50000</v>
      </c>
      <c r="R882" t="s">
        <v>3806</v>
      </c>
      <c r="S882" t="s">
        <v>1729</v>
      </c>
      <c r="T882">
        <v>116.9</v>
      </c>
    </row>
    <row r="883" spans="1:20" x14ac:dyDescent="0.25">
      <c r="A883" t="s">
        <v>14</v>
      </c>
      <c r="B883" t="s">
        <v>1726</v>
      </c>
      <c r="C883" t="s">
        <v>4402</v>
      </c>
      <c r="D883" t="s">
        <v>4379</v>
      </c>
      <c r="E883">
        <v>47300046746</v>
      </c>
      <c r="F883" t="s">
        <v>16</v>
      </c>
      <c r="G883" t="s">
        <v>28</v>
      </c>
      <c r="H883" t="s">
        <v>32</v>
      </c>
      <c r="K883" t="s">
        <v>3795</v>
      </c>
      <c r="L883" t="s">
        <v>19</v>
      </c>
      <c r="M883" t="s">
        <v>20</v>
      </c>
      <c r="P883">
        <v>10000</v>
      </c>
      <c r="Q883">
        <v>10000</v>
      </c>
      <c r="R883" t="s">
        <v>3807</v>
      </c>
      <c r="S883" t="s">
        <v>1727</v>
      </c>
      <c r="T883">
        <v>23.3</v>
      </c>
    </row>
    <row r="884" spans="1:20" x14ac:dyDescent="0.25">
      <c r="A884" t="s">
        <v>14</v>
      </c>
      <c r="B884" t="s">
        <v>1724</v>
      </c>
      <c r="C884" t="s">
        <v>4414</v>
      </c>
      <c r="D884" t="s">
        <v>4401</v>
      </c>
      <c r="E884">
        <v>47300070522</v>
      </c>
      <c r="F884" t="s">
        <v>16</v>
      </c>
      <c r="G884" t="s">
        <v>17</v>
      </c>
      <c r="H884" t="s">
        <v>18</v>
      </c>
      <c r="K884" t="s">
        <v>4266</v>
      </c>
      <c r="L884" t="s">
        <v>19</v>
      </c>
      <c r="M884" t="s">
        <v>63</v>
      </c>
      <c r="N884" s="2">
        <v>45413</v>
      </c>
      <c r="O884" s="2">
        <v>45443</v>
      </c>
      <c r="P884">
        <v>64500</v>
      </c>
      <c r="Q884">
        <v>64500</v>
      </c>
      <c r="R884" t="s">
        <v>4269</v>
      </c>
      <c r="S884" t="s">
        <v>1725</v>
      </c>
      <c r="T884">
        <v>150.69999999999999</v>
      </c>
    </row>
    <row r="885" spans="1:20" x14ac:dyDescent="0.25">
      <c r="A885" t="s">
        <v>14</v>
      </c>
      <c r="B885" t="s">
        <v>1722</v>
      </c>
      <c r="C885" t="s">
        <v>4400</v>
      </c>
      <c r="D885" t="s">
        <v>4401</v>
      </c>
      <c r="E885">
        <v>47300046746</v>
      </c>
      <c r="F885" t="s">
        <v>16</v>
      </c>
      <c r="G885" t="s">
        <v>28</v>
      </c>
      <c r="H885" t="s">
        <v>32</v>
      </c>
      <c r="K885" t="s">
        <v>3795</v>
      </c>
      <c r="L885" t="s">
        <v>19</v>
      </c>
      <c r="M885" t="s">
        <v>20</v>
      </c>
      <c r="P885">
        <v>50000</v>
      </c>
      <c r="Q885">
        <v>50000</v>
      </c>
      <c r="R885" t="s">
        <v>3808</v>
      </c>
      <c r="S885" t="s">
        <v>1723</v>
      </c>
      <c r="T885">
        <v>116.9</v>
      </c>
    </row>
    <row r="886" spans="1:20" x14ac:dyDescent="0.25">
      <c r="A886" t="s">
        <v>14</v>
      </c>
      <c r="B886" t="s">
        <v>1720</v>
      </c>
      <c r="C886" t="s">
        <v>4418</v>
      </c>
      <c r="D886" t="s">
        <v>4368</v>
      </c>
      <c r="E886">
        <v>47300046662</v>
      </c>
      <c r="F886" t="s">
        <v>16</v>
      </c>
      <c r="G886" t="s">
        <v>28</v>
      </c>
      <c r="H886" t="s">
        <v>129</v>
      </c>
      <c r="K886" t="s">
        <v>3795</v>
      </c>
      <c r="L886" t="s">
        <v>19</v>
      </c>
      <c r="M886" t="s">
        <v>20</v>
      </c>
      <c r="P886">
        <v>50000</v>
      </c>
      <c r="Q886">
        <v>50000</v>
      </c>
      <c r="R886" t="s">
        <v>3809</v>
      </c>
      <c r="S886" t="s">
        <v>1721</v>
      </c>
      <c r="T886">
        <v>116.9</v>
      </c>
    </row>
    <row r="887" spans="1:20" x14ac:dyDescent="0.25">
      <c r="A887" t="s">
        <v>14</v>
      </c>
      <c r="B887" t="s">
        <v>1719</v>
      </c>
      <c r="C887" t="s">
        <v>4419</v>
      </c>
      <c r="D887" t="s">
        <v>4368</v>
      </c>
      <c r="E887">
        <v>47300070753</v>
      </c>
      <c r="F887" t="s">
        <v>16</v>
      </c>
      <c r="G887" t="s">
        <v>17</v>
      </c>
      <c r="H887" t="s">
        <v>82</v>
      </c>
      <c r="K887" t="s">
        <v>2892</v>
      </c>
      <c r="L887" t="s">
        <v>19</v>
      </c>
      <c r="M887" t="s">
        <v>46</v>
      </c>
      <c r="N887" s="2">
        <v>45413</v>
      </c>
      <c r="O887" s="2">
        <v>45443</v>
      </c>
      <c r="P887">
        <v>10000</v>
      </c>
      <c r="Q887">
        <v>10000</v>
      </c>
      <c r="R887" t="s">
        <v>3005</v>
      </c>
    </row>
    <row r="888" spans="1:20" x14ac:dyDescent="0.25">
      <c r="A888" t="s">
        <v>14</v>
      </c>
      <c r="B888" t="s">
        <v>1717</v>
      </c>
      <c r="C888" t="s">
        <v>4419</v>
      </c>
      <c r="D888" t="s">
        <v>4368</v>
      </c>
      <c r="E888">
        <v>47300070555</v>
      </c>
      <c r="F888" t="s">
        <v>35</v>
      </c>
      <c r="G888" t="s">
        <v>35</v>
      </c>
      <c r="H888" t="s">
        <v>116</v>
      </c>
      <c r="K888" t="s">
        <v>3795</v>
      </c>
      <c r="L888" t="s">
        <v>19</v>
      </c>
      <c r="M888" t="s">
        <v>20</v>
      </c>
      <c r="P888">
        <v>20000</v>
      </c>
      <c r="Q888">
        <v>20000</v>
      </c>
      <c r="R888" t="s">
        <v>3810</v>
      </c>
      <c r="S888" t="s">
        <v>1718</v>
      </c>
      <c r="T888">
        <v>46.7</v>
      </c>
    </row>
    <row r="889" spans="1:20" x14ac:dyDescent="0.25">
      <c r="A889" t="s">
        <v>14</v>
      </c>
      <c r="B889" t="s">
        <v>1715</v>
      </c>
      <c r="C889" t="s">
        <v>3300</v>
      </c>
      <c r="D889" t="s">
        <v>3299</v>
      </c>
      <c r="E889">
        <v>47300020147</v>
      </c>
      <c r="F889" t="s">
        <v>35</v>
      </c>
      <c r="G889" t="s">
        <v>36</v>
      </c>
      <c r="H889" t="s">
        <v>4363</v>
      </c>
      <c r="K889" t="s">
        <v>3795</v>
      </c>
      <c r="L889" t="s">
        <v>19</v>
      </c>
      <c r="M889" t="s">
        <v>20</v>
      </c>
      <c r="P889">
        <v>50000</v>
      </c>
      <c r="Q889">
        <v>50000</v>
      </c>
      <c r="R889" t="s">
        <v>3811</v>
      </c>
      <c r="S889" t="s">
        <v>1716</v>
      </c>
      <c r="T889">
        <v>116.9</v>
      </c>
    </row>
    <row r="890" spans="1:20" x14ac:dyDescent="0.25">
      <c r="A890" t="s">
        <v>14</v>
      </c>
      <c r="B890" t="s">
        <v>1713</v>
      </c>
      <c r="C890" t="s">
        <v>4396</v>
      </c>
      <c r="D890" t="s">
        <v>4397</v>
      </c>
      <c r="E890">
        <v>47300020147</v>
      </c>
      <c r="F890" t="s">
        <v>35</v>
      </c>
      <c r="G890" t="s">
        <v>36</v>
      </c>
      <c r="H890" t="s">
        <v>4363</v>
      </c>
      <c r="K890" t="s">
        <v>3795</v>
      </c>
      <c r="L890" t="s">
        <v>19</v>
      </c>
      <c r="M890" t="s">
        <v>20</v>
      </c>
      <c r="P890">
        <v>50000</v>
      </c>
      <c r="Q890">
        <v>50000</v>
      </c>
      <c r="R890" t="s">
        <v>3812</v>
      </c>
      <c r="S890" t="s">
        <v>1714</v>
      </c>
      <c r="T890">
        <v>116.8</v>
      </c>
    </row>
    <row r="891" spans="1:20" x14ac:dyDescent="0.25">
      <c r="A891" t="s">
        <v>14</v>
      </c>
      <c r="B891" t="s">
        <v>1711</v>
      </c>
      <c r="C891" t="s">
        <v>4408</v>
      </c>
      <c r="D891" t="s">
        <v>4407</v>
      </c>
      <c r="E891">
        <v>47300012151</v>
      </c>
      <c r="F891" t="s">
        <v>35</v>
      </c>
      <c r="G891" t="s">
        <v>36</v>
      </c>
      <c r="H891" t="s">
        <v>4362</v>
      </c>
      <c r="K891" t="s">
        <v>3795</v>
      </c>
      <c r="L891" t="s">
        <v>19</v>
      </c>
      <c r="M891" t="s">
        <v>20</v>
      </c>
      <c r="P891">
        <v>50000</v>
      </c>
      <c r="Q891">
        <v>50000</v>
      </c>
      <c r="R891" t="s">
        <v>3813</v>
      </c>
      <c r="S891" t="s">
        <v>1712</v>
      </c>
      <c r="T891">
        <v>116.9</v>
      </c>
    </row>
    <row r="892" spans="1:20" x14ac:dyDescent="0.25">
      <c r="A892" t="s">
        <v>14</v>
      </c>
      <c r="B892" t="s">
        <v>1709</v>
      </c>
      <c r="C892" t="s">
        <v>2927</v>
      </c>
      <c r="D892" t="s">
        <v>4385</v>
      </c>
      <c r="E892">
        <v>47300026094</v>
      </c>
      <c r="F892" t="s">
        <v>35</v>
      </c>
      <c r="G892" t="s">
        <v>36</v>
      </c>
      <c r="H892" t="s">
        <v>4359</v>
      </c>
      <c r="K892" t="s">
        <v>3795</v>
      </c>
      <c r="L892" t="s">
        <v>19</v>
      </c>
      <c r="M892" t="s">
        <v>20</v>
      </c>
      <c r="P892">
        <v>100000</v>
      </c>
      <c r="Q892">
        <v>100000</v>
      </c>
      <c r="R892" t="s">
        <v>3814</v>
      </c>
      <c r="S892" t="s">
        <v>1710</v>
      </c>
      <c r="T892">
        <v>233.7</v>
      </c>
    </row>
    <row r="893" spans="1:20" x14ac:dyDescent="0.25">
      <c r="A893" t="s">
        <v>14</v>
      </c>
      <c r="B893" t="s">
        <v>1707</v>
      </c>
      <c r="C893" t="s">
        <v>4398</v>
      </c>
      <c r="D893" t="s">
        <v>4399</v>
      </c>
      <c r="E893">
        <v>47300046761</v>
      </c>
      <c r="F893" t="s">
        <v>42</v>
      </c>
      <c r="G893" t="s">
        <v>28</v>
      </c>
      <c r="H893" t="s">
        <v>43</v>
      </c>
      <c r="K893" t="s">
        <v>3795</v>
      </c>
      <c r="L893" t="s">
        <v>19</v>
      </c>
      <c r="M893" t="s">
        <v>20</v>
      </c>
      <c r="P893">
        <v>25000</v>
      </c>
      <c r="Q893">
        <v>25000</v>
      </c>
      <c r="R893" t="s">
        <v>3815</v>
      </c>
      <c r="S893" t="s">
        <v>1708</v>
      </c>
      <c r="T893">
        <v>58.4</v>
      </c>
    </row>
    <row r="894" spans="1:20" x14ac:dyDescent="0.25">
      <c r="A894" t="s">
        <v>14</v>
      </c>
      <c r="B894" t="s">
        <v>1706</v>
      </c>
      <c r="C894" t="s">
        <v>4412</v>
      </c>
      <c r="D894" t="s">
        <v>4377</v>
      </c>
      <c r="E894">
        <v>47300046779</v>
      </c>
      <c r="F894" t="s">
        <v>42</v>
      </c>
      <c r="G894" t="s">
        <v>28</v>
      </c>
      <c r="H894" t="s">
        <v>199</v>
      </c>
      <c r="K894" t="s">
        <v>3294</v>
      </c>
      <c r="L894" t="s">
        <v>19</v>
      </c>
      <c r="M894" t="s">
        <v>46</v>
      </c>
      <c r="N894" s="2">
        <v>45413</v>
      </c>
      <c r="O894" s="2">
        <v>45443</v>
      </c>
      <c r="P894">
        <v>500</v>
      </c>
      <c r="Q894">
        <v>500</v>
      </c>
      <c r="R894" t="s">
        <v>3210</v>
      </c>
    </row>
    <row r="895" spans="1:20" x14ac:dyDescent="0.25">
      <c r="A895" t="s">
        <v>14</v>
      </c>
      <c r="B895" t="s">
        <v>1706</v>
      </c>
      <c r="C895" t="s">
        <v>4387</v>
      </c>
      <c r="D895" t="s">
        <v>4388</v>
      </c>
      <c r="E895">
        <v>47300046779</v>
      </c>
      <c r="F895" t="s">
        <v>42</v>
      </c>
      <c r="G895" t="s">
        <v>28</v>
      </c>
      <c r="H895" t="s">
        <v>199</v>
      </c>
      <c r="K895" t="s">
        <v>3197</v>
      </c>
      <c r="L895" t="s">
        <v>19</v>
      </c>
      <c r="M895" t="s">
        <v>46</v>
      </c>
      <c r="N895" s="2">
        <v>45413</v>
      </c>
      <c r="O895" s="2">
        <v>45443</v>
      </c>
      <c r="P895">
        <v>145500</v>
      </c>
      <c r="Q895">
        <v>145500</v>
      </c>
      <c r="R895" t="s">
        <v>3210</v>
      </c>
    </row>
    <row r="896" spans="1:20" x14ac:dyDescent="0.25">
      <c r="A896" t="s">
        <v>14</v>
      </c>
      <c r="B896" t="s">
        <v>1705</v>
      </c>
      <c r="C896" t="s">
        <v>4367</v>
      </c>
      <c r="D896" t="s">
        <v>4368</v>
      </c>
      <c r="E896">
        <v>47300046365</v>
      </c>
      <c r="F896" t="s">
        <v>16</v>
      </c>
      <c r="G896" t="s">
        <v>28</v>
      </c>
      <c r="H896" t="s">
        <v>62</v>
      </c>
      <c r="K896" t="s">
        <v>3294</v>
      </c>
      <c r="L896" t="s">
        <v>19</v>
      </c>
      <c r="M896" t="s">
        <v>46</v>
      </c>
      <c r="N896" s="2">
        <v>45413</v>
      </c>
      <c r="O896" s="2">
        <v>45443</v>
      </c>
      <c r="P896">
        <v>500</v>
      </c>
      <c r="Q896">
        <v>500</v>
      </c>
      <c r="R896" t="s">
        <v>3006</v>
      </c>
    </row>
    <row r="897" spans="1:20" x14ac:dyDescent="0.25">
      <c r="A897" t="s">
        <v>14</v>
      </c>
      <c r="B897" t="s">
        <v>1705</v>
      </c>
      <c r="C897" t="s">
        <v>2927</v>
      </c>
      <c r="D897" t="s">
        <v>4385</v>
      </c>
      <c r="E897">
        <v>47300046365</v>
      </c>
      <c r="F897" t="s">
        <v>16</v>
      </c>
      <c r="G897" t="s">
        <v>28</v>
      </c>
      <c r="H897" t="s">
        <v>62</v>
      </c>
      <c r="K897" t="s">
        <v>3197</v>
      </c>
      <c r="L897" t="s">
        <v>19</v>
      </c>
      <c r="M897" t="s">
        <v>46</v>
      </c>
      <c r="N897" s="2">
        <v>45413</v>
      </c>
      <c r="O897" s="2">
        <v>45443</v>
      </c>
      <c r="P897">
        <v>145500</v>
      </c>
      <c r="Q897">
        <v>145500</v>
      </c>
      <c r="R897" t="s">
        <v>3006</v>
      </c>
    </row>
    <row r="898" spans="1:20" x14ac:dyDescent="0.25">
      <c r="A898" t="s">
        <v>14</v>
      </c>
      <c r="B898" t="s">
        <v>1705</v>
      </c>
      <c r="C898" t="s">
        <v>4398</v>
      </c>
      <c r="D898" t="s">
        <v>4399</v>
      </c>
      <c r="E898">
        <v>47300046365</v>
      </c>
      <c r="F898" t="s">
        <v>16</v>
      </c>
      <c r="G898" t="s">
        <v>28</v>
      </c>
      <c r="H898" t="s">
        <v>62</v>
      </c>
      <c r="K898" t="s">
        <v>2892</v>
      </c>
      <c r="L898" t="s">
        <v>19</v>
      </c>
      <c r="M898" t="s">
        <v>46</v>
      </c>
      <c r="N898" s="2">
        <v>45413</v>
      </c>
      <c r="O898" s="2">
        <v>45443</v>
      </c>
      <c r="P898">
        <v>10000</v>
      </c>
      <c r="Q898">
        <v>10000</v>
      </c>
      <c r="R898" t="s">
        <v>3006</v>
      </c>
    </row>
    <row r="899" spans="1:20" x14ac:dyDescent="0.25">
      <c r="A899" t="s">
        <v>14</v>
      </c>
      <c r="B899" t="s">
        <v>1703</v>
      </c>
      <c r="C899" t="s">
        <v>2927</v>
      </c>
      <c r="D899" t="s">
        <v>4385</v>
      </c>
      <c r="E899">
        <v>47300046258</v>
      </c>
      <c r="F899" t="s">
        <v>16</v>
      </c>
      <c r="G899" t="s">
        <v>28</v>
      </c>
      <c r="H899" t="s">
        <v>160</v>
      </c>
      <c r="K899" t="s">
        <v>3795</v>
      </c>
      <c r="L899" t="s">
        <v>19</v>
      </c>
      <c r="M899" t="s">
        <v>20</v>
      </c>
      <c r="P899">
        <v>20000</v>
      </c>
      <c r="Q899">
        <v>20000</v>
      </c>
      <c r="R899" t="s">
        <v>3816</v>
      </c>
      <c r="S899" t="s">
        <v>1704</v>
      </c>
      <c r="T899">
        <v>46.8</v>
      </c>
    </row>
    <row r="900" spans="1:20" x14ac:dyDescent="0.25">
      <c r="A900" t="s">
        <v>14</v>
      </c>
      <c r="B900" t="s">
        <v>1701</v>
      </c>
      <c r="C900" t="s">
        <v>4387</v>
      </c>
      <c r="D900" t="s">
        <v>4388</v>
      </c>
      <c r="E900">
        <v>47300046720</v>
      </c>
      <c r="F900" t="s">
        <v>16</v>
      </c>
      <c r="G900" t="s">
        <v>28</v>
      </c>
      <c r="H900" t="s">
        <v>143</v>
      </c>
      <c r="K900" t="s">
        <v>3795</v>
      </c>
      <c r="L900" t="s">
        <v>19</v>
      </c>
      <c r="M900" t="s">
        <v>20</v>
      </c>
      <c r="P900">
        <v>50000</v>
      </c>
      <c r="Q900">
        <v>50000</v>
      </c>
      <c r="R900" t="s">
        <v>3817</v>
      </c>
      <c r="S900" t="s">
        <v>1702</v>
      </c>
      <c r="T900">
        <v>116.8</v>
      </c>
    </row>
    <row r="901" spans="1:20" x14ac:dyDescent="0.25">
      <c r="A901" t="s">
        <v>14</v>
      </c>
      <c r="B901" t="s">
        <v>1699</v>
      </c>
      <c r="C901" t="s">
        <v>4376</v>
      </c>
      <c r="D901" t="s">
        <v>4377</v>
      </c>
      <c r="E901">
        <v>47300046761</v>
      </c>
      <c r="F901" t="s">
        <v>42</v>
      </c>
      <c r="G901" t="s">
        <v>28</v>
      </c>
      <c r="H901" t="s">
        <v>43</v>
      </c>
      <c r="K901" t="s">
        <v>3795</v>
      </c>
      <c r="L901" t="s">
        <v>19</v>
      </c>
      <c r="M901" t="s">
        <v>20</v>
      </c>
      <c r="P901">
        <v>25000</v>
      </c>
      <c r="Q901">
        <v>25000</v>
      </c>
      <c r="R901" t="s">
        <v>3818</v>
      </c>
      <c r="S901" t="s">
        <v>1700</v>
      </c>
      <c r="T901">
        <v>58.4</v>
      </c>
    </row>
    <row r="902" spans="1:20" x14ac:dyDescent="0.25">
      <c r="A902" t="s">
        <v>14</v>
      </c>
      <c r="B902" t="s">
        <v>1697</v>
      </c>
      <c r="C902" t="s">
        <v>4420</v>
      </c>
      <c r="D902" t="s">
        <v>4394</v>
      </c>
      <c r="E902">
        <v>47300046241</v>
      </c>
      <c r="F902" t="s">
        <v>16</v>
      </c>
      <c r="G902" t="s">
        <v>23</v>
      </c>
      <c r="H902" t="s">
        <v>24</v>
      </c>
      <c r="I902" t="s">
        <v>2754</v>
      </c>
      <c r="J902">
        <v>0</v>
      </c>
      <c r="K902" t="s">
        <v>3795</v>
      </c>
      <c r="L902" t="s">
        <v>19</v>
      </c>
      <c r="M902" t="s">
        <v>20</v>
      </c>
      <c r="P902">
        <v>30000</v>
      </c>
      <c r="Q902">
        <v>30000</v>
      </c>
      <c r="R902" t="s">
        <v>3819</v>
      </c>
      <c r="S902" t="s">
        <v>1698</v>
      </c>
      <c r="T902">
        <v>70.099999999999994</v>
      </c>
    </row>
    <row r="903" spans="1:20" x14ac:dyDescent="0.25">
      <c r="A903" t="s">
        <v>14</v>
      </c>
      <c r="B903" t="s">
        <v>1695</v>
      </c>
      <c r="C903" t="s">
        <v>4369</v>
      </c>
      <c r="D903" t="s">
        <v>4370</v>
      </c>
      <c r="E903">
        <v>47300086445</v>
      </c>
      <c r="F903" t="s">
        <v>16</v>
      </c>
      <c r="G903" t="s">
        <v>28</v>
      </c>
      <c r="H903" t="s">
        <v>187</v>
      </c>
      <c r="I903" t="s">
        <v>2777</v>
      </c>
      <c r="J903" t="s">
        <v>2776</v>
      </c>
      <c r="K903" t="s">
        <v>3795</v>
      </c>
      <c r="L903" t="s">
        <v>19</v>
      </c>
      <c r="M903" t="s">
        <v>20</v>
      </c>
      <c r="P903">
        <v>30000</v>
      </c>
      <c r="Q903">
        <v>30000</v>
      </c>
      <c r="R903" t="s">
        <v>3820</v>
      </c>
      <c r="S903" t="s">
        <v>1696</v>
      </c>
      <c r="T903">
        <v>70.099999999999994</v>
      </c>
    </row>
    <row r="904" spans="1:20" x14ac:dyDescent="0.25">
      <c r="A904" t="s">
        <v>14</v>
      </c>
      <c r="B904" t="s">
        <v>1694</v>
      </c>
      <c r="C904" t="s">
        <v>4394</v>
      </c>
      <c r="D904" t="s">
        <v>4395</v>
      </c>
      <c r="E904">
        <v>47300046191</v>
      </c>
      <c r="F904" t="s">
        <v>16</v>
      </c>
      <c r="G904" t="s">
        <v>28</v>
      </c>
      <c r="H904" t="s">
        <v>119</v>
      </c>
      <c r="I904" t="s">
        <v>2799</v>
      </c>
      <c r="J904">
        <v>8033011626</v>
      </c>
      <c r="K904" t="s">
        <v>3197</v>
      </c>
      <c r="L904" t="s">
        <v>19</v>
      </c>
      <c r="M904" t="s">
        <v>46</v>
      </c>
      <c r="N904" s="2">
        <v>45413</v>
      </c>
      <c r="O904" s="2">
        <v>45443</v>
      </c>
      <c r="P904">
        <v>145500</v>
      </c>
      <c r="Q904">
        <v>145500</v>
      </c>
      <c r="R904" t="s">
        <v>2815</v>
      </c>
    </row>
    <row r="905" spans="1:20" x14ac:dyDescent="0.25">
      <c r="A905" t="s">
        <v>14</v>
      </c>
      <c r="B905" t="s">
        <v>1694</v>
      </c>
      <c r="C905" t="s">
        <v>4420</v>
      </c>
      <c r="D905" t="s">
        <v>4394</v>
      </c>
      <c r="E905">
        <v>47300046191</v>
      </c>
      <c r="F905" t="s">
        <v>16</v>
      </c>
      <c r="G905" t="s">
        <v>28</v>
      </c>
      <c r="H905" t="s">
        <v>119</v>
      </c>
      <c r="I905" t="s">
        <v>2799</v>
      </c>
      <c r="J905">
        <v>8033011626</v>
      </c>
      <c r="K905" t="s">
        <v>2892</v>
      </c>
      <c r="L905" t="s">
        <v>19</v>
      </c>
      <c r="M905" t="s">
        <v>46</v>
      </c>
      <c r="N905" s="2">
        <v>45413</v>
      </c>
      <c r="O905" s="2">
        <v>45443</v>
      </c>
      <c r="P905">
        <v>10000</v>
      </c>
      <c r="Q905">
        <v>10000</v>
      </c>
      <c r="R905" t="s">
        <v>2815</v>
      </c>
    </row>
    <row r="906" spans="1:20" x14ac:dyDescent="0.25">
      <c r="A906" t="s">
        <v>14</v>
      </c>
      <c r="B906" t="s">
        <v>1694</v>
      </c>
      <c r="C906" t="s">
        <v>4420</v>
      </c>
      <c r="D906" t="s">
        <v>4394</v>
      </c>
      <c r="E906">
        <v>47300046191</v>
      </c>
      <c r="F906" t="s">
        <v>16</v>
      </c>
      <c r="G906" t="s">
        <v>28</v>
      </c>
      <c r="H906" t="s">
        <v>119</v>
      </c>
      <c r="I906" t="s">
        <v>2799</v>
      </c>
      <c r="J906">
        <v>8033011626</v>
      </c>
      <c r="K906" t="s">
        <v>2816</v>
      </c>
      <c r="L906" t="s">
        <v>47</v>
      </c>
      <c r="N906" s="2">
        <v>45439</v>
      </c>
      <c r="O906" s="2">
        <v>45439</v>
      </c>
      <c r="P906">
        <v>107688.62</v>
      </c>
      <c r="Q906">
        <v>107688.62</v>
      </c>
      <c r="R906" t="s">
        <v>2815</v>
      </c>
    </row>
    <row r="907" spans="1:20" x14ac:dyDescent="0.25">
      <c r="A907" t="s">
        <v>14</v>
      </c>
      <c r="B907" t="s">
        <v>1692</v>
      </c>
      <c r="C907" t="s">
        <v>4420</v>
      </c>
      <c r="D907" t="s">
        <v>4394</v>
      </c>
      <c r="E907">
        <v>47300046191</v>
      </c>
      <c r="F907" t="s">
        <v>16</v>
      </c>
      <c r="G907" t="s">
        <v>28</v>
      </c>
      <c r="H907" t="s">
        <v>119</v>
      </c>
      <c r="I907" t="s">
        <v>2799</v>
      </c>
      <c r="J907">
        <v>8033011626</v>
      </c>
      <c r="K907" t="s">
        <v>3795</v>
      </c>
      <c r="L907" t="s">
        <v>19</v>
      </c>
      <c r="M907" t="s">
        <v>20</v>
      </c>
      <c r="P907">
        <v>80300</v>
      </c>
      <c r="Q907">
        <v>80300</v>
      </c>
      <c r="R907" t="s">
        <v>3821</v>
      </c>
      <c r="S907" t="s">
        <v>1693</v>
      </c>
      <c r="T907">
        <v>187.6</v>
      </c>
    </row>
    <row r="908" spans="1:20" x14ac:dyDescent="0.25">
      <c r="A908" t="s">
        <v>14</v>
      </c>
      <c r="B908" t="s">
        <v>1690</v>
      </c>
      <c r="C908" t="s">
        <v>4387</v>
      </c>
      <c r="D908" t="s">
        <v>4388</v>
      </c>
      <c r="E908">
        <v>47300025708</v>
      </c>
      <c r="F908" t="s">
        <v>35</v>
      </c>
      <c r="G908" t="s">
        <v>36</v>
      </c>
      <c r="H908" t="s">
        <v>4360</v>
      </c>
      <c r="K908" t="s">
        <v>3795</v>
      </c>
      <c r="L908" t="s">
        <v>19</v>
      </c>
      <c r="M908" t="s">
        <v>20</v>
      </c>
      <c r="P908">
        <v>50000</v>
      </c>
      <c r="Q908">
        <v>50000</v>
      </c>
      <c r="R908" t="s">
        <v>3822</v>
      </c>
      <c r="S908" t="s">
        <v>1691</v>
      </c>
      <c r="T908">
        <v>116.9</v>
      </c>
    </row>
    <row r="909" spans="1:20" x14ac:dyDescent="0.25">
      <c r="A909" t="s">
        <v>14</v>
      </c>
      <c r="B909" t="s">
        <v>1688</v>
      </c>
      <c r="C909" t="s">
        <v>4365</v>
      </c>
      <c r="D909" t="s">
        <v>4403</v>
      </c>
      <c r="E909">
        <v>47300070555</v>
      </c>
      <c r="F909" t="s">
        <v>35</v>
      </c>
      <c r="G909" t="s">
        <v>35</v>
      </c>
      <c r="H909" t="s">
        <v>116</v>
      </c>
      <c r="K909" t="s">
        <v>3795</v>
      </c>
      <c r="L909" t="s">
        <v>19</v>
      </c>
      <c r="M909" t="s">
        <v>20</v>
      </c>
      <c r="P909">
        <v>40000</v>
      </c>
      <c r="Q909">
        <v>40000</v>
      </c>
      <c r="R909" t="s">
        <v>3823</v>
      </c>
      <c r="S909" t="s">
        <v>1689</v>
      </c>
      <c r="T909">
        <v>93.5</v>
      </c>
    </row>
    <row r="910" spans="1:20" x14ac:dyDescent="0.25">
      <c r="A910" t="s">
        <v>14</v>
      </c>
      <c r="B910" t="s">
        <v>1686</v>
      </c>
      <c r="C910" t="s">
        <v>4367</v>
      </c>
      <c r="D910" t="s">
        <v>4368</v>
      </c>
      <c r="E910">
        <v>47300026094</v>
      </c>
      <c r="F910" t="s">
        <v>35</v>
      </c>
      <c r="G910" t="s">
        <v>36</v>
      </c>
      <c r="H910" t="s">
        <v>4359</v>
      </c>
      <c r="K910" t="s">
        <v>3795</v>
      </c>
      <c r="L910" t="s">
        <v>19</v>
      </c>
      <c r="M910" t="s">
        <v>20</v>
      </c>
      <c r="P910">
        <v>50000</v>
      </c>
      <c r="Q910">
        <v>50000</v>
      </c>
      <c r="R910" t="s">
        <v>3824</v>
      </c>
      <c r="S910" t="s">
        <v>1687</v>
      </c>
      <c r="T910">
        <v>116.8</v>
      </c>
    </row>
    <row r="911" spans="1:20" x14ac:dyDescent="0.25">
      <c r="A911" t="s">
        <v>14</v>
      </c>
      <c r="B911" t="s">
        <v>1684</v>
      </c>
      <c r="C911" t="s">
        <v>3300</v>
      </c>
      <c r="D911" t="s">
        <v>3299</v>
      </c>
      <c r="E911">
        <v>47300070654</v>
      </c>
      <c r="F911" t="s">
        <v>16</v>
      </c>
      <c r="G911" t="s">
        <v>28</v>
      </c>
      <c r="H911" t="s">
        <v>217</v>
      </c>
      <c r="K911" t="s">
        <v>3795</v>
      </c>
      <c r="L911" t="s">
        <v>19</v>
      </c>
      <c r="M911" t="s">
        <v>20</v>
      </c>
      <c r="P911">
        <v>20000</v>
      </c>
      <c r="Q911">
        <v>20000</v>
      </c>
      <c r="R911" t="s">
        <v>3825</v>
      </c>
      <c r="S911" t="s">
        <v>1685</v>
      </c>
      <c r="T911">
        <v>46.7</v>
      </c>
    </row>
    <row r="912" spans="1:20" x14ac:dyDescent="0.25">
      <c r="A912" t="s">
        <v>14</v>
      </c>
      <c r="B912" t="s">
        <v>1682</v>
      </c>
      <c r="C912" t="s">
        <v>4371</v>
      </c>
      <c r="D912" t="s">
        <v>4368</v>
      </c>
      <c r="E912">
        <v>47300046761</v>
      </c>
      <c r="F912" t="s">
        <v>42</v>
      </c>
      <c r="G912" t="s">
        <v>28</v>
      </c>
      <c r="H912" t="s">
        <v>43</v>
      </c>
      <c r="K912" t="s">
        <v>3795</v>
      </c>
      <c r="L912" t="s">
        <v>19</v>
      </c>
      <c r="M912" t="s">
        <v>20</v>
      </c>
      <c r="P912">
        <v>30000</v>
      </c>
      <c r="Q912">
        <v>30000</v>
      </c>
      <c r="R912" t="s">
        <v>3826</v>
      </c>
      <c r="S912" t="s">
        <v>1683</v>
      </c>
      <c r="T912">
        <v>70.2</v>
      </c>
    </row>
    <row r="913" spans="1:25" x14ac:dyDescent="0.25">
      <c r="A913" t="s">
        <v>14</v>
      </c>
      <c r="B913" t="s">
        <v>1680</v>
      </c>
      <c r="C913" t="s">
        <v>4365</v>
      </c>
      <c r="D913" t="s">
        <v>4366</v>
      </c>
      <c r="E913">
        <v>47300070514</v>
      </c>
      <c r="F913" t="s">
        <v>27</v>
      </c>
      <c r="G913" t="s">
        <v>28</v>
      </c>
      <c r="H913" t="s">
        <v>29</v>
      </c>
      <c r="K913" t="s">
        <v>3795</v>
      </c>
      <c r="L913" t="s">
        <v>19</v>
      </c>
      <c r="M913" t="s">
        <v>20</v>
      </c>
      <c r="P913">
        <v>25000</v>
      </c>
      <c r="Q913">
        <v>25000</v>
      </c>
      <c r="R913" t="s">
        <v>3827</v>
      </c>
      <c r="S913" t="s">
        <v>1681</v>
      </c>
      <c r="T913">
        <v>58.4</v>
      </c>
    </row>
    <row r="914" spans="1:25" x14ac:dyDescent="0.25">
      <c r="A914" t="s">
        <v>14</v>
      </c>
      <c r="B914" t="s">
        <v>1678</v>
      </c>
      <c r="C914" t="s">
        <v>4365</v>
      </c>
      <c r="D914" t="s">
        <v>4366</v>
      </c>
      <c r="E914">
        <v>47300046399</v>
      </c>
      <c r="F914" t="s">
        <v>16</v>
      </c>
      <c r="G914" t="s">
        <v>28</v>
      </c>
      <c r="H914" t="s">
        <v>122</v>
      </c>
      <c r="K914" t="s">
        <v>3795</v>
      </c>
      <c r="L914" t="s">
        <v>19</v>
      </c>
      <c r="M914" t="s">
        <v>20</v>
      </c>
      <c r="P914">
        <v>50000</v>
      </c>
      <c r="Q914">
        <v>50000</v>
      </c>
      <c r="R914" t="s">
        <v>3828</v>
      </c>
      <c r="S914" t="s">
        <v>1679</v>
      </c>
      <c r="T914">
        <v>116.9</v>
      </c>
    </row>
    <row r="915" spans="1:25" x14ac:dyDescent="0.25">
      <c r="A915" t="s">
        <v>14</v>
      </c>
      <c r="B915" t="s">
        <v>1676</v>
      </c>
      <c r="C915" t="s">
        <v>4389</v>
      </c>
      <c r="D915" t="s">
        <v>4375</v>
      </c>
      <c r="E915">
        <v>47300070514</v>
      </c>
      <c r="F915" t="s">
        <v>27</v>
      </c>
      <c r="G915" t="s">
        <v>28</v>
      </c>
      <c r="H915" t="s">
        <v>29</v>
      </c>
      <c r="K915" t="s">
        <v>3795</v>
      </c>
      <c r="L915" t="s">
        <v>19</v>
      </c>
      <c r="M915" t="s">
        <v>20</v>
      </c>
      <c r="P915">
        <v>100000</v>
      </c>
      <c r="Q915">
        <v>100000</v>
      </c>
      <c r="R915" t="s">
        <v>3829</v>
      </c>
      <c r="S915" t="s">
        <v>1677</v>
      </c>
      <c r="T915">
        <v>233.7</v>
      </c>
    </row>
    <row r="916" spans="1:25" x14ac:dyDescent="0.25">
      <c r="A916" t="s">
        <v>14</v>
      </c>
      <c r="B916" t="s">
        <v>1674</v>
      </c>
      <c r="C916" t="s">
        <v>4378</v>
      </c>
      <c r="D916" t="s">
        <v>4379</v>
      </c>
      <c r="E916">
        <v>47300070563</v>
      </c>
      <c r="F916" t="s">
        <v>16</v>
      </c>
      <c r="G916" t="s">
        <v>28</v>
      </c>
      <c r="H916" t="s">
        <v>359</v>
      </c>
      <c r="K916" t="s">
        <v>4266</v>
      </c>
      <c r="L916" t="s">
        <v>19</v>
      </c>
      <c r="M916" t="s">
        <v>63</v>
      </c>
      <c r="N916" s="2">
        <v>45413</v>
      </c>
      <c r="O916" s="2">
        <v>45443</v>
      </c>
      <c r="P916">
        <v>45000</v>
      </c>
      <c r="Q916">
        <v>45000</v>
      </c>
      <c r="R916" t="s">
        <v>3007</v>
      </c>
      <c r="S916" t="s">
        <v>1675</v>
      </c>
      <c r="T916">
        <v>105.2</v>
      </c>
    </row>
    <row r="917" spans="1:25" x14ac:dyDescent="0.25">
      <c r="A917" t="s">
        <v>14</v>
      </c>
      <c r="B917" t="s">
        <v>1674</v>
      </c>
      <c r="C917" t="s">
        <v>4389</v>
      </c>
      <c r="D917" t="s">
        <v>4375</v>
      </c>
      <c r="E917">
        <v>47300070563</v>
      </c>
      <c r="F917" t="s">
        <v>16</v>
      </c>
      <c r="G917" t="s">
        <v>28</v>
      </c>
      <c r="H917" t="s">
        <v>359</v>
      </c>
      <c r="K917" t="s">
        <v>3294</v>
      </c>
      <c r="L917" t="s">
        <v>19</v>
      </c>
      <c r="M917" t="s">
        <v>46</v>
      </c>
      <c r="N917" s="2">
        <v>45413</v>
      </c>
      <c r="O917" s="2">
        <v>45443</v>
      </c>
      <c r="P917">
        <v>500</v>
      </c>
      <c r="Q917">
        <v>500</v>
      </c>
      <c r="R917" t="s">
        <v>3007</v>
      </c>
    </row>
    <row r="918" spans="1:25" x14ac:dyDescent="0.25">
      <c r="A918" t="s">
        <v>14</v>
      </c>
      <c r="B918" t="s">
        <v>1674</v>
      </c>
      <c r="C918" t="s">
        <v>4365</v>
      </c>
      <c r="D918" t="s">
        <v>4366</v>
      </c>
      <c r="E918">
        <v>47300070563</v>
      </c>
      <c r="F918" t="s">
        <v>16</v>
      </c>
      <c r="G918" t="s">
        <v>28</v>
      </c>
      <c r="H918" t="s">
        <v>359</v>
      </c>
      <c r="K918" t="s">
        <v>3197</v>
      </c>
      <c r="L918" t="s">
        <v>19</v>
      </c>
      <c r="M918" t="s">
        <v>46</v>
      </c>
      <c r="N918" s="2">
        <v>45413</v>
      </c>
      <c r="O918" s="2">
        <v>45443</v>
      </c>
      <c r="P918">
        <v>145500</v>
      </c>
      <c r="Q918">
        <v>145500</v>
      </c>
      <c r="R918" t="s">
        <v>3007</v>
      </c>
    </row>
    <row r="919" spans="1:25" x14ac:dyDescent="0.25">
      <c r="A919" t="s">
        <v>14</v>
      </c>
      <c r="B919" t="s">
        <v>1674</v>
      </c>
      <c r="C919" t="s">
        <v>4365</v>
      </c>
      <c r="D919" t="s">
        <v>4366</v>
      </c>
      <c r="E919">
        <v>47300070563</v>
      </c>
      <c r="F919" t="s">
        <v>16</v>
      </c>
      <c r="G919" t="s">
        <v>28</v>
      </c>
      <c r="H919" t="s">
        <v>359</v>
      </c>
      <c r="K919" t="s">
        <v>2892</v>
      </c>
      <c r="L919" t="s">
        <v>19</v>
      </c>
      <c r="M919" t="s">
        <v>46</v>
      </c>
      <c r="N919" s="2">
        <v>45413</v>
      </c>
      <c r="O919" s="2">
        <v>45443</v>
      </c>
      <c r="P919">
        <v>10000</v>
      </c>
      <c r="Q919">
        <v>10000</v>
      </c>
      <c r="R919" t="s">
        <v>3007</v>
      </c>
    </row>
    <row r="920" spans="1:25" x14ac:dyDescent="0.25">
      <c r="A920" t="s">
        <v>14</v>
      </c>
      <c r="B920" t="s">
        <v>1672</v>
      </c>
      <c r="C920" t="s">
        <v>4412</v>
      </c>
      <c r="D920" t="s">
        <v>4377</v>
      </c>
      <c r="E920">
        <v>47300026094</v>
      </c>
      <c r="F920" t="s">
        <v>35</v>
      </c>
      <c r="G920" t="s">
        <v>36</v>
      </c>
      <c r="H920" t="s">
        <v>4359</v>
      </c>
      <c r="K920" t="s">
        <v>3795</v>
      </c>
      <c r="L920" t="s">
        <v>19</v>
      </c>
      <c r="M920" t="s">
        <v>20</v>
      </c>
      <c r="P920">
        <v>250000</v>
      </c>
      <c r="Q920">
        <v>250000</v>
      </c>
      <c r="R920" t="s">
        <v>3830</v>
      </c>
      <c r="S920" t="s">
        <v>1673</v>
      </c>
      <c r="T920">
        <v>584.29999999999995</v>
      </c>
    </row>
    <row r="921" spans="1:25" x14ac:dyDescent="0.25">
      <c r="A921" t="s">
        <v>14</v>
      </c>
      <c r="B921" t="s">
        <v>1670</v>
      </c>
      <c r="C921" t="s">
        <v>4371</v>
      </c>
      <c r="D921" t="s">
        <v>4368</v>
      </c>
      <c r="E921">
        <v>47300025708</v>
      </c>
      <c r="F921" t="s">
        <v>35</v>
      </c>
      <c r="G921" t="s">
        <v>36</v>
      </c>
      <c r="H921" t="s">
        <v>4360</v>
      </c>
      <c r="K921" t="s">
        <v>3795</v>
      </c>
      <c r="L921" t="s">
        <v>19</v>
      </c>
      <c r="M921" t="s">
        <v>20</v>
      </c>
      <c r="P921">
        <v>250000</v>
      </c>
      <c r="Q921">
        <v>250000</v>
      </c>
      <c r="R921" t="s">
        <v>3831</v>
      </c>
      <c r="S921" t="s">
        <v>1671</v>
      </c>
      <c r="T921">
        <v>584.29999999999995</v>
      </c>
    </row>
    <row r="922" spans="1:25" x14ac:dyDescent="0.25">
      <c r="A922" t="s">
        <v>14</v>
      </c>
      <c r="B922" t="s">
        <v>1668</v>
      </c>
      <c r="C922" t="s">
        <v>4367</v>
      </c>
      <c r="D922" t="s">
        <v>4368</v>
      </c>
      <c r="E922">
        <v>47300046258</v>
      </c>
      <c r="F922" t="s">
        <v>16</v>
      </c>
      <c r="G922" t="s">
        <v>28</v>
      </c>
      <c r="H922" t="s">
        <v>160</v>
      </c>
      <c r="K922" t="s">
        <v>3795</v>
      </c>
      <c r="L922" t="s">
        <v>19</v>
      </c>
      <c r="M922" t="s">
        <v>20</v>
      </c>
      <c r="P922">
        <v>20000</v>
      </c>
      <c r="Q922">
        <v>20000</v>
      </c>
      <c r="R922" t="s">
        <v>3832</v>
      </c>
      <c r="S922" t="s">
        <v>1669</v>
      </c>
      <c r="T922">
        <v>46.7</v>
      </c>
    </row>
    <row r="923" spans="1:25" x14ac:dyDescent="0.25">
      <c r="A923" t="s">
        <v>14</v>
      </c>
      <c r="B923" t="s">
        <v>1667</v>
      </c>
      <c r="C923" t="s">
        <v>4374</v>
      </c>
      <c r="D923" t="s">
        <v>4375</v>
      </c>
      <c r="E923">
        <v>47300046316</v>
      </c>
      <c r="F923" t="s">
        <v>42</v>
      </c>
      <c r="G923" t="s">
        <v>28</v>
      </c>
      <c r="H923" t="s">
        <v>69</v>
      </c>
      <c r="K923" t="s">
        <v>3294</v>
      </c>
      <c r="L923" t="s">
        <v>19</v>
      </c>
      <c r="M923" t="s">
        <v>46</v>
      </c>
      <c r="N923" s="2">
        <v>45413</v>
      </c>
      <c r="O923" s="2">
        <v>45443</v>
      </c>
      <c r="P923">
        <v>500</v>
      </c>
      <c r="Q923">
        <v>500</v>
      </c>
      <c r="R923" t="s">
        <v>3397</v>
      </c>
    </row>
    <row r="924" spans="1:25" x14ac:dyDescent="0.25">
      <c r="A924" t="s">
        <v>14</v>
      </c>
      <c r="B924" t="s">
        <v>1665</v>
      </c>
      <c r="C924" t="s">
        <v>4398</v>
      </c>
      <c r="D924" t="s">
        <v>4377</v>
      </c>
      <c r="E924">
        <v>47300070498</v>
      </c>
      <c r="F924" t="s">
        <v>16</v>
      </c>
      <c r="G924" t="s">
        <v>28</v>
      </c>
      <c r="H924" t="s">
        <v>794</v>
      </c>
      <c r="I924" t="s">
        <v>2853</v>
      </c>
      <c r="J924" t="s">
        <v>2852</v>
      </c>
      <c r="K924" t="s">
        <v>4266</v>
      </c>
      <c r="L924" t="s">
        <v>19</v>
      </c>
      <c r="M924" t="s">
        <v>63</v>
      </c>
      <c r="N924" s="2">
        <v>45413</v>
      </c>
      <c r="O924" s="2">
        <v>45443</v>
      </c>
      <c r="P924">
        <v>30000</v>
      </c>
      <c r="Q924">
        <v>30000</v>
      </c>
      <c r="R924" t="s">
        <v>4270</v>
      </c>
      <c r="S924" t="s">
        <v>1666</v>
      </c>
      <c r="T924">
        <v>70.099999999999994</v>
      </c>
    </row>
    <row r="925" spans="1:25" x14ac:dyDescent="0.25">
      <c r="A925" t="s">
        <v>14</v>
      </c>
      <c r="B925" t="s">
        <v>1664</v>
      </c>
      <c r="C925" t="s">
        <v>4376</v>
      </c>
      <c r="D925" t="s">
        <v>4377</v>
      </c>
      <c r="E925">
        <v>47300046316</v>
      </c>
      <c r="F925" t="s">
        <v>42</v>
      </c>
      <c r="G925" t="s">
        <v>28</v>
      </c>
      <c r="H925" t="s">
        <v>69</v>
      </c>
      <c r="K925" t="s">
        <v>4348</v>
      </c>
      <c r="L925" t="s">
        <v>47</v>
      </c>
      <c r="N925" s="2">
        <v>45443</v>
      </c>
      <c r="O925" s="2">
        <v>45444</v>
      </c>
      <c r="P925">
        <v>64845.42</v>
      </c>
      <c r="Q925">
        <v>64845.42</v>
      </c>
      <c r="R925" t="s">
        <v>4347</v>
      </c>
    </row>
    <row r="926" spans="1:25" x14ac:dyDescent="0.25">
      <c r="A926" t="s">
        <v>14</v>
      </c>
      <c r="B926" t="s">
        <v>1663</v>
      </c>
      <c r="C926" t="s">
        <v>4387</v>
      </c>
      <c r="D926" t="s">
        <v>4388</v>
      </c>
      <c r="E926">
        <v>47300046720</v>
      </c>
      <c r="F926" t="s">
        <v>16</v>
      </c>
      <c r="G926" t="s">
        <v>28</v>
      </c>
      <c r="H926" t="s">
        <v>143</v>
      </c>
      <c r="K926" t="s">
        <v>3197</v>
      </c>
      <c r="L926" t="s">
        <v>19</v>
      </c>
      <c r="M926" t="s">
        <v>46</v>
      </c>
      <c r="N926" s="2">
        <v>45413</v>
      </c>
      <c r="O926" s="2">
        <v>45443</v>
      </c>
      <c r="P926">
        <v>145500</v>
      </c>
      <c r="Q926">
        <v>145500</v>
      </c>
      <c r="R926" t="s">
        <v>2841</v>
      </c>
    </row>
    <row r="927" spans="1:25" x14ac:dyDescent="0.25">
      <c r="A927" t="s">
        <v>14</v>
      </c>
      <c r="B927" t="s">
        <v>1663</v>
      </c>
      <c r="C927" t="s">
        <v>4389</v>
      </c>
      <c r="D927" t="s">
        <v>4390</v>
      </c>
      <c r="E927">
        <v>47300046720</v>
      </c>
      <c r="F927" t="s">
        <v>16</v>
      </c>
      <c r="G927" t="s">
        <v>28</v>
      </c>
      <c r="H927" t="s">
        <v>143</v>
      </c>
      <c r="K927" t="s">
        <v>2892</v>
      </c>
      <c r="L927" t="s">
        <v>19</v>
      </c>
      <c r="M927" t="s">
        <v>46</v>
      </c>
      <c r="N927" s="2">
        <v>45413</v>
      </c>
      <c r="O927" s="2">
        <v>45443</v>
      </c>
      <c r="P927">
        <v>10000</v>
      </c>
      <c r="Q927">
        <v>10000</v>
      </c>
      <c r="R927" t="s">
        <v>2841</v>
      </c>
    </row>
    <row r="928" spans="1:25" x14ac:dyDescent="0.25">
      <c r="A928" t="s">
        <v>14</v>
      </c>
      <c r="B928" t="s">
        <v>1663</v>
      </c>
      <c r="C928" t="s">
        <v>4394</v>
      </c>
      <c r="D928" t="s">
        <v>4421</v>
      </c>
      <c r="E928">
        <v>47300046720</v>
      </c>
      <c r="F928" t="s">
        <v>16</v>
      </c>
      <c r="G928" t="s">
        <v>28</v>
      </c>
      <c r="H928" t="s">
        <v>143</v>
      </c>
      <c r="K928" t="s">
        <v>2842</v>
      </c>
      <c r="L928" t="s">
        <v>47</v>
      </c>
      <c r="N928" s="2">
        <v>45443</v>
      </c>
      <c r="O928" s="2">
        <v>45449</v>
      </c>
      <c r="P928">
        <v>290655.46000000002</v>
      </c>
      <c r="Q928">
        <v>290655.46000000002</v>
      </c>
      <c r="R928" t="s">
        <v>2841</v>
      </c>
      <c r="X928" t="s">
        <v>4422</v>
      </c>
      <c r="Y928" t="s">
        <v>4423</v>
      </c>
    </row>
    <row r="929" spans="1:20" x14ac:dyDescent="0.25">
      <c r="A929" t="s">
        <v>14</v>
      </c>
      <c r="B929" t="s">
        <v>1662</v>
      </c>
      <c r="C929" t="s">
        <v>4398</v>
      </c>
      <c r="D929" t="s">
        <v>4377</v>
      </c>
      <c r="E929">
        <v>47300070795</v>
      </c>
      <c r="F929" t="s">
        <v>16</v>
      </c>
      <c r="G929" t="s">
        <v>87</v>
      </c>
      <c r="H929" t="s">
        <v>88</v>
      </c>
      <c r="K929" t="s">
        <v>3294</v>
      </c>
      <c r="L929" t="s">
        <v>19</v>
      </c>
      <c r="M929" t="s">
        <v>46</v>
      </c>
      <c r="N929" s="2">
        <v>45413</v>
      </c>
      <c r="O929" s="2">
        <v>45443</v>
      </c>
      <c r="P929">
        <v>500</v>
      </c>
      <c r="Q929">
        <v>500</v>
      </c>
      <c r="R929" t="s">
        <v>3211</v>
      </c>
    </row>
    <row r="930" spans="1:20" x14ac:dyDescent="0.25">
      <c r="A930" t="s">
        <v>14</v>
      </c>
      <c r="B930" t="s">
        <v>1662</v>
      </c>
      <c r="C930" t="s">
        <v>4374</v>
      </c>
      <c r="D930" t="s">
        <v>4375</v>
      </c>
      <c r="E930">
        <v>47300070795</v>
      </c>
      <c r="F930" t="s">
        <v>16</v>
      </c>
      <c r="G930" t="s">
        <v>87</v>
      </c>
      <c r="H930" t="s">
        <v>88</v>
      </c>
      <c r="K930" t="s">
        <v>3197</v>
      </c>
      <c r="L930" t="s">
        <v>19</v>
      </c>
      <c r="M930" t="s">
        <v>46</v>
      </c>
      <c r="N930" s="2">
        <v>45413</v>
      </c>
      <c r="O930" s="2">
        <v>45535</v>
      </c>
      <c r="P930">
        <v>145500</v>
      </c>
      <c r="Q930">
        <v>582000</v>
      </c>
      <c r="R930" t="s">
        <v>3211</v>
      </c>
    </row>
    <row r="931" spans="1:20" x14ac:dyDescent="0.25">
      <c r="A931" t="s">
        <v>14</v>
      </c>
      <c r="B931" t="s">
        <v>1660</v>
      </c>
      <c r="C931" t="s">
        <v>4376</v>
      </c>
      <c r="D931" t="s">
        <v>4377</v>
      </c>
      <c r="E931">
        <v>47300070571</v>
      </c>
      <c r="F931" t="s">
        <v>42</v>
      </c>
      <c r="G931" t="s">
        <v>28</v>
      </c>
      <c r="H931" t="s">
        <v>72</v>
      </c>
      <c r="K931" t="s">
        <v>3795</v>
      </c>
      <c r="L931" t="s">
        <v>19</v>
      </c>
      <c r="M931" t="s">
        <v>20</v>
      </c>
      <c r="P931">
        <v>100000</v>
      </c>
      <c r="Q931">
        <v>100000</v>
      </c>
      <c r="R931" t="s">
        <v>3833</v>
      </c>
      <c r="S931" t="s">
        <v>1661</v>
      </c>
      <c r="T931">
        <v>233.8</v>
      </c>
    </row>
    <row r="932" spans="1:20" x14ac:dyDescent="0.25">
      <c r="A932" t="s">
        <v>14</v>
      </c>
      <c r="B932" t="s">
        <v>1658</v>
      </c>
      <c r="C932" t="s">
        <v>4376</v>
      </c>
      <c r="D932" t="s">
        <v>4377</v>
      </c>
      <c r="E932">
        <v>47300046761</v>
      </c>
      <c r="F932" t="s">
        <v>42</v>
      </c>
      <c r="G932" t="s">
        <v>28</v>
      </c>
      <c r="H932" t="s">
        <v>43</v>
      </c>
      <c r="K932" t="s">
        <v>3795</v>
      </c>
      <c r="L932" t="s">
        <v>19</v>
      </c>
      <c r="M932" t="s">
        <v>20</v>
      </c>
      <c r="P932">
        <v>30000</v>
      </c>
      <c r="Q932">
        <v>30000</v>
      </c>
      <c r="R932" t="s">
        <v>3834</v>
      </c>
      <c r="S932" t="s">
        <v>1659</v>
      </c>
      <c r="T932">
        <v>70.099999999999994</v>
      </c>
    </row>
    <row r="933" spans="1:20" x14ac:dyDescent="0.25">
      <c r="A933" t="s">
        <v>14</v>
      </c>
      <c r="B933" t="s">
        <v>1656</v>
      </c>
      <c r="C933" t="s">
        <v>4376</v>
      </c>
      <c r="D933" t="s">
        <v>4377</v>
      </c>
      <c r="E933">
        <v>47300046720</v>
      </c>
      <c r="F933" t="s">
        <v>16</v>
      </c>
      <c r="G933" t="s">
        <v>28</v>
      </c>
      <c r="H933" t="s">
        <v>143</v>
      </c>
      <c r="K933" t="s">
        <v>3795</v>
      </c>
      <c r="L933" t="s">
        <v>19</v>
      </c>
      <c r="M933" t="s">
        <v>20</v>
      </c>
      <c r="P933">
        <v>50000</v>
      </c>
      <c r="Q933">
        <v>50000</v>
      </c>
      <c r="R933" t="s">
        <v>3835</v>
      </c>
      <c r="S933" t="s">
        <v>1657</v>
      </c>
      <c r="T933">
        <v>116.9</v>
      </c>
    </row>
    <row r="934" spans="1:20" x14ac:dyDescent="0.25">
      <c r="A934" t="s">
        <v>14</v>
      </c>
      <c r="B934" t="s">
        <v>1655</v>
      </c>
      <c r="C934" t="s">
        <v>4382</v>
      </c>
      <c r="D934" t="s">
        <v>4383</v>
      </c>
      <c r="E934">
        <v>47300046977</v>
      </c>
      <c r="F934" t="s">
        <v>16</v>
      </c>
      <c r="G934" t="s">
        <v>17</v>
      </c>
      <c r="H934" t="s">
        <v>175</v>
      </c>
      <c r="K934" t="s">
        <v>3294</v>
      </c>
      <c r="L934" t="s">
        <v>19</v>
      </c>
      <c r="M934" t="s">
        <v>46</v>
      </c>
      <c r="N934" s="2">
        <v>45444</v>
      </c>
      <c r="O934" s="2">
        <v>45473</v>
      </c>
      <c r="P934">
        <v>500</v>
      </c>
      <c r="Q934">
        <v>500</v>
      </c>
      <c r="R934" t="s">
        <v>3008</v>
      </c>
    </row>
    <row r="935" spans="1:20" x14ac:dyDescent="0.25">
      <c r="A935" t="s">
        <v>14</v>
      </c>
      <c r="B935" t="s">
        <v>1655</v>
      </c>
      <c r="C935" t="s">
        <v>4408</v>
      </c>
      <c r="D935" t="s">
        <v>4407</v>
      </c>
      <c r="E935">
        <v>47300046977</v>
      </c>
      <c r="F935" t="s">
        <v>16</v>
      </c>
      <c r="G935" t="s">
        <v>17</v>
      </c>
      <c r="H935" t="s">
        <v>175</v>
      </c>
      <c r="K935" t="s">
        <v>3197</v>
      </c>
      <c r="L935" t="s">
        <v>19</v>
      </c>
      <c r="M935" t="s">
        <v>46</v>
      </c>
      <c r="N935" s="2">
        <v>45444</v>
      </c>
      <c r="O935" s="2">
        <v>45473</v>
      </c>
      <c r="P935">
        <v>145500</v>
      </c>
      <c r="Q935">
        <v>145500</v>
      </c>
      <c r="R935" t="s">
        <v>3008</v>
      </c>
    </row>
    <row r="936" spans="1:20" x14ac:dyDescent="0.25">
      <c r="A936" t="s">
        <v>14</v>
      </c>
      <c r="B936" t="s">
        <v>1655</v>
      </c>
      <c r="C936" t="s">
        <v>4378</v>
      </c>
      <c r="D936" t="s">
        <v>4379</v>
      </c>
      <c r="E936">
        <v>47300046977</v>
      </c>
      <c r="F936" t="s">
        <v>16</v>
      </c>
      <c r="G936" t="s">
        <v>17</v>
      </c>
      <c r="H936" t="s">
        <v>175</v>
      </c>
      <c r="K936" t="s">
        <v>2892</v>
      </c>
      <c r="L936" t="s">
        <v>19</v>
      </c>
      <c r="M936" t="s">
        <v>46</v>
      </c>
      <c r="N936" s="2">
        <v>45444</v>
      </c>
      <c r="O936" s="2">
        <v>45473</v>
      </c>
      <c r="P936">
        <v>10000</v>
      </c>
      <c r="Q936">
        <v>10000</v>
      </c>
      <c r="R936" t="s">
        <v>3008</v>
      </c>
    </row>
    <row r="937" spans="1:20" x14ac:dyDescent="0.25">
      <c r="A937" t="s">
        <v>14</v>
      </c>
      <c r="B937" t="s">
        <v>1654</v>
      </c>
      <c r="C937" t="s">
        <v>4400</v>
      </c>
      <c r="D937" t="s">
        <v>4401</v>
      </c>
      <c r="E937">
        <v>47300046647</v>
      </c>
      <c r="F937" t="s">
        <v>16</v>
      </c>
      <c r="G937" t="s">
        <v>87</v>
      </c>
      <c r="H937" t="s">
        <v>100</v>
      </c>
      <c r="K937" t="s">
        <v>3294</v>
      </c>
      <c r="L937" t="s">
        <v>19</v>
      </c>
      <c r="M937" t="s">
        <v>46</v>
      </c>
      <c r="N937" s="2">
        <v>45444</v>
      </c>
      <c r="O937" s="2">
        <v>45473</v>
      </c>
      <c r="P937">
        <v>500</v>
      </c>
      <c r="Q937">
        <v>500</v>
      </c>
      <c r="R937" t="s">
        <v>2877</v>
      </c>
    </row>
    <row r="938" spans="1:20" x14ac:dyDescent="0.25">
      <c r="A938" t="s">
        <v>14</v>
      </c>
      <c r="B938" t="s">
        <v>1654</v>
      </c>
      <c r="C938" t="s">
        <v>4418</v>
      </c>
      <c r="D938" t="s">
        <v>4368</v>
      </c>
      <c r="E938">
        <v>47300046647</v>
      </c>
      <c r="F938" t="s">
        <v>16</v>
      </c>
      <c r="G938" t="s">
        <v>87</v>
      </c>
      <c r="H938" t="s">
        <v>100</v>
      </c>
      <c r="K938" t="s">
        <v>3278</v>
      </c>
      <c r="L938" t="s">
        <v>47</v>
      </c>
      <c r="N938" s="2">
        <v>45413</v>
      </c>
      <c r="O938" s="2">
        <v>45443</v>
      </c>
      <c r="P938">
        <v>500</v>
      </c>
      <c r="Q938">
        <v>500</v>
      </c>
      <c r="R938" t="s">
        <v>2877</v>
      </c>
    </row>
    <row r="939" spans="1:20" x14ac:dyDescent="0.25">
      <c r="A939" t="s">
        <v>14</v>
      </c>
      <c r="B939" t="s">
        <v>1654</v>
      </c>
      <c r="C939" t="s">
        <v>4409</v>
      </c>
      <c r="D939" t="s">
        <v>4410</v>
      </c>
      <c r="E939">
        <v>47300046647</v>
      </c>
      <c r="F939" t="s">
        <v>16</v>
      </c>
      <c r="G939" t="s">
        <v>87</v>
      </c>
      <c r="H939" t="s">
        <v>100</v>
      </c>
      <c r="K939" t="s">
        <v>2892</v>
      </c>
      <c r="L939" t="s">
        <v>19</v>
      </c>
      <c r="M939" t="s">
        <v>46</v>
      </c>
      <c r="N939" s="2">
        <v>45444</v>
      </c>
      <c r="O939" s="2">
        <v>45473</v>
      </c>
      <c r="P939">
        <v>10000</v>
      </c>
      <c r="Q939">
        <v>10000</v>
      </c>
      <c r="R939" t="s">
        <v>2877</v>
      </c>
    </row>
    <row r="940" spans="1:20" x14ac:dyDescent="0.25">
      <c r="A940" t="s">
        <v>14</v>
      </c>
      <c r="B940" t="s">
        <v>1654</v>
      </c>
      <c r="C940" t="s">
        <v>4386</v>
      </c>
      <c r="D940" t="s">
        <v>4368</v>
      </c>
      <c r="E940">
        <v>47300046647</v>
      </c>
      <c r="F940" t="s">
        <v>16</v>
      </c>
      <c r="G940" t="s">
        <v>87</v>
      </c>
      <c r="H940" t="s">
        <v>100</v>
      </c>
      <c r="K940" t="s">
        <v>2878</v>
      </c>
      <c r="L940" t="s">
        <v>47</v>
      </c>
      <c r="N940" s="2">
        <v>45413</v>
      </c>
      <c r="O940" s="2">
        <v>45443</v>
      </c>
      <c r="P940">
        <v>10000</v>
      </c>
      <c r="Q940">
        <v>10000</v>
      </c>
      <c r="R940" t="s">
        <v>2877</v>
      </c>
    </row>
    <row r="941" spans="1:20" x14ac:dyDescent="0.25">
      <c r="A941" t="s">
        <v>14</v>
      </c>
      <c r="B941" t="s">
        <v>1652</v>
      </c>
      <c r="C941" t="s">
        <v>4384</v>
      </c>
      <c r="D941" t="s">
        <v>4385</v>
      </c>
      <c r="E941">
        <v>47300025690</v>
      </c>
      <c r="F941" t="s">
        <v>35</v>
      </c>
      <c r="G941" t="s">
        <v>36</v>
      </c>
      <c r="H941" t="s">
        <v>37</v>
      </c>
      <c r="K941" t="s">
        <v>4266</v>
      </c>
      <c r="L941" t="s">
        <v>19</v>
      </c>
      <c r="M941" t="s">
        <v>63</v>
      </c>
      <c r="N941" s="2">
        <v>45444</v>
      </c>
      <c r="O941" s="2">
        <v>45473</v>
      </c>
      <c r="P941">
        <v>100000</v>
      </c>
      <c r="Q941">
        <v>100000</v>
      </c>
      <c r="R941" t="s">
        <v>3398</v>
      </c>
      <c r="S941" t="s">
        <v>1653</v>
      </c>
      <c r="T941">
        <v>233.7</v>
      </c>
    </row>
    <row r="942" spans="1:20" x14ac:dyDescent="0.25">
      <c r="A942" t="s">
        <v>14</v>
      </c>
      <c r="B942" t="s">
        <v>1652</v>
      </c>
      <c r="C942" t="s">
        <v>4384</v>
      </c>
      <c r="D942" t="s">
        <v>4391</v>
      </c>
      <c r="E942">
        <v>47300025690</v>
      </c>
      <c r="F942" t="s">
        <v>35</v>
      </c>
      <c r="G942" t="s">
        <v>36</v>
      </c>
      <c r="H942" t="s">
        <v>37</v>
      </c>
      <c r="K942" t="s">
        <v>3294</v>
      </c>
      <c r="L942" t="s">
        <v>19</v>
      </c>
      <c r="M942" t="s">
        <v>46</v>
      </c>
      <c r="N942" s="2">
        <v>45444</v>
      </c>
      <c r="O942" s="2">
        <v>45473</v>
      </c>
      <c r="P942">
        <v>500</v>
      </c>
      <c r="Q942">
        <v>500</v>
      </c>
      <c r="R942" t="s">
        <v>3398</v>
      </c>
    </row>
    <row r="943" spans="1:20" x14ac:dyDescent="0.25">
      <c r="A943" t="s">
        <v>14</v>
      </c>
      <c r="B943" t="s">
        <v>1650</v>
      </c>
      <c r="C943" t="s">
        <v>4384</v>
      </c>
      <c r="D943" t="s">
        <v>4385</v>
      </c>
      <c r="E943">
        <v>47300026185</v>
      </c>
      <c r="F943" t="s">
        <v>35</v>
      </c>
      <c r="G943" t="s">
        <v>36</v>
      </c>
      <c r="H943" t="s">
        <v>4361</v>
      </c>
      <c r="K943" t="s">
        <v>4266</v>
      </c>
      <c r="L943" t="s">
        <v>19</v>
      </c>
      <c r="M943" t="s">
        <v>63</v>
      </c>
      <c r="N943" s="2">
        <v>45444</v>
      </c>
      <c r="O943" s="2">
        <v>45473</v>
      </c>
      <c r="P943">
        <v>100000</v>
      </c>
      <c r="Q943">
        <v>100000</v>
      </c>
      <c r="R943" t="s">
        <v>3399</v>
      </c>
      <c r="S943" t="s">
        <v>1651</v>
      </c>
      <c r="T943">
        <v>233.7</v>
      </c>
    </row>
    <row r="944" spans="1:20" x14ac:dyDescent="0.25">
      <c r="A944" t="s">
        <v>14</v>
      </c>
      <c r="B944" t="s">
        <v>1650</v>
      </c>
      <c r="C944" t="s">
        <v>4364</v>
      </c>
      <c r="D944" t="s">
        <v>4358</v>
      </c>
      <c r="E944">
        <v>47300026185</v>
      </c>
      <c r="F944" t="s">
        <v>35</v>
      </c>
      <c r="G944" t="s">
        <v>36</v>
      </c>
      <c r="H944" t="s">
        <v>4361</v>
      </c>
      <c r="K944" t="s">
        <v>3294</v>
      </c>
      <c r="L944" t="s">
        <v>19</v>
      </c>
      <c r="M944" t="s">
        <v>46</v>
      </c>
      <c r="N944" s="2">
        <v>45444</v>
      </c>
      <c r="O944" s="2">
        <v>45473</v>
      </c>
      <c r="P944">
        <v>500</v>
      </c>
      <c r="Q944">
        <v>500</v>
      </c>
      <c r="R944" t="s">
        <v>3399</v>
      </c>
    </row>
    <row r="945" spans="1:20" x14ac:dyDescent="0.25">
      <c r="A945" t="s">
        <v>14</v>
      </c>
      <c r="B945" t="s">
        <v>1648</v>
      </c>
      <c r="C945" t="s">
        <v>4382</v>
      </c>
      <c r="D945" t="s">
        <v>4383</v>
      </c>
      <c r="E945">
        <v>47300012151</v>
      </c>
      <c r="F945" t="s">
        <v>35</v>
      </c>
      <c r="G945" t="s">
        <v>36</v>
      </c>
      <c r="H945" t="s">
        <v>4362</v>
      </c>
      <c r="K945" t="s">
        <v>4266</v>
      </c>
      <c r="L945" t="s">
        <v>19</v>
      </c>
      <c r="M945" t="s">
        <v>63</v>
      </c>
      <c r="N945" s="2">
        <v>45444</v>
      </c>
      <c r="O945" s="2">
        <v>45473</v>
      </c>
      <c r="P945">
        <v>100000</v>
      </c>
      <c r="Q945">
        <v>100000</v>
      </c>
      <c r="R945" t="s">
        <v>3400</v>
      </c>
      <c r="S945" t="s">
        <v>1649</v>
      </c>
      <c r="T945">
        <v>233.7</v>
      </c>
    </row>
    <row r="946" spans="1:20" x14ac:dyDescent="0.25">
      <c r="A946" t="s">
        <v>14</v>
      </c>
      <c r="B946" t="s">
        <v>1648</v>
      </c>
      <c r="C946" t="s">
        <v>4400</v>
      </c>
      <c r="D946" t="s">
        <v>4401</v>
      </c>
      <c r="E946">
        <v>47300012151</v>
      </c>
      <c r="F946" t="s">
        <v>35</v>
      </c>
      <c r="G946" t="s">
        <v>36</v>
      </c>
      <c r="H946" t="s">
        <v>4362</v>
      </c>
      <c r="K946" t="s">
        <v>3294</v>
      </c>
      <c r="L946" t="s">
        <v>19</v>
      </c>
      <c r="M946" t="s">
        <v>46</v>
      </c>
      <c r="N946" s="2">
        <v>45444</v>
      </c>
      <c r="O946" s="2">
        <v>45473</v>
      </c>
      <c r="P946">
        <v>500</v>
      </c>
      <c r="Q946">
        <v>500</v>
      </c>
      <c r="R946" t="s">
        <v>3400</v>
      </c>
    </row>
    <row r="947" spans="1:20" x14ac:dyDescent="0.25">
      <c r="A947" t="s">
        <v>14</v>
      </c>
      <c r="B947" t="s">
        <v>1646</v>
      </c>
      <c r="C947" t="s">
        <v>4418</v>
      </c>
      <c r="D947" t="s">
        <v>4368</v>
      </c>
      <c r="E947">
        <v>47300070522</v>
      </c>
      <c r="F947" t="s">
        <v>16</v>
      </c>
      <c r="G947" t="s">
        <v>17</v>
      </c>
      <c r="H947" t="s">
        <v>18</v>
      </c>
      <c r="K947" t="s">
        <v>4266</v>
      </c>
      <c r="L947" t="s">
        <v>19</v>
      </c>
      <c r="M947" t="s">
        <v>63</v>
      </c>
      <c r="N947" s="2">
        <v>45444</v>
      </c>
      <c r="O947" s="2">
        <v>45473</v>
      </c>
      <c r="P947">
        <v>40000</v>
      </c>
      <c r="Q947">
        <v>40000</v>
      </c>
      <c r="R947" t="s">
        <v>3009</v>
      </c>
      <c r="S947" t="s">
        <v>1647</v>
      </c>
      <c r="T947">
        <v>93.5</v>
      </c>
    </row>
    <row r="948" spans="1:20" x14ac:dyDescent="0.25">
      <c r="A948" t="s">
        <v>14</v>
      </c>
      <c r="B948" t="s">
        <v>1646</v>
      </c>
      <c r="C948" t="s">
        <v>4409</v>
      </c>
      <c r="D948" t="s">
        <v>4410</v>
      </c>
      <c r="E948">
        <v>47300070522</v>
      </c>
      <c r="F948" t="s">
        <v>16</v>
      </c>
      <c r="G948" t="s">
        <v>17</v>
      </c>
      <c r="H948" t="s">
        <v>18</v>
      </c>
      <c r="K948" t="s">
        <v>3294</v>
      </c>
      <c r="L948" t="s">
        <v>19</v>
      </c>
      <c r="M948" t="s">
        <v>46</v>
      </c>
      <c r="N948" s="2">
        <v>45444</v>
      </c>
      <c r="O948" s="2">
        <v>45473</v>
      </c>
      <c r="P948">
        <v>500</v>
      </c>
      <c r="Q948">
        <v>500</v>
      </c>
      <c r="R948" t="s">
        <v>3009</v>
      </c>
    </row>
    <row r="949" spans="1:20" x14ac:dyDescent="0.25">
      <c r="A949" t="s">
        <v>14</v>
      </c>
      <c r="B949" t="s">
        <v>1646</v>
      </c>
      <c r="C949" t="s">
        <v>4386</v>
      </c>
      <c r="D949" t="s">
        <v>4368</v>
      </c>
      <c r="E949">
        <v>47300070522</v>
      </c>
      <c r="F949" t="s">
        <v>16</v>
      </c>
      <c r="G949" t="s">
        <v>17</v>
      </c>
      <c r="H949" t="s">
        <v>18</v>
      </c>
      <c r="K949" t="s">
        <v>3197</v>
      </c>
      <c r="L949" t="s">
        <v>19</v>
      </c>
      <c r="M949" t="s">
        <v>46</v>
      </c>
      <c r="N949" s="2">
        <v>45444</v>
      </c>
      <c r="O949" s="2">
        <v>45473</v>
      </c>
      <c r="P949">
        <v>145500</v>
      </c>
      <c r="Q949">
        <v>145500</v>
      </c>
      <c r="R949" t="s">
        <v>3009</v>
      </c>
    </row>
    <row r="950" spans="1:20" x14ac:dyDescent="0.25">
      <c r="A950" t="s">
        <v>14</v>
      </c>
      <c r="B950" t="s">
        <v>1646</v>
      </c>
      <c r="C950" t="s">
        <v>4414</v>
      </c>
      <c r="D950" t="s">
        <v>4401</v>
      </c>
      <c r="E950">
        <v>47300070522</v>
      </c>
      <c r="F950" t="s">
        <v>16</v>
      </c>
      <c r="G950" t="s">
        <v>17</v>
      </c>
      <c r="H950" t="s">
        <v>18</v>
      </c>
      <c r="K950" t="s">
        <v>3190</v>
      </c>
      <c r="L950" t="s">
        <v>47</v>
      </c>
      <c r="N950" s="2">
        <v>45413</v>
      </c>
      <c r="O950" s="2">
        <v>45443</v>
      </c>
      <c r="P950">
        <v>9500</v>
      </c>
      <c r="Q950">
        <v>9500</v>
      </c>
      <c r="R950" t="s">
        <v>3009</v>
      </c>
    </row>
    <row r="951" spans="1:20" x14ac:dyDescent="0.25">
      <c r="A951" t="s">
        <v>14</v>
      </c>
      <c r="B951" t="s">
        <v>1646</v>
      </c>
      <c r="C951" t="s">
        <v>4382</v>
      </c>
      <c r="D951" t="s">
        <v>4383</v>
      </c>
      <c r="E951">
        <v>47300070522</v>
      </c>
      <c r="F951" t="s">
        <v>16</v>
      </c>
      <c r="G951" t="s">
        <v>17</v>
      </c>
      <c r="H951" t="s">
        <v>18</v>
      </c>
      <c r="K951" t="s">
        <v>2892</v>
      </c>
      <c r="L951" t="s">
        <v>19</v>
      </c>
      <c r="M951" t="s">
        <v>46</v>
      </c>
      <c r="N951" s="2">
        <v>45444</v>
      </c>
      <c r="O951" s="2">
        <v>45473</v>
      </c>
      <c r="P951">
        <v>10000</v>
      </c>
      <c r="Q951">
        <v>10000</v>
      </c>
      <c r="R951" t="s">
        <v>3009</v>
      </c>
    </row>
    <row r="952" spans="1:20" x14ac:dyDescent="0.25">
      <c r="A952" t="s">
        <v>14</v>
      </c>
      <c r="B952" t="s">
        <v>1645</v>
      </c>
      <c r="C952" t="s">
        <v>4400</v>
      </c>
      <c r="D952" t="s">
        <v>4401</v>
      </c>
      <c r="E952">
        <v>47300046399</v>
      </c>
      <c r="F952" t="s">
        <v>16</v>
      </c>
      <c r="G952" t="s">
        <v>28</v>
      </c>
      <c r="H952" t="s">
        <v>122</v>
      </c>
      <c r="K952" t="s">
        <v>3294</v>
      </c>
      <c r="L952" t="s">
        <v>19</v>
      </c>
      <c r="M952" t="s">
        <v>46</v>
      </c>
      <c r="N952" s="2">
        <v>45444</v>
      </c>
      <c r="O952" s="2">
        <v>45473</v>
      </c>
      <c r="P952">
        <v>500</v>
      </c>
      <c r="Q952">
        <v>500</v>
      </c>
      <c r="R952" t="s">
        <v>3010</v>
      </c>
    </row>
    <row r="953" spans="1:20" x14ac:dyDescent="0.25">
      <c r="A953" t="s">
        <v>14</v>
      </c>
      <c r="B953" t="s">
        <v>1645</v>
      </c>
      <c r="C953" t="s">
        <v>4384</v>
      </c>
      <c r="D953" t="s">
        <v>4391</v>
      </c>
      <c r="E953">
        <v>47300046399</v>
      </c>
      <c r="F953" t="s">
        <v>16</v>
      </c>
      <c r="G953" t="s">
        <v>28</v>
      </c>
      <c r="H953" t="s">
        <v>122</v>
      </c>
      <c r="K953" t="s">
        <v>2892</v>
      </c>
      <c r="L953" t="s">
        <v>19</v>
      </c>
      <c r="M953" t="s">
        <v>46</v>
      </c>
      <c r="N953" s="2">
        <v>45444</v>
      </c>
      <c r="O953" s="2">
        <v>45473</v>
      </c>
      <c r="P953">
        <v>10000</v>
      </c>
      <c r="Q953">
        <v>10000</v>
      </c>
      <c r="R953" t="s">
        <v>3010</v>
      </c>
    </row>
    <row r="954" spans="1:20" x14ac:dyDescent="0.25">
      <c r="A954" t="s">
        <v>14</v>
      </c>
      <c r="B954" t="s">
        <v>1644</v>
      </c>
      <c r="C954" t="s">
        <v>4400</v>
      </c>
      <c r="D954" t="s">
        <v>4401</v>
      </c>
      <c r="E954">
        <v>47300070753</v>
      </c>
      <c r="F954" t="s">
        <v>16</v>
      </c>
      <c r="G954" t="s">
        <v>17</v>
      </c>
      <c r="H954" t="s">
        <v>82</v>
      </c>
      <c r="K954" t="s">
        <v>2878</v>
      </c>
      <c r="L954" t="s">
        <v>47</v>
      </c>
      <c r="N954" s="2">
        <v>45413</v>
      </c>
      <c r="O954" s="2">
        <v>45443</v>
      </c>
      <c r="P954">
        <v>10000</v>
      </c>
      <c r="Q954">
        <v>10000</v>
      </c>
      <c r="R954" t="s">
        <v>2879</v>
      </c>
    </row>
    <row r="955" spans="1:20" x14ac:dyDescent="0.25">
      <c r="A955" t="s">
        <v>14</v>
      </c>
      <c r="B955" t="s">
        <v>1643</v>
      </c>
      <c r="C955" t="s">
        <v>4382</v>
      </c>
      <c r="D955" t="s">
        <v>4383</v>
      </c>
      <c r="E955">
        <v>47300070753</v>
      </c>
      <c r="F955" t="s">
        <v>16</v>
      </c>
      <c r="G955" t="s">
        <v>17</v>
      </c>
      <c r="H955" t="s">
        <v>82</v>
      </c>
      <c r="K955" t="s">
        <v>3294</v>
      </c>
      <c r="L955" t="s">
        <v>19</v>
      </c>
      <c r="M955" t="s">
        <v>46</v>
      </c>
      <c r="N955" s="2">
        <v>45444</v>
      </c>
      <c r="O955" s="2">
        <v>45473</v>
      </c>
      <c r="P955">
        <v>500</v>
      </c>
      <c r="Q955">
        <v>500</v>
      </c>
      <c r="R955" t="s">
        <v>3401</v>
      </c>
    </row>
    <row r="956" spans="1:20" x14ac:dyDescent="0.25">
      <c r="A956" t="s">
        <v>14</v>
      </c>
      <c r="B956" t="s">
        <v>1641</v>
      </c>
      <c r="C956" t="s">
        <v>4378</v>
      </c>
      <c r="D956" t="s">
        <v>4379</v>
      </c>
      <c r="E956">
        <v>47300047066</v>
      </c>
      <c r="F956" t="s">
        <v>16</v>
      </c>
      <c r="G956" t="s">
        <v>28</v>
      </c>
      <c r="H956" t="s">
        <v>57</v>
      </c>
      <c r="K956" t="s">
        <v>4266</v>
      </c>
      <c r="L956" t="s">
        <v>19</v>
      </c>
      <c r="M956" t="s">
        <v>63</v>
      </c>
      <c r="N956" s="2">
        <v>45444</v>
      </c>
      <c r="O956" s="2">
        <v>45473</v>
      </c>
      <c r="P956">
        <v>140000</v>
      </c>
      <c r="Q956">
        <v>140000</v>
      </c>
      <c r="R956" t="s">
        <v>3011</v>
      </c>
      <c r="S956" t="s">
        <v>1642</v>
      </c>
      <c r="T956">
        <v>327.2</v>
      </c>
    </row>
    <row r="957" spans="1:20" x14ac:dyDescent="0.25">
      <c r="A957" t="s">
        <v>14</v>
      </c>
      <c r="B957" t="s">
        <v>1641</v>
      </c>
      <c r="C957" t="s">
        <v>4400</v>
      </c>
      <c r="D957" t="s">
        <v>4401</v>
      </c>
      <c r="E957">
        <v>47300047066</v>
      </c>
      <c r="F957" t="s">
        <v>16</v>
      </c>
      <c r="G957" t="s">
        <v>28</v>
      </c>
      <c r="H957" t="s">
        <v>57</v>
      </c>
      <c r="K957" t="s">
        <v>3294</v>
      </c>
      <c r="L957" t="s">
        <v>19</v>
      </c>
      <c r="M957" t="s">
        <v>46</v>
      </c>
      <c r="N957" s="2">
        <v>45444</v>
      </c>
      <c r="O957" s="2">
        <v>45473</v>
      </c>
      <c r="P957">
        <v>500</v>
      </c>
      <c r="Q957">
        <v>500</v>
      </c>
      <c r="R957" t="s">
        <v>3011</v>
      </c>
    </row>
    <row r="958" spans="1:20" x14ac:dyDescent="0.25">
      <c r="A958" t="s">
        <v>14</v>
      </c>
      <c r="B958" t="s">
        <v>1641</v>
      </c>
      <c r="C958" t="s">
        <v>4384</v>
      </c>
      <c r="D958" t="s">
        <v>4385</v>
      </c>
      <c r="E958">
        <v>47300047066</v>
      </c>
      <c r="F958" t="s">
        <v>16</v>
      </c>
      <c r="G958" t="s">
        <v>28</v>
      </c>
      <c r="H958" t="s">
        <v>57</v>
      </c>
      <c r="K958" t="s">
        <v>3197</v>
      </c>
      <c r="L958" t="s">
        <v>19</v>
      </c>
      <c r="M958" t="s">
        <v>46</v>
      </c>
      <c r="N958" s="2">
        <v>45444</v>
      </c>
      <c r="O958" s="2">
        <v>45473</v>
      </c>
      <c r="P958">
        <v>145500</v>
      </c>
      <c r="Q958">
        <v>145500</v>
      </c>
      <c r="R958" t="s">
        <v>3011</v>
      </c>
    </row>
    <row r="959" spans="1:20" x14ac:dyDescent="0.25">
      <c r="A959" t="s">
        <v>14</v>
      </c>
      <c r="B959" t="s">
        <v>1641</v>
      </c>
      <c r="C959" t="s">
        <v>4384</v>
      </c>
      <c r="D959" t="s">
        <v>4391</v>
      </c>
      <c r="E959">
        <v>47300047066</v>
      </c>
      <c r="F959" t="s">
        <v>16</v>
      </c>
      <c r="G959" t="s">
        <v>28</v>
      </c>
      <c r="H959" t="s">
        <v>57</v>
      </c>
      <c r="K959" t="s">
        <v>2892</v>
      </c>
      <c r="L959" t="s">
        <v>19</v>
      </c>
      <c r="M959" t="s">
        <v>46</v>
      </c>
      <c r="N959" s="2">
        <v>45444</v>
      </c>
      <c r="O959" s="2">
        <v>45473</v>
      </c>
      <c r="P959">
        <v>10000</v>
      </c>
      <c r="Q959">
        <v>10000</v>
      </c>
      <c r="R959" t="s">
        <v>3011</v>
      </c>
    </row>
    <row r="960" spans="1:20" x14ac:dyDescent="0.25">
      <c r="A960" t="s">
        <v>14</v>
      </c>
      <c r="B960" t="s">
        <v>1640</v>
      </c>
      <c r="C960" t="s">
        <v>4408</v>
      </c>
      <c r="D960" t="s">
        <v>4407</v>
      </c>
      <c r="E960">
        <v>47300046746</v>
      </c>
      <c r="F960" t="s">
        <v>16</v>
      </c>
      <c r="G960" t="s">
        <v>28</v>
      </c>
      <c r="H960" t="s">
        <v>32</v>
      </c>
      <c r="K960" t="s">
        <v>4346</v>
      </c>
      <c r="L960" t="s">
        <v>47</v>
      </c>
      <c r="N960" s="2">
        <v>45444</v>
      </c>
      <c r="O960" s="2">
        <v>45463</v>
      </c>
      <c r="P960">
        <v>30608.86</v>
      </c>
      <c r="Q960">
        <v>30608.86</v>
      </c>
      <c r="R960" t="s">
        <v>4345</v>
      </c>
    </row>
    <row r="961" spans="1:20" x14ac:dyDescent="0.25">
      <c r="A961" t="s">
        <v>14</v>
      </c>
      <c r="B961" t="s">
        <v>1638</v>
      </c>
      <c r="C961" t="s">
        <v>4384</v>
      </c>
      <c r="D961" t="s">
        <v>4385</v>
      </c>
      <c r="E961">
        <v>47300070704</v>
      </c>
      <c r="F961" t="s">
        <v>16</v>
      </c>
      <c r="G961" t="s">
        <v>28</v>
      </c>
      <c r="H961" t="s">
        <v>146</v>
      </c>
      <c r="K961" t="s">
        <v>4266</v>
      </c>
      <c r="L961" t="s">
        <v>19</v>
      </c>
      <c r="M961" t="s">
        <v>63</v>
      </c>
      <c r="N961" s="2">
        <v>45444</v>
      </c>
      <c r="O961" s="2">
        <v>45473</v>
      </c>
      <c r="P961">
        <v>250000</v>
      </c>
      <c r="Q961">
        <v>250000</v>
      </c>
      <c r="R961" t="s">
        <v>4271</v>
      </c>
      <c r="S961" t="s">
        <v>1639</v>
      </c>
      <c r="T961">
        <v>584.29999999999995</v>
      </c>
    </row>
    <row r="962" spans="1:20" x14ac:dyDescent="0.25">
      <c r="A962" t="s">
        <v>14</v>
      </c>
      <c r="B962" t="s">
        <v>1636</v>
      </c>
      <c r="C962" t="s">
        <v>4414</v>
      </c>
      <c r="D962" t="s">
        <v>4401</v>
      </c>
      <c r="E962">
        <v>47300046746</v>
      </c>
      <c r="F962" t="s">
        <v>16</v>
      </c>
      <c r="G962" t="s">
        <v>28</v>
      </c>
      <c r="H962" t="s">
        <v>32</v>
      </c>
      <c r="K962" t="s">
        <v>4266</v>
      </c>
      <c r="L962" t="s">
        <v>19</v>
      </c>
      <c r="M962" t="s">
        <v>63</v>
      </c>
      <c r="N962" s="2">
        <v>45444</v>
      </c>
      <c r="O962" s="2">
        <v>45473</v>
      </c>
      <c r="P962">
        <v>20000</v>
      </c>
      <c r="Q962">
        <v>20000</v>
      </c>
      <c r="R962" t="s">
        <v>3012</v>
      </c>
      <c r="S962" t="s">
        <v>1637</v>
      </c>
      <c r="T962">
        <v>46.7</v>
      </c>
    </row>
    <row r="963" spans="1:20" x14ac:dyDescent="0.25">
      <c r="A963" t="s">
        <v>14</v>
      </c>
      <c r="B963" t="s">
        <v>1636</v>
      </c>
      <c r="C963" t="s">
        <v>4414</v>
      </c>
      <c r="D963" t="s">
        <v>4401</v>
      </c>
      <c r="E963">
        <v>47300046746</v>
      </c>
      <c r="F963" t="s">
        <v>16</v>
      </c>
      <c r="G963" t="s">
        <v>28</v>
      </c>
      <c r="H963" t="s">
        <v>32</v>
      </c>
      <c r="K963" t="s">
        <v>3294</v>
      </c>
      <c r="L963" t="s">
        <v>19</v>
      </c>
      <c r="M963" t="s">
        <v>46</v>
      </c>
      <c r="N963" s="2">
        <v>45444</v>
      </c>
      <c r="O963" s="2">
        <v>45473</v>
      </c>
      <c r="P963">
        <v>500</v>
      </c>
      <c r="Q963">
        <v>500</v>
      </c>
      <c r="R963" t="s">
        <v>3012</v>
      </c>
    </row>
    <row r="964" spans="1:20" x14ac:dyDescent="0.25">
      <c r="A964" t="s">
        <v>14</v>
      </c>
      <c r="B964" t="s">
        <v>1636</v>
      </c>
      <c r="C964" t="s">
        <v>4414</v>
      </c>
      <c r="D964" t="s">
        <v>4401</v>
      </c>
      <c r="E964">
        <v>47300046746</v>
      </c>
      <c r="F964" t="s">
        <v>16</v>
      </c>
      <c r="G964" t="s">
        <v>28</v>
      </c>
      <c r="H964" t="s">
        <v>32</v>
      </c>
      <c r="K964" t="s">
        <v>3197</v>
      </c>
      <c r="L964" t="s">
        <v>19</v>
      </c>
      <c r="M964" t="s">
        <v>46</v>
      </c>
      <c r="N964" s="2">
        <v>45444</v>
      </c>
      <c r="O964" s="2">
        <v>45473</v>
      </c>
      <c r="P964">
        <v>145500</v>
      </c>
      <c r="Q964">
        <v>145500</v>
      </c>
      <c r="R964" t="s">
        <v>3012</v>
      </c>
    </row>
    <row r="965" spans="1:20" x14ac:dyDescent="0.25">
      <c r="A965" t="s">
        <v>14</v>
      </c>
      <c r="B965" t="s">
        <v>1636</v>
      </c>
      <c r="C965" t="s">
        <v>4414</v>
      </c>
      <c r="D965" t="s">
        <v>4401</v>
      </c>
      <c r="E965">
        <v>47300046746</v>
      </c>
      <c r="F965" t="s">
        <v>16</v>
      </c>
      <c r="G965" t="s">
        <v>28</v>
      </c>
      <c r="H965" t="s">
        <v>32</v>
      </c>
      <c r="K965" t="s">
        <v>2892</v>
      </c>
      <c r="L965" t="s">
        <v>19</v>
      </c>
      <c r="M965" t="s">
        <v>46</v>
      </c>
      <c r="N965" s="2">
        <v>45444</v>
      </c>
      <c r="O965" s="2">
        <v>45473</v>
      </c>
      <c r="P965">
        <v>10000</v>
      </c>
      <c r="Q965">
        <v>10000</v>
      </c>
      <c r="R965" t="s">
        <v>3012</v>
      </c>
    </row>
    <row r="966" spans="1:20" x14ac:dyDescent="0.25">
      <c r="A966" t="s">
        <v>14</v>
      </c>
      <c r="B966" t="s">
        <v>1634</v>
      </c>
      <c r="C966" t="s">
        <v>4387</v>
      </c>
      <c r="D966" t="s">
        <v>4388</v>
      </c>
      <c r="E966">
        <v>47300046241</v>
      </c>
      <c r="F966" t="s">
        <v>16</v>
      </c>
      <c r="G966" t="s">
        <v>23</v>
      </c>
      <c r="H966" t="s">
        <v>24</v>
      </c>
      <c r="I966" t="s">
        <v>2754</v>
      </c>
      <c r="J966">
        <v>0</v>
      </c>
      <c r="K966" t="s">
        <v>4266</v>
      </c>
      <c r="L966" t="s">
        <v>19</v>
      </c>
      <c r="M966" t="s">
        <v>63</v>
      </c>
      <c r="N966" s="2">
        <v>45444</v>
      </c>
      <c r="O966" s="2">
        <v>45473</v>
      </c>
      <c r="P966">
        <v>40000</v>
      </c>
      <c r="Q966">
        <v>40000</v>
      </c>
      <c r="R966" t="s">
        <v>3013</v>
      </c>
      <c r="S966" t="s">
        <v>1635</v>
      </c>
      <c r="T966">
        <v>93.5</v>
      </c>
    </row>
    <row r="967" spans="1:20" x14ac:dyDescent="0.25">
      <c r="A967" t="s">
        <v>14</v>
      </c>
      <c r="B967" t="s">
        <v>1634</v>
      </c>
      <c r="C967" t="s">
        <v>4369</v>
      </c>
      <c r="D967" t="s">
        <v>4370</v>
      </c>
      <c r="E967">
        <v>47300046241</v>
      </c>
      <c r="F967" t="s">
        <v>16</v>
      </c>
      <c r="G967" t="s">
        <v>23</v>
      </c>
      <c r="H967" t="s">
        <v>24</v>
      </c>
      <c r="I967" t="s">
        <v>2754</v>
      </c>
      <c r="J967">
        <v>0</v>
      </c>
      <c r="K967" t="s">
        <v>3294</v>
      </c>
      <c r="L967" t="s">
        <v>19</v>
      </c>
      <c r="M967" t="s">
        <v>46</v>
      </c>
      <c r="N967" s="2">
        <v>45444</v>
      </c>
      <c r="O967" s="2">
        <v>45473</v>
      </c>
      <c r="P967">
        <v>500</v>
      </c>
      <c r="Q967">
        <v>500</v>
      </c>
      <c r="R967" t="s">
        <v>3013</v>
      </c>
    </row>
    <row r="968" spans="1:20" x14ac:dyDescent="0.25">
      <c r="A968" t="s">
        <v>14</v>
      </c>
      <c r="B968" t="s">
        <v>1634</v>
      </c>
      <c r="C968" t="s">
        <v>4394</v>
      </c>
      <c r="D968" t="s">
        <v>4395</v>
      </c>
      <c r="E968">
        <v>47300046241</v>
      </c>
      <c r="F968" t="s">
        <v>16</v>
      </c>
      <c r="G968" t="s">
        <v>23</v>
      </c>
      <c r="H968" t="s">
        <v>24</v>
      </c>
      <c r="I968" t="s">
        <v>2754</v>
      </c>
      <c r="J968">
        <v>0</v>
      </c>
      <c r="K968" t="s">
        <v>3197</v>
      </c>
      <c r="L968" t="s">
        <v>19</v>
      </c>
      <c r="M968" t="s">
        <v>46</v>
      </c>
      <c r="N968" s="2">
        <v>45444</v>
      </c>
      <c r="O968" s="2">
        <v>45473</v>
      </c>
      <c r="P968">
        <v>145500</v>
      </c>
      <c r="Q968">
        <v>145500</v>
      </c>
      <c r="R968" t="s">
        <v>3013</v>
      </c>
    </row>
    <row r="969" spans="1:20" x14ac:dyDescent="0.25">
      <c r="A969" t="s">
        <v>14</v>
      </c>
      <c r="B969" t="s">
        <v>1634</v>
      </c>
      <c r="C969" t="s">
        <v>4387</v>
      </c>
      <c r="D969" t="s">
        <v>4388</v>
      </c>
      <c r="E969">
        <v>47300046241</v>
      </c>
      <c r="F969" t="s">
        <v>16</v>
      </c>
      <c r="G969" t="s">
        <v>23</v>
      </c>
      <c r="H969" t="s">
        <v>24</v>
      </c>
      <c r="I969" t="s">
        <v>2754</v>
      </c>
      <c r="J969">
        <v>0</v>
      </c>
      <c r="K969" t="s">
        <v>3190</v>
      </c>
      <c r="L969" t="s">
        <v>47</v>
      </c>
      <c r="N969" s="2">
        <v>45413</v>
      </c>
      <c r="O969" s="2">
        <v>45443</v>
      </c>
      <c r="P969">
        <v>145500</v>
      </c>
      <c r="Q969">
        <v>145500</v>
      </c>
      <c r="R969" t="s">
        <v>3013</v>
      </c>
    </row>
    <row r="970" spans="1:20" x14ac:dyDescent="0.25">
      <c r="A970" t="s">
        <v>14</v>
      </c>
      <c r="B970" t="s">
        <v>1634</v>
      </c>
      <c r="C970" t="s">
        <v>4369</v>
      </c>
      <c r="D970" t="s">
        <v>4370</v>
      </c>
      <c r="E970">
        <v>47300046241</v>
      </c>
      <c r="F970" t="s">
        <v>16</v>
      </c>
      <c r="G970" t="s">
        <v>23</v>
      </c>
      <c r="H970" t="s">
        <v>24</v>
      </c>
      <c r="I970" t="s">
        <v>2754</v>
      </c>
      <c r="J970">
        <v>0</v>
      </c>
      <c r="K970" t="s">
        <v>2892</v>
      </c>
      <c r="L970" t="s">
        <v>19</v>
      </c>
      <c r="M970" t="s">
        <v>46</v>
      </c>
      <c r="N970" s="2">
        <v>45444</v>
      </c>
      <c r="O970" s="2">
        <v>45473</v>
      </c>
      <c r="P970">
        <v>10000</v>
      </c>
      <c r="Q970">
        <v>10000</v>
      </c>
      <c r="R970" t="s">
        <v>3013</v>
      </c>
    </row>
    <row r="971" spans="1:20" x14ac:dyDescent="0.25">
      <c r="A971" t="s">
        <v>14</v>
      </c>
      <c r="B971" t="s">
        <v>1633</v>
      </c>
      <c r="C971" t="s">
        <v>4394</v>
      </c>
      <c r="D971" t="s">
        <v>4395</v>
      </c>
      <c r="E971">
        <v>47300086445</v>
      </c>
      <c r="F971" t="s">
        <v>16</v>
      </c>
      <c r="G971" t="s">
        <v>28</v>
      </c>
      <c r="H971" t="s">
        <v>187</v>
      </c>
      <c r="I971" t="s">
        <v>2777</v>
      </c>
      <c r="J971" t="s">
        <v>2776</v>
      </c>
      <c r="K971" t="s">
        <v>3294</v>
      </c>
      <c r="L971" t="s">
        <v>19</v>
      </c>
      <c r="M971" t="s">
        <v>46</v>
      </c>
      <c r="N971" s="2">
        <v>45444</v>
      </c>
      <c r="O971" s="2">
        <v>45473</v>
      </c>
      <c r="P971">
        <v>500</v>
      </c>
      <c r="Q971">
        <v>500</v>
      </c>
      <c r="R971" t="s">
        <v>2802</v>
      </c>
    </row>
    <row r="972" spans="1:20" x14ac:dyDescent="0.25">
      <c r="A972" t="s">
        <v>14</v>
      </c>
      <c r="B972" t="s">
        <v>1633</v>
      </c>
      <c r="C972" t="s">
        <v>4369</v>
      </c>
      <c r="D972" t="s">
        <v>4370</v>
      </c>
      <c r="E972">
        <v>47300086445</v>
      </c>
      <c r="F972" t="s">
        <v>16</v>
      </c>
      <c r="G972" t="s">
        <v>28</v>
      </c>
      <c r="H972" t="s">
        <v>187</v>
      </c>
      <c r="I972" t="s">
        <v>2777</v>
      </c>
      <c r="J972" t="s">
        <v>2776</v>
      </c>
      <c r="K972" t="s">
        <v>3197</v>
      </c>
      <c r="L972" t="s">
        <v>19</v>
      </c>
      <c r="M972" t="s">
        <v>46</v>
      </c>
      <c r="N972" s="2">
        <v>45444</v>
      </c>
      <c r="O972" s="2">
        <v>45473</v>
      </c>
      <c r="P972">
        <v>145500</v>
      </c>
      <c r="Q972">
        <v>145500</v>
      </c>
      <c r="R972" t="s">
        <v>2802</v>
      </c>
    </row>
    <row r="973" spans="1:20" x14ac:dyDescent="0.25">
      <c r="A973" t="s">
        <v>14</v>
      </c>
      <c r="B973" t="s">
        <v>1633</v>
      </c>
      <c r="C973" t="s">
        <v>4394</v>
      </c>
      <c r="D973" t="s">
        <v>4395</v>
      </c>
      <c r="E973">
        <v>47300086445</v>
      </c>
      <c r="F973" t="s">
        <v>16</v>
      </c>
      <c r="G973" t="s">
        <v>28</v>
      </c>
      <c r="H973" t="s">
        <v>187</v>
      </c>
      <c r="I973" t="s">
        <v>2777</v>
      </c>
      <c r="J973" t="s">
        <v>2776</v>
      </c>
      <c r="K973" t="s">
        <v>2892</v>
      </c>
      <c r="L973" t="s">
        <v>19</v>
      </c>
      <c r="M973" t="s">
        <v>46</v>
      </c>
      <c r="N973" s="2">
        <v>45444</v>
      </c>
      <c r="O973" s="2">
        <v>45473</v>
      </c>
      <c r="P973">
        <v>10000</v>
      </c>
      <c r="Q973">
        <v>10000</v>
      </c>
      <c r="R973" t="s">
        <v>2802</v>
      </c>
    </row>
    <row r="974" spans="1:20" x14ac:dyDescent="0.25">
      <c r="A974" t="s">
        <v>14</v>
      </c>
      <c r="B974" t="s">
        <v>1633</v>
      </c>
      <c r="C974" t="s">
        <v>4394</v>
      </c>
      <c r="D974" t="s">
        <v>4395</v>
      </c>
      <c r="E974">
        <v>47300086445</v>
      </c>
      <c r="F974" t="s">
        <v>16</v>
      </c>
      <c r="G974" t="s">
        <v>28</v>
      </c>
      <c r="H974" t="s">
        <v>187</v>
      </c>
      <c r="I974" t="s">
        <v>2777</v>
      </c>
      <c r="J974" t="s">
        <v>2776</v>
      </c>
      <c r="K974" t="s">
        <v>2803</v>
      </c>
      <c r="L974" t="s">
        <v>47</v>
      </c>
      <c r="N974" s="2">
        <v>45443</v>
      </c>
      <c r="O974" s="2">
        <v>45444</v>
      </c>
      <c r="P974">
        <v>150000</v>
      </c>
      <c r="Q974">
        <v>150000</v>
      </c>
      <c r="R974" t="s">
        <v>2802</v>
      </c>
    </row>
    <row r="975" spans="1:20" x14ac:dyDescent="0.25">
      <c r="A975" t="s">
        <v>14</v>
      </c>
      <c r="B975" t="s">
        <v>1631</v>
      </c>
      <c r="C975" t="s">
        <v>4369</v>
      </c>
      <c r="D975" t="s">
        <v>4370</v>
      </c>
      <c r="E975">
        <v>47300086445</v>
      </c>
      <c r="F975" t="s">
        <v>16</v>
      </c>
      <c r="G975" t="s">
        <v>28</v>
      </c>
      <c r="H975" t="s">
        <v>187</v>
      </c>
      <c r="I975" t="s">
        <v>2777</v>
      </c>
      <c r="J975" t="s">
        <v>2776</v>
      </c>
      <c r="K975" t="s">
        <v>4266</v>
      </c>
      <c r="L975" t="s">
        <v>19</v>
      </c>
      <c r="M975" t="s">
        <v>63</v>
      </c>
      <c r="N975" s="2">
        <v>45444</v>
      </c>
      <c r="O975" s="2">
        <v>45473</v>
      </c>
      <c r="P975">
        <v>40000</v>
      </c>
      <c r="Q975">
        <v>40000</v>
      </c>
      <c r="R975" t="s">
        <v>4272</v>
      </c>
      <c r="S975" t="s">
        <v>1632</v>
      </c>
      <c r="T975">
        <v>93.5</v>
      </c>
    </row>
    <row r="976" spans="1:20" x14ac:dyDescent="0.25">
      <c r="A976" t="s">
        <v>14</v>
      </c>
      <c r="B976" t="s">
        <v>1629</v>
      </c>
      <c r="C976" t="s">
        <v>4369</v>
      </c>
      <c r="D976" t="s">
        <v>4370</v>
      </c>
      <c r="E976">
        <v>47300046761</v>
      </c>
      <c r="F976" t="s">
        <v>42</v>
      </c>
      <c r="G976" t="s">
        <v>28</v>
      </c>
      <c r="H976" t="s">
        <v>43</v>
      </c>
      <c r="K976" t="s">
        <v>4266</v>
      </c>
      <c r="L976" t="s">
        <v>19</v>
      </c>
      <c r="M976" t="s">
        <v>63</v>
      </c>
      <c r="N976" s="2">
        <v>45444</v>
      </c>
      <c r="O976" s="2">
        <v>45473</v>
      </c>
      <c r="P976">
        <v>35000</v>
      </c>
      <c r="Q976">
        <v>35000</v>
      </c>
      <c r="R976" t="s">
        <v>3402</v>
      </c>
      <c r="S976" t="s">
        <v>1630</v>
      </c>
      <c r="T976">
        <v>81.8</v>
      </c>
    </row>
    <row r="977" spans="1:25" x14ac:dyDescent="0.25">
      <c r="A977" t="s">
        <v>14</v>
      </c>
      <c r="B977" t="s">
        <v>1629</v>
      </c>
      <c r="C977" t="s">
        <v>4394</v>
      </c>
      <c r="D977" t="s">
        <v>4395</v>
      </c>
      <c r="E977">
        <v>47300046761</v>
      </c>
      <c r="F977" t="s">
        <v>42</v>
      </c>
      <c r="G977" t="s">
        <v>28</v>
      </c>
      <c r="H977" t="s">
        <v>43</v>
      </c>
      <c r="K977" t="s">
        <v>3294</v>
      </c>
      <c r="L977" t="s">
        <v>19</v>
      </c>
      <c r="M977" t="s">
        <v>46</v>
      </c>
      <c r="N977" s="2">
        <v>45444</v>
      </c>
      <c r="O977" s="2">
        <v>45473</v>
      </c>
      <c r="P977">
        <v>500</v>
      </c>
      <c r="Q977">
        <v>500</v>
      </c>
      <c r="R977" t="s">
        <v>3402</v>
      </c>
    </row>
    <row r="978" spans="1:25" x14ac:dyDescent="0.25">
      <c r="A978" t="s">
        <v>14</v>
      </c>
      <c r="B978" t="s">
        <v>1627</v>
      </c>
      <c r="C978" t="s">
        <v>4367</v>
      </c>
      <c r="D978" t="s">
        <v>4368</v>
      </c>
      <c r="E978">
        <v>47300026094</v>
      </c>
      <c r="F978" t="s">
        <v>35</v>
      </c>
      <c r="G978" t="s">
        <v>36</v>
      </c>
      <c r="H978" t="s">
        <v>4359</v>
      </c>
      <c r="K978" t="s">
        <v>4266</v>
      </c>
      <c r="L978" t="s">
        <v>19</v>
      </c>
      <c r="M978" t="s">
        <v>63</v>
      </c>
      <c r="N978" s="2">
        <v>45444</v>
      </c>
      <c r="O978" s="2">
        <v>45473</v>
      </c>
      <c r="P978">
        <v>98000</v>
      </c>
      <c r="Q978">
        <v>98000</v>
      </c>
      <c r="R978" t="s">
        <v>3403</v>
      </c>
      <c r="S978" t="s">
        <v>1628</v>
      </c>
      <c r="T978">
        <v>229.1</v>
      </c>
    </row>
    <row r="979" spans="1:25" x14ac:dyDescent="0.25">
      <c r="A979" t="s">
        <v>14</v>
      </c>
      <c r="B979" t="s">
        <v>1627</v>
      </c>
      <c r="C979" t="s">
        <v>4367</v>
      </c>
      <c r="D979" t="s">
        <v>4368</v>
      </c>
      <c r="E979">
        <v>47300026094</v>
      </c>
      <c r="F979" t="s">
        <v>35</v>
      </c>
      <c r="G979" t="s">
        <v>36</v>
      </c>
      <c r="H979" t="s">
        <v>4359</v>
      </c>
      <c r="K979" t="s">
        <v>3294</v>
      </c>
      <c r="L979" t="s">
        <v>19</v>
      </c>
      <c r="M979" t="s">
        <v>46</v>
      </c>
      <c r="N979" s="2">
        <v>45444</v>
      </c>
      <c r="O979" s="2">
        <v>45473</v>
      </c>
      <c r="P979">
        <v>500</v>
      </c>
      <c r="Q979">
        <v>500</v>
      </c>
      <c r="R979" t="s">
        <v>3403</v>
      </c>
    </row>
    <row r="980" spans="1:25" x14ac:dyDescent="0.25">
      <c r="A980" t="s">
        <v>14</v>
      </c>
      <c r="B980" t="s">
        <v>1626</v>
      </c>
      <c r="C980" t="s">
        <v>4389</v>
      </c>
      <c r="D980" t="s">
        <v>4390</v>
      </c>
      <c r="E980">
        <v>47300070688</v>
      </c>
      <c r="F980" t="s">
        <v>16</v>
      </c>
      <c r="G980" t="s">
        <v>17</v>
      </c>
      <c r="H980" t="s">
        <v>149</v>
      </c>
      <c r="K980" t="s">
        <v>3294</v>
      </c>
      <c r="L980" t="s">
        <v>19</v>
      </c>
      <c r="M980" t="s">
        <v>46</v>
      </c>
      <c r="N980" s="2">
        <v>45444</v>
      </c>
      <c r="O980" s="2">
        <v>45473</v>
      </c>
      <c r="P980">
        <v>500</v>
      </c>
      <c r="Q980">
        <v>500</v>
      </c>
      <c r="R980" t="s">
        <v>2880</v>
      </c>
    </row>
    <row r="981" spans="1:25" x14ac:dyDescent="0.25">
      <c r="A981" t="s">
        <v>14</v>
      </c>
      <c r="B981" t="s">
        <v>1626</v>
      </c>
      <c r="C981" t="s">
        <v>4376</v>
      </c>
      <c r="D981" t="s">
        <v>4377</v>
      </c>
      <c r="E981">
        <v>47300070688</v>
      </c>
      <c r="F981" t="s">
        <v>16</v>
      </c>
      <c r="G981" t="s">
        <v>17</v>
      </c>
      <c r="H981" t="s">
        <v>149</v>
      </c>
      <c r="K981" t="s">
        <v>3278</v>
      </c>
      <c r="L981" t="s">
        <v>47</v>
      </c>
      <c r="N981" s="2">
        <v>45413</v>
      </c>
      <c r="O981" s="2">
        <v>45443</v>
      </c>
      <c r="P981">
        <v>500</v>
      </c>
      <c r="Q981">
        <v>500</v>
      </c>
      <c r="R981" t="s">
        <v>2880</v>
      </c>
    </row>
    <row r="982" spans="1:25" x14ac:dyDescent="0.25">
      <c r="A982" t="s">
        <v>14</v>
      </c>
      <c r="B982" t="s">
        <v>1626</v>
      </c>
      <c r="C982" t="s">
        <v>4412</v>
      </c>
      <c r="D982" t="s">
        <v>4424</v>
      </c>
      <c r="E982">
        <v>47300070688</v>
      </c>
      <c r="F982" t="s">
        <v>16</v>
      </c>
      <c r="G982" t="s">
        <v>17</v>
      </c>
      <c r="H982" t="s">
        <v>149</v>
      </c>
      <c r="K982" t="s">
        <v>2892</v>
      </c>
      <c r="L982" t="s">
        <v>19</v>
      </c>
      <c r="M982" t="s">
        <v>46</v>
      </c>
      <c r="N982" s="2">
        <v>45444</v>
      </c>
      <c r="O982" s="2">
        <v>45473</v>
      </c>
      <c r="P982">
        <v>10000</v>
      </c>
      <c r="Q982">
        <v>10000</v>
      </c>
      <c r="R982" t="s">
        <v>2880</v>
      </c>
    </row>
    <row r="983" spans="1:25" x14ac:dyDescent="0.25">
      <c r="A983" t="s">
        <v>14</v>
      </c>
      <c r="B983" t="s">
        <v>1626</v>
      </c>
      <c r="C983" t="s">
        <v>4412</v>
      </c>
      <c r="D983" t="s">
        <v>4377</v>
      </c>
      <c r="E983">
        <v>47300070688</v>
      </c>
      <c r="F983" t="s">
        <v>16</v>
      </c>
      <c r="G983" t="s">
        <v>17</v>
      </c>
      <c r="H983" t="s">
        <v>149</v>
      </c>
      <c r="K983" t="s">
        <v>2878</v>
      </c>
      <c r="L983" t="s">
        <v>47</v>
      </c>
      <c r="N983" s="2">
        <v>45413</v>
      </c>
      <c r="O983" s="2">
        <v>45443</v>
      </c>
      <c r="P983">
        <v>10000</v>
      </c>
      <c r="Q983">
        <v>10000</v>
      </c>
      <c r="R983" t="s">
        <v>2880</v>
      </c>
    </row>
    <row r="984" spans="1:25" x14ac:dyDescent="0.25">
      <c r="A984" t="s">
        <v>14</v>
      </c>
      <c r="B984" t="s">
        <v>1625</v>
      </c>
      <c r="C984" t="s">
        <v>4365</v>
      </c>
      <c r="D984" t="s">
        <v>4366</v>
      </c>
      <c r="E984">
        <v>47300047280</v>
      </c>
      <c r="F984" t="s">
        <v>16</v>
      </c>
      <c r="G984" t="s">
        <v>28</v>
      </c>
      <c r="H984" t="s">
        <v>274</v>
      </c>
      <c r="K984" t="s">
        <v>3294</v>
      </c>
      <c r="L984" t="s">
        <v>19</v>
      </c>
      <c r="M984" t="s">
        <v>46</v>
      </c>
      <c r="N984" s="2">
        <v>45444</v>
      </c>
      <c r="O984" s="2">
        <v>45473</v>
      </c>
      <c r="P984">
        <v>500</v>
      </c>
      <c r="Q984">
        <v>500</v>
      </c>
      <c r="R984" t="s">
        <v>2881</v>
      </c>
    </row>
    <row r="985" spans="1:25" x14ac:dyDescent="0.25">
      <c r="A985" t="s">
        <v>14</v>
      </c>
      <c r="B985" t="s">
        <v>1625</v>
      </c>
      <c r="C985" t="s">
        <v>4365</v>
      </c>
      <c r="D985" t="s">
        <v>4403</v>
      </c>
      <c r="E985">
        <v>47300047280</v>
      </c>
      <c r="F985" t="s">
        <v>16</v>
      </c>
      <c r="G985" t="s">
        <v>28</v>
      </c>
      <c r="H985" t="s">
        <v>274</v>
      </c>
      <c r="K985" t="s">
        <v>3197</v>
      </c>
      <c r="L985" t="s">
        <v>19</v>
      </c>
      <c r="M985" t="s">
        <v>46</v>
      </c>
      <c r="N985" s="2">
        <v>45444</v>
      </c>
      <c r="O985" s="2">
        <v>45473</v>
      </c>
      <c r="P985">
        <v>145500</v>
      </c>
      <c r="Q985">
        <v>145500</v>
      </c>
      <c r="R985" t="s">
        <v>2881</v>
      </c>
    </row>
    <row r="986" spans="1:25" x14ac:dyDescent="0.25">
      <c r="A986" t="s">
        <v>14</v>
      </c>
      <c r="B986" t="s">
        <v>1625</v>
      </c>
      <c r="C986" t="s">
        <v>4394</v>
      </c>
      <c r="D986" t="s">
        <v>4421</v>
      </c>
      <c r="E986">
        <v>47300047280</v>
      </c>
      <c r="F986" t="s">
        <v>16</v>
      </c>
      <c r="G986" t="s">
        <v>28</v>
      </c>
      <c r="H986" t="s">
        <v>274</v>
      </c>
      <c r="K986" t="s">
        <v>3190</v>
      </c>
      <c r="L986" t="s">
        <v>47</v>
      </c>
      <c r="N986" s="2">
        <v>45413</v>
      </c>
      <c r="O986" s="2">
        <v>45443</v>
      </c>
      <c r="P986">
        <v>145500</v>
      </c>
      <c r="Q986">
        <v>145500</v>
      </c>
      <c r="R986" t="s">
        <v>2881</v>
      </c>
      <c r="X986" t="s">
        <v>4422</v>
      </c>
      <c r="Y986" t="s">
        <v>4423</v>
      </c>
    </row>
    <row r="987" spans="1:25" x14ac:dyDescent="0.25">
      <c r="A987" t="s">
        <v>14</v>
      </c>
      <c r="B987" t="s">
        <v>1625</v>
      </c>
      <c r="C987" t="s">
        <v>4406</v>
      </c>
      <c r="D987" t="s">
        <v>4394</v>
      </c>
      <c r="E987">
        <v>47300047280</v>
      </c>
      <c r="F987" t="s">
        <v>16</v>
      </c>
      <c r="G987" t="s">
        <v>28</v>
      </c>
      <c r="H987" t="s">
        <v>274</v>
      </c>
      <c r="K987" t="s">
        <v>2892</v>
      </c>
      <c r="L987" t="s">
        <v>19</v>
      </c>
      <c r="M987" t="s">
        <v>46</v>
      </c>
      <c r="N987" s="2">
        <v>45444</v>
      </c>
      <c r="O987" s="2">
        <v>45473</v>
      </c>
      <c r="P987">
        <v>10000</v>
      </c>
      <c r="Q987">
        <v>10000</v>
      </c>
      <c r="R987" t="s">
        <v>2881</v>
      </c>
    </row>
    <row r="988" spans="1:25" x14ac:dyDescent="0.25">
      <c r="A988" t="s">
        <v>14</v>
      </c>
      <c r="B988" t="s">
        <v>1625</v>
      </c>
      <c r="C988" t="s">
        <v>4417</v>
      </c>
      <c r="D988" t="s">
        <v>4397</v>
      </c>
      <c r="E988">
        <v>47300047280</v>
      </c>
      <c r="F988" t="s">
        <v>16</v>
      </c>
      <c r="G988" t="s">
        <v>28</v>
      </c>
      <c r="H988" t="s">
        <v>274</v>
      </c>
      <c r="K988" t="s">
        <v>2878</v>
      </c>
      <c r="L988" t="s">
        <v>47</v>
      </c>
      <c r="N988" s="2">
        <v>45413</v>
      </c>
      <c r="O988" s="2">
        <v>45443</v>
      </c>
      <c r="P988">
        <v>10000</v>
      </c>
      <c r="Q988">
        <v>10000</v>
      </c>
      <c r="R988" t="s">
        <v>2881</v>
      </c>
    </row>
    <row r="989" spans="1:25" x14ac:dyDescent="0.25">
      <c r="A989" t="s">
        <v>14</v>
      </c>
      <c r="B989" t="s">
        <v>1623</v>
      </c>
      <c r="C989" t="s">
        <v>4392</v>
      </c>
      <c r="D989" t="s">
        <v>4393</v>
      </c>
      <c r="E989">
        <v>47300046688</v>
      </c>
      <c r="F989" t="s">
        <v>16</v>
      </c>
      <c r="G989" t="s">
        <v>17</v>
      </c>
      <c r="H989" t="s">
        <v>154</v>
      </c>
      <c r="K989" t="s">
        <v>4266</v>
      </c>
      <c r="L989" t="s">
        <v>19</v>
      </c>
      <c r="M989" t="s">
        <v>63</v>
      </c>
      <c r="N989" s="2">
        <v>45444</v>
      </c>
      <c r="O989" s="2">
        <v>45473</v>
      </c>
      <c r="P989">
        <v>40000</v>
      </c>
      <c r="Q989">
        <v>40000</v>
      </c>
      <c r="R989" t="s">
        <v>3014</v>
      </c>
      <c r="S989" t="s">
        <v>1624</v>
      </c>
      <c r="T989">
        <v>93.5</v>
      </c>
    </row>
    <row r="990" spans="1:25" x14ac:dyDescent="0.25">
      <c r="A990" t="s">
        <v>14</v>
      </c>
      <c r="B990" t="s">
        <v>1623</v>
      </c>
      <c r="C990" t="s">
        <v>4392</v>
      </c>
      <c r="D990" t="s">
        <v>4393</v>
      </c>
      <c r="E990">
        <v>47300046688</v>
      </c>
      <c r="F990" t="s">
        <v>16</v>
      </c>
      <c r="G990" t="s">
        <v>17</v>
      </c>
      <c r="H990" t="s">
        <v>154</v>
      </c>
      <c r="K990" t="s">
        <v>3294</v>
      </c>
      <c r="L990" t="s">
        <v>19</v>
      </c>
      <c r="M990" t="s">
        <v>46</v>
      </c>
      <c r="N990" s="2">
        <v>45444</v>
      </c>
      <c r="O990" s="2">
        <v>45473</v>
      </c>
      <c r="P990">
        <v>500</v>
      </c>
      <c r="Q990">
        <v>500</v>
      </c>
      <c r="R990" t="s">
        <v>3014</v>
      </c>
    </row>
    <row r="991" spans="1:25" x14ac:dyDescent="0.25">
      <c r="A991" t="s">
        <v>14</v>
      </c>
      <c r="B991" t="s">
        <v>1623</v>
      </c>
      <c r="C991" t="s">
        <v>4412</v>
      </c>
      <c r="D991" t="s">
        <v>4424</v>
      </c>
      <c r="E991">
        <v>47300046688</v>
      </c>
      <c r="F991" t="s">
        <v>16</v>
      </c>
      <c r="G991" t="s">
        <v>17</v>
      </c>
      <c r="H991" t="s">
        <v>154</v>
      </c>
      <c r="K991" t="s">
        <v>3197</v>
      </c>
      <c r="L991" t="s">
        <v>19</v>
      </c>
      <c r="M991" t="s">
        <v>46</v>
      </c>
      <c r="N991" s="2">
        <v>45444</v>
      </c>
      <c r="O991" s="2">
        <v>45473</v>
      </c>
      <c r="P991">
        <v>145500</v>
      </c>
      <c r="Q991">
        <v>145500</v>
      </c>
      <c r="R991" t="s">
        <v>3014</v>
      </c>
    </row>
    <row r="992" spans="1:25" x14ac:dyDescent="0.25">
      <c r="A992" t="s">
        <v>14</v>
      </c>
      <c r="B992" t="s">
        <v>1623</v>
      </c>
      <c r="C992" t="s">
        <v>4382</v>
      </c>
      <c r="D992" t="s">
        <v>4383</v>
      </c>
      <c r="E992">
        <v>47300046688</v>
      </c>
      <c r="F992" t="s">
        <v>16</v>
      </c>
      <c r="G992" t="s">
        <v>17</v>
      </c>
      <c r="H992" t="s">
        <v>154</v>
      </c>
      <c r="K992" t="s">
        <v>2892</v>
      </c>
      <c r="L992" t="s">
        <v>19</v>
      </c>
      <c r="M992" t="s">
        <v>46</v>
      </c>
      <c r="N992" s="2">
        <v>45444</v>
      </c>
      <c r="O992" s="2">
        <v>45473</v>
      </c>
      <c r="P992">
        <v>10000</v>
      </c>
      <c r="Q992">
        <v>10000</v>
      </c>
      <c r="R992" t="s">
        <v>3014</v>
      </c>
    </row>
    <row r="993" spans="1:25" x14ac:dyDescent="0.25">
      <c r="A993" t="s">
        <v>14</v>
      </c>
      <c r="B993" t="s">
        <v>1622</v>
      </c>
      <c r="C993" t="s">
        <v>4389</v>
      </c>
      <c r="D993" t="s">
        <v>4390</v>
      </c>
      <c r="E993">
        <v>47300070498</v>
      </c>
      <c r="F993" t="s">
        <v>16</v>
      </c>
      <c r="G993" t="s">
        <v>28</v>
      </c>
      <c r="H993" t="s">
        <v>794</v>
      </c>
      <c r="I993" t="s">
        <v>2853</v>
      </c>
      <c r="J993" t="s">
        <v>2852</v>
      </c>
      <c r="K993" t="s">
        <v>3294</v>
      </c>
      <c r="L993" t="s">
        <v>19</v>
      </c>
      <c r="M993" t="s">
        <v>46</v>
      </c>
      <c r="N993" s="2">
        <v>45444</v>
      </c>
      <c r="O993" s="2">
        <v>45473</v>
      </c>
      <c r="P993">
        <v>500</v>
      </c>
      <c r="Q993">
        <v>500</v>
      </c>
      <c r="R993" t="s">
        <v>3015</v>
      </c>
    </row>
    <row r="994" spans="1:25" x14ac:dyDescent="0.25">
      <c r="A994" t="s">
        <v>14</v>
      </c>
      <c r="B994" t="s">
        <v>1622</v>
      </c>
      <c r="C994" t="s">
        <v>4376</v>
      </c>
      <c r="D994" t="s">
        <v>4377</v>
      </c>
      <c r="E994">
        <v>47300070498</v>
      </c>
      <c r="F994" t="s">
        <v>16</v>
      </c>
      <c r="G994" t="s">
        <v>28</v>
      </c>
      <c r="H994" t="s">
        <v>794</v>
      </c>
      <c r="I994" t="s">
        <v>2853</v>
      </c>
      <c r="J994" t="s">
        <v>2852</v>
      </c>
      <c r="K994" t="s">
        <v>3197</v>
      </c>
      <c r="L994" t="s">
        <v>19</v>
      </c>
      <c r="M994" t="s">
        <v>46</v>
      </c>
      <c r="N994" s="2">
        <v>45444</v>
      </c>
      <c r="O994" s="2">
        <v>45473</v>
      </c>
      <c r="P994">
        <v>145500</v>
      </c>
      <c r="Q994">
        <v>145500</v>
      </c>
      <c r="R994" t="s">
        <v>3015</v>
      </c>
    </row>
    <row r="995" spans="1:25" x14ac:dyDescent="0.25">
      <c r="A995" t="s">
        <v>14</v>
      </c>
      <c r="B995" t="s">
        <v>1622</v>
      </c>
      <c r="C995" t="s">
        <v>4412</v>
      </c>
      <c r="D995" t="s">
        <v>4377</v>
      </c>
      <c r="E995">
        <v>47300070498</v>
      </c>
      <c r="F995" t="s">
        <v>16</v>
      </c>
      <c r="G995" t="s">
        <v>28</v>
      </c>
      <c r="H995" t="s">
        <v>794</v>
      </c>
      <c r="I995" t="s">
        <v>2853</v>
      </c>
      <c r="J995" t="s">
        <v>2852</v>
      </c>
      <c r="K995" t="s">
        <v>2892</v>
      </c>
      <c r="L995" t="s">
        <v>19</v>
      </c>
      <c r="M995" t="s">
        <v>46</v>
      </c>
      <c r="N995" s="2">
        <v>45444</v>
      </c>
      <c r="O995" s="2">
        <v>45473</v>
      </c>
      <c r="P995">
        <v>10000</v>
      </c>
      <c r="Q995">
        <v>10000</v>
      </c>
      <c r="R995" t="s">
        <v>3015</v>
      </c>
    </row>
    <row r="996" spans="1:25" x14ac:dyDescent="0.25">
      <c r="A996" t="s">
        <v>14</v>
      </c>
      <c r="B996" t="s">
        <v>1620</v>
      </c>
      <c r="C996" t="s">
        <v>4378</v>
      </c>
      <c r="D996" t="s">
        <v>4379</v>
      </c>
      <c r="E996">
        <v>47300070654</v>
      </c>
      <c r="F996" t="s">
        <v>16</v>
      </c>
      <c r="G996" t="s">
        <v>28</v>
      </c>
      <c r="H996" t="s">
        <v>217</v>
      </c>
      <c r="K996" t="s">
        <v>4266</v>
      </c>
      <c r="L996" t="s">
        <v>19</v>
      </c>
      <c r="M996" t="s">
        <v>63</v>
      </c>
      <c r="N996" s="2">
        <v>45444</v>
      </c>
      <c r="O996" s="2">
        <v>45473</v>
      </c>
      <c r="P996">
        <v>30000</v>
      </c>
      <c r="Q996">
        <v>30000</v>
      </c>
      <c r="R996" t="s">
        <v>3212</v>
      </c>
      <c r="S996" t="s">
        <v>1621</v>
      </c>
      <c r="T996">
        <v>70.099999999999994</v>
      </c>
    </row>
    <row r="997" spans="1:25" x14ac:dyDescent="0.25">
      <c r="A997" t="s">
        <v>14</v>
      </c>
      <c r="B997" t="s">
        <v>1620</v>
      </c>
      <c r="C997" t="s">
        <v>4365</v>
      </c>
      <c r="D997" t="s">
        <v>4366</v>
      </c>
      <c r="E997">
        <v>47300070654</v>
      </c>
      <c r="F997" t="s">
        <v>16</v>
      </c>
      <c r="G997" t="s">
        <v>28</v>
      </c>
      <c r="H997" t="s">
        <v>217</v>
      </c>
      <c r="K997" t="s">
        <v>3294</v>
      </c>
      <c r="L997" t="s">
        <v>19</v>
      </c>
      <c r="M997" t="s">
        <v>46</v>
      </c>
      <c r="N997" s="2">
        <v>45444</v>
      </c>
      <c r="O997" s="2">
        <v>45473</v>
      </c>
      <c r="P997">
        <v>500</v>
      </c>
      <c r="Q997">
        <v>500</v>
      </c>
      <c r="R997" t="s">
        <v>3212</v>
      </c>
    </row>
    <row r="998" spans="1:25" x14ac:dyDescent="0.25">
      <c r="A998" t="s">
        <v>14</v>
      </c>
      <c r="B998" t="s">
        <v>1620</v>
      </c>
      <c r="C998" t="s">
        <v>4365</v>
      </c>
      <c r="D998" t="s">
        <v>4403</v>
      </c>
      <c r="E998">
        <v>47300070654</v>
      </c>
      <c r="F998" t="s">
        <v>16</v>
      </c>
      <c r="G998" t="s">
        <v>28</v>
      </c>
      <c r="H998" t="s">
        <v>217</v>
      </c>
      <c r="K998" t="s">
        <v>3197</v>
      </c>
      <c r="L998" t="s">
        <v>19</v>
      </c>
      <c r="M998" t="s">
        <v>46</v>
      </c>
      <c r="N998" s="2">
        <v>45444</v>
      </c>
      <c r="O998" s="2">
        <v>45473</v>
      </c>
      <c r="P998">
        <v>145500</v>
      </c>
      <c r="Q998">
        <v>145500</v>
      </c>
      <c r="R998" t="s">
        <v>3212</v>
      </c>
    </row>
    <row r="999" spans="1:25" x14ac:dyDescent="0.25">
      <c r="A999" t="s">
        <v>14</v>
      </c>
      <c r="B999" t="s">
        <v>1618</v>
      </c>
      <c r="C999" t="s">
        <v>4406</v>
      </c>
      <c r="D999" t="s">
        <v>4394</v>
      </c>
      <c r="E999">
        <v>47300070563</v>
      </c>
      <c r="F999" t="s">
        <v>16</v>
      </c>
      <c r="G999" t="s">
        <v>28</v>
      </c>
      <c r="H999" t="s">
        <v>359</v>
      </c>
      <c r="K999" t="s">
        <v>4266</v>
      </c>
      <c r="L999" t="s">
        <v>19</v>
      </c>
      <c r="M999" t="s">
        <v>63</v>
      </c>
      <c r="N999" s="2">
        <v>45444</v>
      </c>
      <c r="O999" s="2">
        <v>45473</v>
      </c>
      <c r="P999">
        <v>20000</v>
      </c>
      <c r="Q999">
        <v>20000</v>
      </c>
      <c r="R999" t="s">
        <v>3016</v>
      </c>
      <c r="S999" t="s">
        <v>1619</v>
      </c>
      <c r="T999">
        <v>46.7</v>
      </c>
    </row>
    <row r="1000" spans="1:25" x14ac:dyDescent="0.25">
      <c r="A1000" t="s">
        <v>14</v>
      </c>
      <c r="B1000" t="s">
        <v>1618</v>
      </c>
      <c r="C1000" t="s">
        <v>4378</v>
      </c>
      <c r="D1000" t="s">
        <v>4379</v>
      </c>
      <c r="E1000">
        <v>47300070563</v>
      </c>
      <c r="F1000" t="s">
        <v>16</v>
      </c>
      <c r="G1000" t="s">
        <v>28</v>
      </c>
      <c r="H1000" t="s">
        <v>359</v>
      </c>
      <c r="K1000" t="s">
        <v>3294</v>
      </c>
      <c r="L1000" t="s">
        <v>19</v>
      </c>
      <c r="M1000" t="s">
        <v>46</v>
      </c>
      <c r="N1000" s="2">
        <v>45444</v>
      </c>
      <c r="O1000" s="2">
        <v>45473</v>
      </c>
      <c r="P1000">
        <v>500</v>
      </c>
      <c r="Q1000">
        <v>500</v>
      </c>
      <c r="R1000" t="s">
        <v>3016</v>
      </c>
    </row>
    <row r="1001" spans="1:25" x14ac:dyDescent="0.25">
      <c r="A1001" t="s">
        <v>14</v>
      </c>
      <c r="B1001" t="s">
        <v>1618</v>
      </c>
      <c r="C1001" t="s">
        <v>4378</v>
      </c>
      <c r="D1001" t="s">
        <v>4379</v>
      </c>
      <c r="E1001">
        <v>47300070563</v>
      </c>
      <c r="F1001" t="s">
        <v>16</v>
      </c>
      <c r="G1001" t="s">
        <v>28</v>
      </c>
      <c r="H1001" t="s">
        <v>359</v>
      </c>
      <c r="K1001" t="s">
        <v>3197</v>
      </c>
      <c r="L1001" t="s">
        <v>19</v>
      </c>
      <c r="M1001" t="s">
        <v>46</v>
      </c>
      <c r="N1001" s="2">
        <v>45444</v>
      </c>
      <c r="O1001" s="2">
        <v>45473</v>
      </c>
      <c r="P1001">
        <v>145500</v>
      </c>
      <c r="Q1001">
        <v>145500</v>
      </c>
      <c r="R1001" t="s">
        <v>3016</v>
      </c>
    </row>
    <row r="1002" spans="1:25" x14ac:dyDescent="0.25">
      <c r="A1002" t="s">
        <v>14</v>
      </c>
      <c r="B1002" t="s">
        <v>1618</v>
      </c>
      <c r="C1002" t="s">
        <v>4365</v>
      </c>
      <c r="D1002" t="s">
        <v>4366</v>
      </c>
      <c r="E1002">
        <v>47300070563</v>
      </c>
      <c r="F1002" t="s">
        <v>16</v>
      </c>
      <c r="G1002" t="s">
        <v>28</v>
      </c>
      <c r="H1002" t="s">
        <v>359</v>
      </c>
      <c r="K1002" t="s">
        <v>2892</v>
      </c>
      <c r="L1002" t="s">
        <v>19</v>
      </c>
      <c r="M1002" t="s">
        <v>46</v>
      </c>
      <c r="N1002" s="2">
        <v>45444</v>
      </c>
      <c r="O1002" s="2">
        <v>45473</v>
      </c>
      <c r="P1002">
        <v>10000</v>
      </c>
      <c r="Q1002">
        <v>10000</v>
      </c>
      <c r="R1002" t="s">
        <v>3016</v>
      </c>
    </row>
    <row r="1003" spans="1:25" x14ac:dyDescent="0.25">
      <c r="A1003" t="s">
        <v>14</v>
      </c>
      <c r="B1003" t="s">
        <v>1616</v>
      </c>
      <c r="C1003" t="s">
        <v>4365</v>
      </c>
      <c r="D1003" t="s">
        <v>4403</v>
      </c>
      <c r="E1003">
        <v>47300046399</v>
      </c>
      <c r="F1003" t="s">
        <v>16</v>
      </c>
      <c r="G1003" t="s">
        <v>28</v>
      </c>
      <c r="H1003" t="s">
        <v>122</v>
      </c>
      <c r="K1003" t="s">
        <v>1617</v>
      </c>
      <c r="L1003" t="s">
        <v>47</v>
      </c>
      <c r="N1003" s="2">
        <v>45448</v>
      </c>
      <c r="O1003" s="2">
        <v>45448</v>
      </c>
      <c r="P1003">
        <v>250000</v>
      </c>
      <c r="Q1003">
        <v>250000</v>
      </c>
      <c r="R1003" t="s">
        <v>2862</v>
      </c>
    </row>
    <row r="1004" spans="1:25" x14ac:dyDescent="0.25">
      <c r="A1004" t="s">
        <v>14</v>
      </c>
      <c r="B1004" t="s">
        <v>1614</v>
      </c>
      <c r="C1004" t="s">
        <v>4394</v>
      </c>
      <c r="D1004" t="s">
        <v>4421</v>
      </c>
      <c r="E1004">
        <v>47300046399</v>
      </c>
      <c r="F1004" t="s">
        <v>16</v>
      </c>
      <c r="G1004" t="s">
        <v>28</v>
      </c>
      <c r="H1004" t="s">
        <v>122</v>
      </c>
      <c r="K1004" t="s">
        <v>4266</v>
      </c>
      <c r="L1004" t="s">
        <v>19</v>
      </c>
      <c r="M1004" t="s">
        <v>63</v>
      </c>
      <c r="N1004" s="2">
        <v>45444</v>
      </c>
      <c r="O1004" s="2">
        <v>45473</v>
      </c>
      <c r="P1004">
        <v>55000</v>
      </c>
      <c r="Q1004">
        <v>55000</v>
      </c>
      <c r="R1004" t="s">
        <v>3213</v>
      </c>
      <c r="S1004" t="s">
        <v>1615</v>
      </c>
      <c r="T1004">
        <v>128.5</v>
      </c>
      <c r="X1004" t="s">
        <v>4422</v>
      </c>
      <c r="Y1004" t="s">
        <v>4423</v>
      </c>
    </row>
    <row r="1005" spans="1:25" x14ac:dyDescent="0.25">
      <c r="A1005" t="s">
        <v>14</v>
      </c>
      <c r="B1005" t="s">
        <v>1614</v>
      </c>
      <c r="C1005" t="s">
        <v>4406</v>
      </c>
      <c r="D1005" t="s">
        <v>4394</v>
      </c>
      <c r="E1005">
        <v>47300046399</v>
      </c>
      <c r="F1005" t="s">
        <v>16</v>
      </c>
      <c r="G1005" t="s">
        <v>28</v>
      </c>
      <c r="H1005" t="s">
        <v>122</v>
      </c>
      <c r="K1005" t="s">
        <v>3197</v>
      </c>
      <c r="L1005" t="s">
        <v>19</v>
      </c>
      <c r="M1005" t="s">
        <v>46</v>
      </c>
      <c r="N1005" s="2">
        <v>45444</v>
      </c>
      <c r="O1005" s="2">
        <v>45473</v>
      </c>
      <c r="P1005">
        <v>145500</v>
      </c>
      <c r="Q1005">
        <v>145500</v>
      </c>
      <c r="R1005" t="s">
        <v>3213</v>
      </c>
    </row>
    <row r="1006" spans="1:25" x14ac:dyDescent="0.25">
      <c r="A1006" t="s">
        <v>14</v>
      </c>
      <c r="B1006" t="s">
        <v>1612</v>
      </c>
      <c r="C1006" t="s">
        <v>4417</v>
      </c>
      <c r="D1006" t="s">
        <v>4397</v>
      </c>
      <c r="E1006">
        <v>47300046258</v>
      </c>
      <c r="F1006" t="s">
        <v>16</v>
      </c>
      <c r="G1006" t="s">
        <v>28</v>
      </c>
      <c r="H1006" t="s">
        <v>160</v>
      </c>
      <c r="K1006" t="s">
        <v>4266</v>
      </c>
      <c r="L1006" t="s">
        <v>19</v>
      </c>
      <c r="M1006" t="s">
        <v>63</v>
      </c>
      <c r="N1006" s="2">
        <v>45444</v>
      </c>
      <c r="O1006" s="2">
        <v>45473</v>
      </c>
      <c r="P1006">
        <v>20000</v>
      </c>
      <c r="Q1006">
        <v>20000</v>
      </c>
      <c r="R1006" t="s">
        <v>3017</v>
      </c>
      <c r="S1006" t="s">
        <v>1613</v>
      </c>
      <c r="T1006">
        <v>46.8</v>
      </c>
    </row>
    <row r="1007" spans="1:25" x14ac:dyDescent="0.25">
      <c r="A1007" t="s">
        <v>14</v>
      </c>
      <c r="B1007" t="s">
        <v>1612</v>
      </c>
      <c r="C1007" t="s">
        <v>4417</v>
      </c>
      <c r="D1007" t="s">
        <v>4397</v>
      </c>
      <c r="E1007">
        <v>47300046258</v>
      </c>
      <c r="F1007" t="s">
        <v>16</v>
      </c>
      <c r="G1007" t="s">
        <v>28</v>
      </c>
      <c r="H1007" t="s">
        <v>160</v>
      </c>
      <c r="K1007" t="s">
        <v>3294</v>
      </c>
      <c r="L1007" t="s">
        <v>19</v>
      </c>
      <c r="M1007" t="s">
        <v>46</v>
      </c>
      <c r="N1007" s="2">
        <v>45444</v>
      </c>
      <c r="O1007" s="2">
        <v>45473</v>
      </c>
      <c r="P1007">
        <v>500</v>
      </c>
      <c r="Q1007">
        <v>500</v>
      </c>
      <c r="R1007" t="s">
        <v>3017</v>
      </c>
    </row>
    <row r="1008" spans="1:25" x14ac:dyDescent="0.25">
      <c r="A1008" t="s">
        <v>14</v>
      </c>
      <c r="B1008" t="s">
        <v>1612</v>
      </c>
      <c r="C1008" t="s">
        <v>4376</v>
      </c>
      <c r="D1008" t="s">
        <v>4377</v>
      </c>
      <c r="E1008">
        <v>47300046258</v>
      </c>
      <c r="F1008" t="s">
        <v>16</v>
      </c>
      <c r="G1008" t="s">
        <v>28</v>
      </c>
      <c r="H1008" t="s">
        <v>160</v>
      </c>
      <c r="K1008" t="s">
        <v>2892</v>
      </c>
      <c r="L1008" t="s">
        <v>19</v>
      </c>
      <c r="M1008" t="s">
        <v>46</v>
      </c>
      <c r="N1008" s="2">
        <v>45444</v>
      </c>
      <c r="O1008" s="2">
        <v>45473</v>
      </c>
      <c r="P1008">
        <v>10000</v>
      </c>
      <c r="Q1008">
        <v>10000</v>
      </c>
      <c r="R1008" t="s">
        <v>3017</v>
      </c>
    </row>
    <row r="1009" spans="1:25" x14ac:dyDescent="0.25">
      <c r="A1009" t="s">
        <v>14</v>
      </c>
      <c r="B1009" t="s">
        <v>1611</v>
      </c>
      <c r="C1009" t="s">
        <v>4412</v>
      </c>
      <c r="D1009" t="s">
        <v>4424</v>
      </c>
      <c r="E1009">
        <v>47300046738</v>
      </c>
      <c r="F1009" t="s">
        <v>16</v>
      </c>
      <c r="G1009" t="s">
        <v>28</v>
      </c>
      <c r="H1009" t="s">
        <v>202</v>
      </c>
      <c r="K1009" t="s">
        <v>3294</v>
      </c>
      <c r="L1009" t="s">
        <v>19</v>
      </c>
      <c r="M1009" t="s">
        <v>46</v>
      </c>
      <c r="N1009" s="2">
        <v>45444</v>
      </c>
      <c r="O1009" s="2">
        <v>45473</v>
      </c>
      <c r="P1009">
        <v>500</v>
      </c>
      <c r="Q1009">
        <v>500</v>
      </c>
      <c r="R1009" t="s">
        <v>3018</v>
      </c>
    </row>
    <row r="1010" spans="1:25" x14ac:dyDescent="0.25">
      <c r="A1010" t="s">
        <v>14</v>
      </c>
      <c r="B1010" t="s">
        <v>1611</v>
      </c>
      <c r="C1010" t="s">
        <v>4412</v>
      </c>
      <c r="D1010" t="s">
        <v>4377</v>
      </c>
      <c r="E1010">
        <v>47300046738</v>
      </c>
      <c r="F1010" t="s">
        <v>16</v>
      </c>
      <c r="G1010" t="s">
        <v>28</v>
      </c>
      <c r="H1010" t="s">
        <v>202</v>
      </c>
      <c r="K1010" t="s">
        <v>2892</v>
      </c>
      <c r="L1010" t="s">
        <v>19</v>
      </c>
      <c r="M1010" t="s">
        <v>46</v>
      </c>
      <c r="N1010" s="2">
        <v>45444</v>
      </c>
      <c r="O1010" s="2">
        <v>45473</v>
      </c>
      <c r="P1010">
        <v>10000</v>
      </c>
      <c r="Q1010">
        <v>10000</v>
      </c>
      <c r="R1010" t="s">
        <v>3018</v>
      </c>
    </row>
    <row r="1011" spans="1:25" x14ac:dyDescent="0.25">
      <c r="A1011" t="s">
        <v>14</v>
      </c>
      <c r="B1011" t="s">
        <v>1609</v>
      </c>
      <c r="C1011" t="s">
        <v>4365</v>
      </c>
      <c r="D1011" t="s">
        <v>4366</v>
      </c>
      <c r="E1011">
        <v>47300046720</v>
      </c>
      <c r="F1011" t="s">
        <v>16</v>
      </c>
      <c r="G1011" t="s">
        <v>28</v>
      </c>
      <c r="H1011" t="s">
        <v>143</v>
      </c>
      <c r="K1011" t="s">
        <v>4266</v>
      </c>
      <c r="L1011" t="s">
        <v>19</v>
      </c>
      <c r="M1011" t="s">
        <v>63</v>
      </c>
      <c r="N1011" s="2">
        <v>45444</v>
      </c>
      <c r="O1011" s="2">
        <v>45473</v>
      </c>
      <c r="P1011">
        <v>107500</v>
      </c>
      <c r="Q1011">
        <v>107500</v>
      </c>
      <c r="R1011" t="s">
        <v>3019</v>
      </c>
      <c r="S1011" t="s">
        <v>1610</v>
      </c>
      <c r="T1011">
        <v>251.2</v>
      </c>
    </row>
    <row r="1012" spans="1:25" x14ac:dyDescent="0.25">
      <c r="A1012" t="s">
        <v>14</v>
      </c>
      <c r="B1012" t="s">
        <v>1609</v>
      </c>
      <c r="C1012" t="s">
        <v>4394</v>
      </c>
      <c r="D1012" t="s">
        <v>4421</v>
      </c>
      <c r="E1012">
        <v>47300046720</v>
      </c>
      <c r="F1012" t="s">
        <v>16</v>
      </c>
      <c r="G1012" t="s">
        <v>28</v>
      </c>
      <c r="H1012" t="s">
        <v>143</v>
      </c>
      <c r="K1012" t="s">
        <v>3294</v>
      </c>
      <c r="L1012" t="s">
        <v>19</v>
      </c>
      <c r="M1012" t="s">
        <v>46</v>
      </c>
      <c r="N1012" s="2">
        <v>45444</v>
      </c>
      <c r="O1012" s="2">
        <v>45473</v>
      </c>
      <c r="P1012">
        <v>500</v>
      </c>
      <c r="Q1012">
        <v>500</v>
      </c>
      <c r="R1012" t="s">
        <v>3019</v>
      </c>
      <c r="X1012" t="s">
        <v>4422</v>
      </c>
      <c r="Y1012" t="s">
        <v>4423</v>
      </c>
    </row>
    <row r="1013" spans="1:25" x14ac:dyDescent="0.25">
      <c r="A1013" t="s">
        <v>14</v>
      </c>
      <c r="B1013" t="s">
        <v>1609</v>
      </c>
      <c r="C1013" t="s">
        <v>4406</v>
      </c>
      <c r="D1013" t="s">
        <v>4394</v>
      </c>
      <c r="E1013">
        <v>47300046720</v>
      </c>
      <c r="F1013" t="s">
        <v>16</v>
      </c>
      <c r="G1013" t="s">
        <v>28</v>
      </c>
      <c r="H1013" t="s">
        <v>143</v>
      </c>
      <c r="K1013" t="s">
        <v>2892</v>
      </c>
      <c r="L1013" t="s">
        <v>19</v>
      </c>
      <c r="M1013" t="s">
        <v>46</v>
      </c>
      <c r="N1013" s="2">
        <v>45444</v>
      </c>
      <c r="O1013" s="2">
        <v>45473</v>
      </c>
      <c r="P1013">
        <v>10000</v>
      </c>
      <c r="Q1013">
        <v>10000</v>
      </c>
      <c r="R1013" t="s">
        <v>3019</v>
      </c>
    </row>
    <row r="1014" spans="1:25" x14ac:dyDescent="0.25">
      <c r="A1014" t="s">
        <v>14</v>
      </c>
      <c r="B1014" t="s">
        <v>1607</v>
      </c>
      <c r="C1014" t="s">
        <v>4417</v>
      </c>
      <c r="D1014" t="s">
        <v>4397</v>
      </c>
      <c r="E1014">
        <v>47300070571</v>
      </c>
      <c r="F1014" t="s">
        <v>42</v>
      </c>
      <c r="G1014" t="s">
        <v>28</v>
      </c>
      <c r="H1014" t="s">
        <v>72</v>
      </c>
      <c r="K1014" t="s">
        <v>4266</v>
      </c>
      <c r="L1014" t="s">
        <v>19</v>
      </c>
      <c r="M1014" t="s">
        <v>63</v>
      </c>
      <c r="N1014" s="2">
        <v>45444</v>
      </c>
      <c r="O1014" s="2">
        <v>45473</v>
      </c>
      <c r="P1014">
        <v>250000</v>
      </c>
      <c r="Q1014">
        <v>250000</v>
      </c>
      <c r="R1014" t="s">
        <v>3404</v>
      </c>
      <c r="S1014" t="s">
        <v>1608</v>
      </c>
      <c r="T1014">
        <v>584.29999999999995</v>
      </c>
    </row>
    <row r="1015" spans="1:25" x14ac:dyDescent="0.25">
      <c r="A1015" t="s">
        <v>14</v>
      </c>
      <c r="B1015" t="s">
        <v>1607</v>
      </c>
      <c r="C1015" t="s">
        <v>4392</v>
      </c>
      <c r="D1015" t="s">
        <v>4393</v>
      </c>
      <c r="E1015">
        <v>47300070571</v>
      </c>
      <c r="F1015" t="s">
        <v>42</v>
      </c>
      <c r="G1015" t="s">
        <v>28</v>
      </c>
      <c r="H1015" t="s">
        <v>72</v>
      </c>
      <c r="K1015" t="s">
        <v>3294</v>
      </c>
      <c r="L1015" t="s">
        <v>19</v>
      </c>
      <c r="M1015" t="s">
        <v>46</v>
      </c>
      <c r="N1015" s="2">
        <v>45444</v>
      </c>
      <c r="O1015" s="2">
        <v>45473</v>
      </c>
      <c r="P1015">
        <v>500</v>
      </c>
      <c r="Q1015">
        <v>500</v>
      </c>
      <c r="R1015" t="s">
        <v>3404</v>
      </c>
    </row>
    <row r="1016" spans="1:25" x14ac:dyDescent="0.25">
      <c r="A1016" t="s">
        <v>14</v>
      </c>
      <c r="B1016" t="s">
        <v>1605</v>
      </c>
      <c r="C1016" t="s">
        <v>4417</v>
      </c>
      <c r="D1016" t="s">
        <v>4397</v>
      </c>
      <c r="E1016">
        <v>47300047066</v>
      </c>
      <c r="F1016" t="s">
        <v>16</v>
      </c>
      <c r="G1016" t="s">
        <v>28</v>
      </c>
      <c r="H1016" t="s">
        <v>57</v>
      </c>
      <c r="K1016" t="s">
        <v>3795</v>
      </c>
      <c r="L1016" t="s">
        <v>19</v>
      </c>
      <c r="M1016" t="s">
        <v>20</v>
      </c>
      <c r="P1016">
        <v>175000</v>
      </c>
      <c r="Q1016">
        <v>175000</v>
      </c>
      <c r="R1016" t="s">
        <v>3836</v>
      </c>
      <c r="S1016" t="s">
        <v>1606</v>
      </c>
      <c r="T1016">
        <v>409</v>
      </c>
    </row>
    <row r="1017" spans="1:25" x14ac:dyDescent="0.25">
      <c r="A1017" t="s">
        <v>14</v>
      </c>
      <c r="B1017" t="s">
        <v>1603</v>
      </c>
      <c r="C1017" t="s">
        <v>4392</v>
      </c>
      <c r="D1017" t="s">
        <v>4393</v>
      </c>
      <c r="E1017">
        <v>47300046738</v>
      </c>
      <c r="F1017" t="s">
        <v>16</v>
      </c>
      <c r="G1017" t="s">
        <v>28</v>
      </c>
      <c r="H1017" t="s">
        <v>202</v>
      </c>
      <c r="K1017" t="s">
        <v>4266</v>
      </c>
      <c r="L1017" t="s">
        <v>19</v>
      </c>
      <c r="M1017" t="s">
        <v>63</v>
      </c>
      <c r="N1017" s="2">
        <v>45444</v>
      </c>
      <c r="O1017" s="2">
        <v>45473</v>
      </c>
      <c r="P1017">
        <v>150000</v>
      </c>
      <c r="Q1017">
        <v>150000</v>
      </c>
      <c r="R1017" t="s">
        <v>4273</v>
      </c>
      <c r="S1017" t="s">
        <v>1604</v>
      </c>
      <c r="T1017">
        <v>350.5</v>
      </c>
    </row>
    <row r="1018" spans="1:25" x14ac:dyDescent="0.25">
      <c r="A1018" t="s">
        <v>14</v>
      </c>
      <c r="B1018" t="s">
        <v>1601</v>
      </c>
      <c r="C1018" t="s">
        <v>4376</v>
      </c>
      <c r="D1018" t="s">
        <v>4407</v>
      </c>
      <c r="E1018">
        <v>47300070555</v>
      </c>
      <c r="F1018" t="s">
        <v>35</v>
      </c>
      <c r="G1018" t="s">
        <v>35</v>
      </c>
      <c r="H1018" t="s">
        <v>116</v>
      </c>
      <c r="K1018" t="s">
        <v>4266</v>
      </c>
      <c r="L1018" t="s">
        <v>19</v>
      </c>
      <c r="M1018" t="s">
        <v>63</v>
      </c>
      <c r="N1018" s="2">
        <v>45444</v>
      </c>
      <c r="O1018" s="2">
        <v>45473</v>
      </c>
      <c r="P1018">
        <v>100000</v>
      </c>
      <c r="Q1018">
        <v>100000</v>
      </c>
      <c r="R1018" t="s">
        <v>3405</v>
      </c>
      <c r="S1018" t="s">
        <v>1602</v>
      </c>
      <c r="T1018">
        <v>233.7</v>
      </c>
    </row>
    <row r="1019" spans="1:25" x14ac:dyDescent="0.25">
      <c r="A1019" t="s">
        <v>14</v>
      </c>
      <c r="B1019" t="s">
        <v>1601</v>
      </c>
      <c r="C1019" t="s">
        <v>3300</v>
      </c>
      <c r="D1019" t="s">
        <v>3299</v>
      </c>
      <c r="E1019">
        <v>47300070555</v>
      </c>
      <c r="F1019" t="s">
        <v>35</v>
      </c>
      <c r="G1019" t="s">
        <v>35</v>
      </c>
      <c r="H1019" t="s">
        <v>116</v>
      </c>
      <c r="K1019" t="s">
        <v>3294</v>
      </c>
      <c r="L1019" t="s">
        <v>19</v>
      </c>
      <c r="M1019" t="s">
        <v>46</v>
      </c>
      <c r="N1019" s="2">
        <v>45444</v>
      </c>
      <c r="O1019" s="2">
        <v>45473</v>
      </c>
      <c r="P1019">
        <v>500</v>
      </c>
      <c r="Q1019">
        <v>500</v>
      </c>
      <c r="R1019" t="s">
        <v>3405</v>
      </c>
    </row>
    <row r="1020" spans="1:25" x14ac:dyDescent="0.25">
      <c r="A1020" t="s">
        <v>14</v>
      </c>
      <c r="B1020" t="s">
        <v>1599</v>
      </c>
      <c r="C1020" t="s">
        <v>4387</v>
      </c>
      <c r="D1020" t="s">
        <v>4388</v>
      </c>
      <c r="E1020">
        <v>47300026094</v>
      </c>
      <c r="F1020" t="s">
        <v>35</v>
      </c>
      <c r="G1020" t="s">
        <v>36</v>
      </c>
      <c r="H1020" t="s">
        <v>4359</v>
      </c>
      <c r="K1020" t="s">
        <v>3795</v>
      </c>
      <c r="L1020" t="s">
        <v>19</v>
      </c>
      <c r="M1020" t="s">
        <v>20</v>
      </c>
      <c r="P1020">
        <v>250000</v>
      </c>
      <c r="Q1020">
        <v>250000</v>
      </c>
      <c r="R1020" t="s">
        <v>3837</v>
      </c>
      <c r="S1020" t="s">
        <v>1600</v>
      </c>
      <c r="T1020">
        <v>584.29999999999995</v>
      </c>
    </row>
    <row r="1021" spans="1:25" x14ac:dyDescent="0.25">
      <c r="A1021" t="s">
        <v>14</v>
      </c>
      <c r="B1021" t="s">
        <v>1598</v>
      </c>
      <c r="C1021" t="s">
        <v>4414</v>
      </c>
      <c r="D1021" t="s">
        <v>4401</v>
      </c>
      <c r="E1021">
        <v>47300070589</v>
      </c>
      <c r="F1021" t="s">
        <v>16</v>
      </c>
      <c r="G1021" t="s">
        <v>28</v>
      </c>
      <c r="H1021" t="s">
        <v>221</v>
      </c>
      <c r="K1021" t="s">
        <v>3294</v>
      </c>
      <c r="L1021" t="s">
        <v>19</v>
      </c>
      <c r="M1021" t="s">
        <v>46</v>
      </c>
      <c r="N1021" s="2">
        <v>45444</v>
      </c>
      <c r="O1021" s="2">
        <v>45473</v>
      </c>
      <c r="P1021">
        <v>500</v>
      </c>
      <c r="Q1021">
        <v>500</v>
      </c>
      <c r="R1021" t="s">
        <v>3020</v>
      </c>
    </row>
    <row r="1022" spans="1:25" x14ac:dyDescent="0.25">
      <c r="A1022" t="s">
        <v>14</v>
      </c>
      <c r="B1022" t="s">
        <v>1598</v>
      </c>
      <c r="C1022" t="s">
        <v>4367</v>
      </c>
      <c r="D1022" t="s">
        <v>4368</v>
      </c>
      <c r="E1022">
        <v>47300070589</v>
      </c>
      <c r="F1022" t="s">
        <v>16</v>
      </c>
      <c r="G1022" t="s">
        <v>28</v>
      </c>
      <c r="H1022" t="s">
        <v>221</v>
      </c>
      <c r="K1022" t="s">
        <v>3197</v>
      </c>
      <c r="L1022" t="s">
        <v>19</v>
      </c>
      <c r="M1022" t="s">
        <v>46</v>
      </c>
      <c r="N1022" s="2">
        <v>45444</v>
      </c>
      <c r="O1022" s="2">
        <v>45473</v>
      </c>
      <c r="P1022">
        <v>145500</v>
      </c>
      <c r="Q1022">
        <v>145500</v>
      </c>
      <c r="R1022" t="s">
        <v>3020</v>
      </c>
    </row>
    <row r="1023" spans="1:25" x14ac:dyDescent="0.25">
      <c r="A1023" t="s">
        <v>14</v>
      </c>
      <c r="B1023" t="s">
        <v>1598</v>
      </c>
      <c r="C1023" t="s">
        <v>3300</v>
      </c>
      <c r="D1023" t="s">
        <v>3299</v>
      </c>
      <c r="E1023">
        <v>47300070589</v>
      </c>
      <c r="F1023" t="s">
        <v>16</v>
      </c>
      <c r="G1023" t="s">
        <v>28</v>
      </c>
      <c r="H1023" t="s">
        <v>221</v>
      </c>
      <c r="K1023" t="s">
        <v>2892</v>
      </c>
      <c r="L1023" t="s">
        <v>19</v>
      </c>
      <c r="M1023" t="s">
        <v>46</v>
      </c>
      <c r="N1023" s="2">
        <v>45444</v>
      </c>
      <c r="O1023" s="2">
        <v>45473</v>
      </c>
      <c r="P1023">
        <v>10000</v>
      </c>
      <c r="Q1023">
        <v>10000</v>
      </c>
      <c r="R1023" t="s">
        <v>3020</v>
      </c>
    </row>
    <row r="1024" spans="1:25" x14ac:dyDescent="0.25">
      <c r="A1024" t="s">
        <v>14</v>
      </c>
      <c r="B1024" t="s">
        <v>1596</v>
      </c>
      <c r="C1024" t="s">
        <v>4376</v>
      </c>
      <c r="D1024" t="s">
        <v>4407</v>
      </c>
      <c r="E1024">
        <v>47300046746</v>
      </c>
      <c r="F1024" t="s">
        <v>16</v>
      </c>
      <c r="G1024" t="s">
        <v>28</v>
      </c>
      <c r="H1024" t="s">
        <v>32</v>
      </c>
      <c r="K1024" t="s">
        <v>3795</v>
      </c>
      <c r="L1024" t="s">
        <v>19</v>
      </c>
      <c r="M1024" t="s">
        <v>20</v>
      </c>
      <c r="P1024">
        <v>30000</v>
      </c>
      <c r="Q1024">
        <v>30000</v>
      </c>
      <c r="R1024" t="s">
        <v>3838</v>
      </c>
      <c r="S1024" t="s">
        <v>1597</v>
      </c>
      <c r="T1024">
        <v>70.099999999999994</v>
      </c>
    </row>
    <row r="1025" spans="1:20" x14ac:dyDescent="0.25">
      <c r="A1025" t="s">
        <v>14</v>
      </c>
      <c r="B1025" t="s">
        <v>1594</v>
      </c>
      <c r="C1025" t="s">
        <v>4376</v>
      </c>
      <c r="D1025" t="s">
        <v>4407</v>
      </c>
      <c r="E1025">
        <v>47300046761</v>
      </c>
      <c r="F1025" t="s">
        <v>42</v>
      </c>
      <c r="G1025" t="s">
        <v>28</v>
      </c>
      <c r="H1025" t="s">
        <v>43</v>
      </c>
      <c r="K1025" t="s">
        <v>3795</v>
      </c>
      <c r="L1025" t="s">
        <v>19</v>
      </c>
      <c r="M1025" t="s">
        <v>20</v>
      </c>
      <c r="P1025">
        <v>25000</v>
      </c>
      <c r="Q1025">
        <v>25000</v>
      </c>
      <c r="R1025" t="s">
        <v>3839</v>
      </c>
      <c r="S1025" t="s">
        <v>1595</v>
      </c>
      <c r="T1025">
        <v>58.4</v>
      </c>
    </row>
    <row r="1026" spans="1:20" x14ac:dyDescent="0.25">
      <c r="A1026" t="s">
        <v>14</v>
      </c>
      <c r="B1026" t="s">
        <v>1592</v>
      </c>
      <c r="C1026" t="s">
        <v>4396</v>
      </c>
      <c r="D1026" t="s">
        <v>4397</v>
      </c>
      <c r="E1026">
        <v>47300046662</v>
      </c>
      <c r="F1026" t="s">
        <v>16</v>
      </c>
      <c r="G1026" t="s">
        <v>28</v>
      </c>
      <c r="H1026" t="s">
        <v>129</v>
      </c>
      <c r="K1026" t="s">
        <v>4266</v>
      </c>
      <c r="L1026" t="s">
        <v>19</v>
      </c>
      <c r="M1026" t="s">
        <v>63</v>
      </c>
      <c r="N1026" s="2">
        <v>45444</v>
      </c>
      <c r="O1026" s="2">
        <v>45473</v>
      </c>
      <c r="P1026">
        <v>44000</v>
      </c>
      <c r="Q1026">
        <v>44000</v>
      </c>
      <c r="R1026" t="s">
        <v>3021</v>
      </c>
      <c r="S1026" t="s">
        <v>1593</v>
      </c>
      <c r="T1026">
        <v>102.8</v>
      </c>
    </row>
    <row r="1027" spans="1:20" x14ac:dyDescent="0.25">
      <c r="A1027" t="s">
        <v>14</v>
      </c>
      <c r="B1027" t="s">
        <v>1592</v>
      </c>
      <c r="C1027" t="s">
        <v>4387</v>
      </c>
      <c r="D1027" t="s">
        <v>4388</v>
      </c>
      <c r="E1027">
        <v>47300046662</v>
      </c>
      <c r="F1027" t="s">
        <v>16</v>
      </c>
      <c r="G1027" t="s">
        <v>28</v>
      </c>
      <c r="H1027" t="s">
        <v>129</v>
      </c>
      <c r="K1027" t="s">
        <v>3294</v>
      </c>
      <c r="L1027" t="s">
        <v>19</v>
      </c>
      <c r="M1027" t="s">
        <v>46</v>
      </c>
      <c r="N1027" s="2">
        <v>45444</v>
      </c>
      <c r="O1027" s="2">
        <v>45473</v>
      </c>
      <c r="P1027">
        <v>500</v>
      </c>
      <c r="Q1027">
        <v>500</v>
      </c>
      <c r="R1027" t="s">
        <v>3021</v>
      </c>
    </row>
    <row r="1028" spans="1:20" x14ac:dyDescent="0.25">
      <c r="A1028" t="s">
        <v>14</v>
      </c>
      <c r="B1028" t="s">
        <v>1592</v>
      </c>
      <c r="C1028" t="s">
        <v>4396</v>
      </c>
      <c r="D1028" t="s">
        <v>4397</v>
      </c>
      <c r="E1028">
        <v>47300046662</v>
      </c>
      <c r="F1028" t="s">
        <v>16</v>
      </c>
      <c r="G1028" t="s">
        <v>28</v>
      </c>
      <c r="H1028" t="s">
        <v>129</v>
      </c>
      <c r="K1028" t="s">
        <v>3197</v>
      </c>
      <c r="L1028" t="s">
        <v>19</v>
      </c>
      <c r="M1028" t="s">
        <v>46</v>
      </c>
      <c r="N1028" s="2">
        <v>45444</v>
      </c>
      <c r="O1028" s="2">
        <v>45473</v>
      </c>
      <c r="P1028">
        <v>145500</v>
      </c>
      <c r="Q1028">
        <v>145500</v>
      </c>
      <c r="R1028" t="s">
        <v>3021</v>
      </c>
    </row>
    <row r="1029" spans="1:20" x14ac:dyDescent="0.25">
      <c r="A1029" t="s">
        <v>14</v>
      </c>
      <c r="B1029" t="s">
        <v>1592</v>
      </c>
      <c r="C1029" t="s">
        <v>4396</v>
      </c>
      <c r="D1029" t="s">
        <v>4397</v>
      </c>
      <c r="E1029">
        <v>47300046662</v>
      </c>
      <c r="F1029" t="s">
        <v>16</v>
      </c>
      <c r="G1029" t="s">
        <v>28</v>
      </c>
      <c r="H1029" t="s">
        <v>129</v>
      </c>
      <c r="K1029" t="s">
        <v>2892</v>
      </c>
      <c r="L1029" t="s">
        <v>19</v>
      </c>
      <c r="M1029" t="s">
        <v>46</v>
      </c>
      <c r="N1029" s="2">
        <v>45444</v>
      </c>
      <c r="O1029" s="2">
        <v>45473</v>
      </c>
      <c r="P1029">
        <v>10000</v>
      </c>
      <c r="Q1029">
        <v>10000</v>
      </c>
      <c r="R1029" t="s">
        <v>3021</v>
      </c>
    </row>
    <row r="1030" spans="1:20" x14ac:dyDescent="0.25">
      <c r="A1030" t="s">
        <v>14</v>
      </c>
      <c r="B1030" t="s">
        <v>1591</v>
      </c>
      <c r="C1030" t="s">
        <v>4402</v>
      </c>
      <c r="D1030" t="s">
        <v>4403</v>
      </c>
      <c r="E1030">
        <v>47300070845</v>
      </c>
      <c r="F1030" t="s">
        <v>16</v>
      </c>
      <c r="G1030" t="s">
        <v>23</v>
      </c>
      <c r="H1030" t="s">
        <v>157</v>
      </c>
      <c r="K1030" t="s">
        <v>2892</v>
      </c>
      <c r="L1030" t="s">
        <v>19</v>
      </c>
      <c r="M1030" t="s">
        <v>46</v>
      </c>
      <c r="N1030" s="2">
        <v>45444</v>
      </c>
      <c r="O1030" s="2">
        <v>45473</v>
      </c>
      <c r="P1030">
        <v>10000</v>
      </c>
      <c r="Q1030">
        <v>10000</v>
      </c>
      <c r="R1030" t="s">
        <v>3022</v>
      </c>
    </row>
    <row r="1031" spans="1:20" x14ac:dyDescent="0.25">
      <c r="A1031" t="s">
        <v>14</v>
      </c>
      <c r="B1031" t="s">
        <v>1589</v>
      </c>
      <c r="C1031" t="s">
        <v>4396</v>
      </c>
      <c r="D1031" t="s">
        <v>4397</v>
      </c>
      <c r="E1031">
        <v>47300046761</v>
      </c>
      <c r="F1031" t="s">
        <v>42</v>
      </c>
      <c r="G1031" t="s">
        <v>28</v>
      </c>
      <c r="H1031" t="s">
        <v>43</v>
      </c>
      <c r="K1031" t="s">
        <v>3795</v>
      </c>
      <c r="L1031" t="s">
        <v>19</v>
      </c>
      <c r="M1031" t="s">
        <v>20</v>
      </c>
      <c r="P1031">
        <v>35000</v>
      </c>
      <c r="Q1031">
        <v>35000</v>
      </c>
      <c r="R1031" t="s">
        <v>3840</v>
      </c>
      <c r="S1031" t="s">
        <v>1590</v>
      </c>
      <c r="T1031">
        <v>81.8</v>
      </c>
    </row>
    <row r="1032" spans="1:20" x14ac:dyDescent="0.25">
      <c r="A1032" t="s">
        <v>14</v>
      </c>
      <c r="B1032" t="s">
        <v>1587</v>
      </c>
      <c r="C1032" t="s">
        <v>4384</v>
      </c>
      <c r="D1032" t="s">
        <v>4385</v>
      </c>
      <c r="E1032">
        <v>47300046647</v>
      </c>
      <c r="F1032" t="s">
        <v>16</v>
      </c>
      <c r="G1032" t="s">
        <v>87</v>
      </c>
      <c r="H1032" t="s">
        <v>100</v>
      </c>
      <c r="K1032" t="s">
        <v>4266</v>
      </c>
      <c r="L1032" t="s">
        <v>19</v>
      </c>
      <c r="M1032" t="s">
        <v>63</v>
      </c>
      <c r="N1032" s="2">
        <v>45444</v>
      </c>
      <c r="O1032" s="2">
        <v>45473</v>
      </c>
      <c r="P1032">
        <v>203500</v>
      </c>
      <c r="Q1032">
        <v>203500</v>
      </c>
      <c r="R1032" t="s">
        <v>4274</v>
      </c>
      <c r="S1032" t="s">
        <v>1588</v>
      </c>
      <c r="T1032">
        <v>475.6</v>
      </c>
    </row>
    <row r="1033" spans="1:20" x14ac:dyDescent="0.25">
      <c r="A1033" t="s">
        <v>14</v>
      </c>
      <c r="B1033" t="s">
        <v>1585</v>
      </c>
      <c r="C1033" t="s">
        <v>4365</v>
      </c>
      <c r="D1033" t="s">
        <v>4366</v>
      </c>
      <c r="E1033">
        <v>47300070563</v>
      </c>
      <c r="F1033" t="s">
        <v>16</v>
      </c>
      <c r="G1033" t="s">
        <v>28</v>
      </c>
      <c r="H1033" t="s">
        <v>359</v>
      </c>
      <c r="K1033" t="s">
        <v>3795</v>
      </c>
      <c r="L1033" t="s">
        <v>19</v>
      </c>
      <c r="M1033" t="s">
        <v>20</v>
      </c>
      <c r="P1033">
        <v>20000</v>
      </c>
      <c r="Q1033">
        <v>20000</v>
      </c>
      <c r="R1033" t="s">
        <v>3841</v>
      </c>
      <c r="S1033" t="s">
        <v>1586</v>
      </c>
      <c r="T1033">
        <v>46.8</v>
      </c>
    </row>
    <row r="1034" spans="1:20" x14ac:dyDescent="0.25">
      <c r="A1034" t="s">
        <v>14</v>
      </c>
      <c r="B1034" t="s">
        <v>1584</v>
      </c>
      <c r="C1034" t="s">
        <v>4389</v>
      </c>
      <c r="D1034" t="s">
        <v>4375</v>
      </c>
      <c r="E1034">
        <v>47300046605</v>
      </c>
      <c r="F1034" t="s">
        <v>16</v>
      </c>
      <c r="G1034" t="s">
        <v>17</v>
      </c>
      <c r="H1034" t="s">
        <v>49</v>
      </c>
      <c r="K1034" t="s">
        <v>3197</v>
      </c>
      <c r="L1034" t="s">
        <v>19</v>
      </c>
      <c r="M1034" t="s">
        <v>46</v>
      </c>
      <c r="N1034" s="2">
        <v>45444</v>
      </c>
      <c r="O1034" s="2">
        <v>45473</v>
      </c>
      <c r="P1034">
        <v>145500</v>
      </c>
      <c r="Q1034">
        <v>145500</v>
      </c>
      <c r="R1034" t="s">
        <v>3214</v>
      </c>
    </row>
    <row r="1035" spans="1:20" x14ac:dyDescent="0.25">
      <c r="A1035" t="s">
        <v>14</v>
      </c>
      <c r="B1035" t="s">
        <v>1582</v>
      </c>
      <c r="C1035" t="s">
        <v>4380</v>
      </c>
      <c r="D1035" t="s">
        <v>4381</v>
      </c>
      <c r="E1035">
        <v>47300070522</v>
      </c>
      <c r="F1035" t="s">
        <v>16</v>
      </c>
      <c r="G1035" t="s">
        <v>17</v>
      </c>
      <c r="H1035" t="s">
        <v>18</v>
      </c>
      <c r="K1035" t="s">
        <v>3795</v>
      </c>
      <c r="L1035" t="s">
        <v>19</v>
      </c>
      <c r="M1035" t="s">
        <v>20</v>
      </c>
      <c r="P1035">
        <v>10000</v>
      </c>
      <c r="Q1035">
        <v>10000</v>
      </c>
      <c r="R1035" t="s">
        <v>3842</v>
      </c>
      <c r="S1035" t="s">
        <v>1583</v>
      </c>
      <c r="T1035">
        <v>23.4</v>
      </c>
    </row>
    <row r="1036" spans="1:20" x14ac:dyDescent="0.25">
      <c r="A1036" t="s">
        <v>14</v>
      </c>
      <c r="B1036" t="s">
        <v>1581</v>
      </c>
      <c r="C1036" t="s">
        <v>4367</v>
      </c>
      <c r="D1036" t="s">
        <v>4368</v>
      </c>
      <c r="E1036">
        <v>47300046605</v>
      </c>
      <c r="F1036" t="s">
        <v>16</v>
      </c>
      <c r="G1036" t="s">
        <v>17</v>
      </c>
      <c r="H1036" t="s">
        <v>49</v>
      </c>
      <c r="K1036" t="s">
        <v>3294</v>
      </c>
      <c r="L1036" t="s">
        <v>19</v>
      </c>
      <c r="M1036" t="s">
        <v>46</v>
      </c>
      <c r="N1036" s="2">
        <v>45444</v>
      </c>
      <c r="O1036" s="2">
        <v>45504</v>
      </c>
      <c r="P1036">
        <v>500</v>
      </c>
      <c r="Q1036">
        <v>1000</v>
      </c>
      <c r="R1036" t="s">
        <v>3406</v>
      </c>
    </row>
    <row r="1037" spans="1:20" x14ac:dyDescent="0.25">
      <c r="A1037" t="s">
        <v>14</v>
      </c>
      <c r="B1037" t="s">
        <v>1579</v>
      </c>
      <c r="C1037" t="s">
        <v>4389</v>
      </c>
      <c r="D1037" t="s">
        <v>4375</v>
      </c>
      <c r="E1037">
        <v>47300070514</v>
      </c>
      <c r="F1037" t="s">
        <v>27</v>
      </c>
      <c r="G1037" t="s">
        <v>28</v>
      </c>
      <c r="H1037" t="s">
        <v>29</v>
      </c>
      <c r="K1037" t="s">
        <v>4266</v>
      </c>
      <c r="L1037" t="s">
        <v>19</v>
      </c>
      <c r="M1037" t="s">
        <v>63</v>
      </c>
      <c r="N1037" s="2">
        <v>45444</v>
      </c>
      <c r="O1037" s="2">
        <v>45473</v>
      </c>
      <c r="P1037">
        <v>100000</v>
      </c>
      <c r="Q1037">
        <v>100000</v>
      </c>
      <c r="R1037" t="s">
        <v>3407</v>
      </c>
      <c r="S1037" t="s">
        <v>1580</v>
      </c>
      <c r="T1037">
        <v>233.7</v>
      </c>
    </row>
    <row r="1038" spans="1:20" x14ac:dyDescent="0.25">
      <c r="A1038" t="s">
        <v>14</v>
      </c>
      <c r="B1038" t="s">
        <v>1579</v>
      </c>
      <c r="C1038" t="s">
        <v>4400</v>
      </c>
      <c r="D1038" t="s">
        <v>4401</v>
      </c>
      <c r="E1038">
        <v>47300070514</v>
      </c>
      <c r="F1038" t="s">
        <v>27</v>
      </c>
      <c r="G1038" t="s">
        <v>28</v>
      </c>
      <c r="H1038" t="s">
        <v>29</v>
      </c>
      <c r="K1038" t="s">
        <v>3294</v>
      </c>
      <c r="L1038" t="s">
        <v>19</v>
      </c>
      <c r="M1038" t="s">
        <v>46</v>
      </c>
      <c r="N1038" s="2">
        <v>45444</v>
      </c>
      <c r="O1038" s="2">
        <v>45473</v>
      </c>
      <c r="P1038">
        <v>500</v>
      </c>
      <c r="Q1038">
        <v>500</v>
      </c>
      <c r="R1038" t="s">
        <v>3407</v>
      </c>
    </row>
    <row r="1039" spans="1:20" x14ac:dyDescent="0.25">
      <c r="A1039" t="s">
        <v>14</v>
      </c>
      <c r="B1039" t="s">
        <v>1577</v>
      </c>
      <c r="C1039" t="s">
        <v>4380</v>
      </c>
      <c r="D1039" t="s">
        <v>4381</v>
      </c>
      <c r="E1039">
        <v>47300026094</v>
      </c>
      <c r="F1039" t="s">
        <v>35</v>
      </c>
      <c r="G1039" t="s">
        <v>36</v>
      </c>
      <c r="H1039" t="s">
        <v>4359</v>
      </c>
      <c r="K1039" t="s">
        <v>3795</v>
      </c>
      <c r="L1039" t="s">
        <v>19</v>
      </c>
      <c r="M1039" t="s">
        <v>20</v>
      </c>
      <c r="P1039">
        <v>250000</v>
      </c>
      <c r="Q1039">
        <v>250000</v>
      </c>
      <c r="R1039" t="s">
        <v>3843</v>
      </c>
      <c r="S1039" t="s">
        <v>1578</v>
      </c>
      <c r="T1039">
        <v>584.20000000000005</v>
      </c>
    </row>
    <row r="1040" spans="1:20" x14ac:dyDescent="0.25">
      <c r="A1040" t="s">
        <v>14</v>
      </c>
      <c r="B1040" t="s">
        <v>1575</v>
      </c>
      <c r="C1040" t="s">
        <v>4371</v>
      </c>
      <c r="D1040" t="s">
        <v>4368</v>
      </c>
      <c r="E1040">
        <v>47300046761</v>
      </c>
      <c r="F1040" t="s">
        <v>42</v>
      </c>
      <c r="G1040" t="s">
        <v>28</v>
      </c>
      <c r="H1040" t="s">
        <v>43</v>
      </c>
      <c r="K1040" t="s">
        <v>3795</v>
      </c>
      <c r="L1040" t="s">
        <v>19</v>
      </c>
      <c r="M1040" t="s">
        <v>20</v>
      </c>
      <c r="P1040">
        <v>50000</v>
      </c>
      <c r="Q1040">
        <v>50000</v>
      </c>
      <c r="R1040" t="s">
        <v>3844</v>
      </c>
      <c r="S1040" t="s">
        <v>1576</v>
      </c>
      <c r="T1040">
        <v>116.9</v>
      </c>
    </row>
    <row r="1041" spans="1:20" x14ac:dyDescent="0.25">
      <c r="A1041" t="s">
        <v>14</v>
      </c>
      <c r="B1041" t="s">
        <v>1573</v>
      </c>
      <c r="C1041" t="s">
        <v>4398</v>
      </c>
      <c r="D1041" t="s">
        <v>4399</v>
      </c>
      <c r="E1041">
        <v>47300046779</v>
      </c>
      <c r="F1041" t="s">
        <v>42</v>
      </c>
      <c r="G1041" t="s">
        <v>28</v>
      </c>
      <c r="H1041" t="s">
        <v>199</v>
      </c>
      <c r="K1041" t="s">
        <v>4266</v>
      </c>
      <c r="L1041" t="s">
        <v>19</v>
      </c>
      <c r="M1041" t="s">
        <v>63</v>
      </c>
      <c r="N1041" s="2">
        <v>45444</v>
      </c>
      <c r="O1041" s="2">
        <v>45473</v>
      </c>
      <c r="P1041">
        <v>100000</v>
      </c>
      <c r="Q1041">
        <v>100000</v>
      </c>
      <c r="R1041" t="s">
        <v>3408</v>
      </c>
      <c r="S1041" t="s">
        <v>1574</v>
      </c>
      <c r="T1041">
        <v>233.7</v>
      </c>
    </row>
    <row r="1042" spans="1:20" x14ac:dyDescent="0.25">
      <c r="A1042" t="s">
        <v>14</v>
      </c>
      <c r="B1042" t="s">
        <v>1573</v>
      </c>
      <c r="C1042" t="s">
        <v>4371</v>
      </c>
      <c r="D1042" t="s">
        <v>4368</v>
      </c>
      <c r="E1042">
        <v>47300046779</v>
      </c>
      <c r="F1042" t="s">
        <v>42</v>
      </c>
      <c r="G1042" t="s">
        <v>28</v>
      </c>
      <c r="H1042" t="s">
        <v>199</v>
      </c>
      <c r="K1042" t="s">
        <v>3294</v>
      </c>
      <c r="L1042" t="s">
        <v>19</v>
      </c>
      <c r="M1042" t="s">
        <v>46</v>
      </c>
      <c r="N1042" s="2">
        <v>45444</v>
      </c>
      <c r="O1042" s="2">
        <v>45473</v>
      </c>
      <c r="P1042">
        <v>500</v>
      </c>
      <c r="Q1042">
        <v>500</v>
      </c>
      <c r="R1042" t="s">
        <v>3408</v>
      </c>
    </row>
    <row r="1043" spans="1:20" x14ac:dyDescent="0.25">
      <c r="A1043" t="s">
        <v>14</v>
      </c>
      <c r="B1043" t="s">
        <v>1571</v>
      </c>
      <c r="C1043" t="s">
        <v>4398</v>
      </c>
      <c r="D1043" t="s">
        <v>4399</v>
      </c>
      <c r="E1043">
        <v>47300025708</v>
      </c>
      <c r="F1043" t="s">
        <v>35</v>
      </c>
      <c r="G1043" t="s">
        <v>36</v>
      </c>
      <c r="H1043" t="s">
        <v>4360</v>
      </c>
      <c r="K1043" t="s">
        <v>4266</v>
      </c>
      <c r="L1043" t="s">
        <v>19</v>
      </c>
      <c r="M1043" t="s">
        <v>63</v>
      </c>
      <c r="N1043" s="2">
        <v>45444</v>
      </c>
      <c r="O1043" s="2">
        <v>45473</v>
      </c>
      <c r="P1043">
        <v>150000</v>
      </c>
      <c r="Q1043">
        <v>150000</v>
      </c>
      <c r="R1043" t="s">
        <v>3409</v>
      </c>
      <c r="S1043" t="s">
        <v>1572</v>
      </c>
      <c r="T1043">
        <v>350.6</v>
      </c>
    </row>
    <row r="1044" spans="1:20" x14ac:dyDescent="0.25">
      <c r="A1044" t="s">
        <v>14</v>
      </c>
      <c r="B1044" t="s">
        <v>1571</v>
      </c>
      <c r="C1044" t="s">
        <v>4387</v>
      </c>
      <c r="D1044" t="s">
        <v>4388</v>
      </c>
      <c r="E1044">
        <v>47300025708</v>
      </c>
      <c r="F1044" t="s">
        <v>35</v>
      </c>
      <c r="G1044" t="s">
        <v>36</v>
      </c>
      <c r="H1044" t="s">
        <v>4360</v>
      </c>
      <c r="K1044" t="s">
        <v>3294</v>
      </c>
      <c r="L1044" t="s">
        <v>19</v>
      </c>
      <c r="M1044" t="s">
        <v>46</v>
      </c>
      <c r="N1044" s="2">
        <v>45444</v>
      </c>
      <c r="O1044" s="2">
        <v>45473</v>
      </c>
      <c r="P1044">
        <v>500</v>
      </c>
      <c r="Q1044">
        <v>500</v>
      </c>
      <c r="R1044" t="s">
        <v>3409</v>
      </c>
    </row>
    <row r="1045" spans="1:20" x14ac:dyDescent="0.25">
      <c r="A1045" t="s">
        <v>14</v>
      </c>
      <c r="B1045" t="s">
        <v>1569</v>
      </c>
      <c r="C1045" t="s">
        <v>4365</v>
      </c>
      <c r="D1045" t="s">
        <v>4366</v>
      </c>
      <c r="E1045">
        <v>47300046746</v>
      </c>
      <c r="F1045" t="s">
        <v>16</v>
      </c>
      <c r="G1045" t="s">
        <v>28</v>
      </c>
      <c r="H1045" t="s">
        <v>32</v>
      </c>
      <c r="K1045" t="s">
        <v>3795</v>
      </c>
      <c r="L1045" t="s">
        <v>19</v>
      </c>
      <c r="M1045" t="s">
        <v>20</v>
      </c>
      <c r="P1045">
        <v>10000</v>
      </c>
      <c r="Q1045">
        <v>10000</v>
      </c>
      <c r="R1045" t="s">
        <v>3845</v>
      </c>
      <c r="S1045" t="s">
        <v>1570</v>
      </c>
      <c r="T1045">
        <v>23.4</v>
      </c>
    </row>
    <row r="1046" spans="1:20" x14ac:dyDescent="0.25">
      <c r="A1046" t="s">
        <v>14</v>
      </c>
      <c r="B1046" t="s">
        <v>1567</v>
      </c>
      <c r="C1046" t="s">
        <v>4365</v>
      </c>
      <c r="D1046" t="s">
        <v>4366</v>
      </c>
      <c r="E1046">
        <v>47300046241</v>
      </c>
      <c r="F1046" t="s">
        <v>16</v>
      </c>
      <c r="G1046" t="s">
        <v>23</v>
      </c>
      <c r="H1046" t="s">
        <v>24</v>
      </c>
      <c r="I1046" t="s">
        <v>2754</v>
      </c>
      <c r="J1046">
        <v>0</v>
      </c>
      <c r="K1046" t="s">
        <v>3795</v>
      </c>
      <c r="L1046" t="s">
        <v>19</v>
      </c>
      <c r="M1046" t="s">
        <v>20</v>
      </c>
      <c r="P1046">
        <v>40000</v>
      </c>
      <c r="Q1046">
        <v>40000</v>
      </c>
      <c r="R1046" t="s">
        <v>3846</v>
      </c>
      <c r="S1046" t="s">
        <v>1568</v>
      </c>
      <c r="T1046">
        <v>93.5</v>
      </c>
    </row>
    <row r="1047" spans="1:20" x14ac:dyDescent="0.25">
      <c r="A1047" t="s">
        <v>14</v>
      </c>
      <c r="B1047" t="s">
        <v>1564</v>
      </c>
      <c r="C1047" t="s">
        <v>4394</v>
      </c>
      <c r="D1047" t="s">
        <v>4395</v>
      </c>
      <c r="E1047">
        <v>47300070563</v>
      </c>
      <c r="F1047" t="s">
        <v>16</v>
      </c>
      <c r="G1047" t="s">
        <v>28</v>
      </c>
      <c r="H1047" t="s">
        <v>359</v>
      </c>
      <c r="K1047" t="s">
        <v>1565</v>
      </c>
      <c r="L1047" t="s">
        <v>47</v>
      </c>
      <c r="N1047" s="2">
        <v>45453</v>
      </c>
      <c r="O1047" s="2">
        <v>45453</v>
      </c>
      <c r="P1047">
        <v>100000</v>
      </c>
      <c r="Q1047">
        <v>100000</v>
      </c>
      <c r="R1047" t="s">
        <v>3847</v>
      </c>
    </row>
    <row r="1048" spans="1:20" x14ac:dyDescent="0.25">
      <c r="A1048" t="s">
        <v>14</v>
      </c>
      <c r="B1048" t="s">
        <v>1564</v>
      </c>
      <c r="C1048" t="s">
        <v>4414</v>
      </c>
      <c r="D1048" t="s">
        <v>4401</v>
      </c>
      <c r="E1048">
        <v>47300070563</v>
      </c>
      <c r="F1048" t="s">
        <v>16</v>
      </c>
      <c r="G1048" t="s">
        <v>28</v>
      </c>
      <c r="H1048" t="s">
        <v>359</v>
      </c>
      <c r="K1048" t="s">
        <v>3795</v>
      </c>
      <c r="L1048" t="s">
        <v>19</v>
      </c>
      <c r="M1048" t="s">
        <v>20</v>
      </c>
      <c r="P1048">
        <v>20000</v>
      </c>
      <c r="Q1048">
        <v>20000</v>
      </c>
      <c r="R1048" t="s">
        <v>3847</v>
      </c>
      <c r="S1048" t="s">
        <v>1566</v>
      </c>
      <c r="T1048">
        <v>46.7</v>
      </c>
    </row>
    <row r="1049" spans="1:20" x14ac:dyDescent="0.25">
      <c r="A1049" t="s">
        <v>14</v>
      </c>
      <c r="B1049" t="s">
        <v>1562</v>
      </c>
      <c r="C1049" t="s">
        <v>4414</v>
      </c>
      <c r="D1049" t="s">
        <v>4401</v>
      </c>
      <c r="E1049">
        <v>47300070654</v>
      </c>
      <c r="F1049" t="s">
        <v>16</v>
      </c>
      <c r="G1049" t="s">
        <v>28</v>
      </c>
      <c r="H1049" t="s">
        <v>217</v>
      </c>
      <c r="K1049" t="s">
        <v>3795</v>
      </c>
      <c r="L1049" t="s">
        <v>19</v>
      </c>
      <c r="M1049" t="s">
        <v>20</v>
      </c>
      <c r="P1049">
        <v>20000</v>
      </c>
      <c r="Q1049">
        <v>20000</v>
      </c>
      <c r="R1049" t="s">
        <v>3848</v>
      </c>
      <c r="S1049" t="s">
        <v>1563</v>
      </c>
      <c r="T1049">
        <v>46.8</v>
      </c>
    </row>
    <row r="1050" spans="1:20" x14ac:dyDescent="0.25">
      <c r="A1050" t="s">
        <v>14</v>
      </c>
      <c r="B1050" t="s">
        <v>1560</v>
      </c>
      <c r="C1050" t="s">
        <v>4400</v>
      </c>
      <c r="D1050" t="s">
        <v>4401</v>
      </c>
      <c r="E1050">
        <v>47300086445</v>
      </c>
      <c r="F1050" t="s">
        <v>16</v>
      </c>
      <c r="G1050" t="s">
        <v>28</v>
      </c>
      <c r="H1050" t="s">
        <v>187</v>
      </c>
      <c r="I1050" t="s">
        <v>2777</v>
      </c>
      <c r="J1050" t="s">
        <v>2776</v>
      </c>
      <c r="K1050" t="s">
        <v>3795</v>
      </c>
      <c r="L1050" t="s">
        <v>19</v>
      </c>
      <c r="M1050" t="s">
        <v>20</v>
      </c>
      <c r="P1050">
        <v>50000</v>
      </c>
      <c r="Q1050">
        <v>50000</v>
      </c>
      <c r="R1050" t="s">
        <v>2804</v>
      </c>
      <c r="S1050" t="s">
        <v>1561</v>
      </c>
      <c r="T1050">
        <v>116.8</v>
      </c>
    </row>
    <row r="1051" spans="1:20" x14ac:dyDescent="0.25">
      <c r="A1051" t="s">
        <v>14</v>
      </c>
      <c r="B1051" t="s">
        <v>1560</v>
      </c>
      <c r="C1051" t="s">
        <v>4369</v>
      </c>
      <c r="D1051" t="s">
        <v>4370</v>
      </c>
      <c r="E1051">
        <v>47300086445</v>
      </c>
      <c r="F1051" t="s">
        <v>16</v>
      </c>
      <c r="G1051" t="s">
        <v>28</v>
      </c>
      <c r="H1051" t="s">
        <v>187</v>
      </c>
      <c r="I1051" t="s">
        <v>2777</v>
      </c>
      <c r="J1051" t="s">
        <v>2776</v>
      </c>
      <c r="K1051" t="s">
        <v>2803</v>
      </c>
      <c r="L1051" t="s">
        <v>47</v>
      </c>
      <c r="N1051" s="2">
        <v>45456</v>
      </c>
      <c r="O1051" s="2">
        <v>45456</v>
      </c>
      <c r="P1051">
        <v>150000</v>
      </c>
      <c r="Q1051">
        <v>150000</v>
      </c>
      <c r="R1051" t="s">
        <v>2804</v>
      </c>
    </row>
    <row r="1052" spans="1:20" x14ac:dyDescent="0.25">
      <c r="A1052" t="s">
        <v>14</v>
      </c>
      <c r="B1052" t="s">
        <v>1558</v>
      </c>
      <c r="C1052" t="s">
        <v>4365</v>
      </c>
      <c r="D1052" t="s">
        <v>4403</v>
      </c>
      <c r="E1052">
        <v>47300070522</v>
      </c>
      <c r="F1052" t="s">
        <v>16</v>
      </c>
      <c r="G1052" t="s">
        <v>17</v>
      </c>
      <c r="H1052" t="s">
        <v>18</v>
      </c>
      <c r="K1052" t="s">
        <v>3795</v>
      </c>
      <c r="L1052" t="s">
        <v>19</v>
      </c>
      <c r="M1052" t="s">
        <v>20</v>
      </c>
      <c r="P1052">
        <v>50000</v>
      </c>
      <c r="Q1052">
        <v>50000</v>
      </c>
      <c r="R1052" t="s">
        <v>3849</v>
      </c>
      <c r="S1052" t="s">
        <v>1559</v>
      </c>
      <c r="T1052">
        <v>116.8</v>
      </c>
    </row>
    <row r="1053" spans="1:20" x14ac:dyDescent="0.25">
      <c r="A1053" t="s">
        <v>14</v>
      </c>
      <c r="B1053" t="s">
        <v>1556</v>
      </c>
      <c r="C1053" t="s">
        <v>4369</v>
      </c>
      <c r="D1053" t="s">
        <v>4370</v>
      </c>
      <c r="E1053">
        <v>47300046746</v>
      </c>
      <c r="F1053" t="s">
        <v>16</v>
      </c>
      <c r="G1053" t="s">
        <v>28</v>
      </c>
      <c r="H1053" t="s">
        <v>32</v>
      </c>
      <c r="K1053" t="s">
        <v>3795</v>
      </c>
      <c r="L1053" t="s">
        <v>19</v>
      </c>
      <c r="M1053" t="s">
        <v>20</v>
      </c>
      <c r="P1053">
        <v>10000</v>
      </c>
      <c r="Q1053">
        <v>10000</v>
      </c>
      <c r="R1053" t="s">
        <v>3850</v>
      </c>
      <c r="S1053" t="s">
        <v>1557</v>
      </c>
      <c r="T1053">
        <v>23.4</v>
      </c>
    </row>
    <row r="1054" spans="1:20" x14ac:dyDescent="0.25">
      <c r="A1054" t="s">
        <v>14</v>
      </c>
      <c r="B1054" t="s">
        <v>1554</v>
      </c>
      <c r="C1054" t="s">
        <v>2927</v>
      </c>
      <c r="D1054" t="s">
        <v>4375</v>
      </c>
      <c r="E1054">
        <v>47300070837</v>
      </c>
      <c r="F1054" t="s">
        <v>16</v>
      </c>
      <c r="G1054" t="s">
        <v>23</v>
      </c>
      <c r="H1054" t="s">
        <v>165</v>
      </c>
      <c r="K1054" t="s">
        <v>4266</v>
      </c>
      <c r="L1054" t="s">
        <v>19</v>
      </c>
      <c r="M1054" t="s">
        <v>63</v>
      </c>
      <c r="N1054" s="2">
        <v>45444</v>
      </c>
      <c r="O1054" s="2">
        <v>45473</v>
      </c>
      <c r="P1054">
        <v>120000</v>
      </c>
      <c r="Q1054">
        <v>120000</v>
      </c>
      <c r="R1054" t="s">
        <v>3410</v>
      </c>
      <c r="S1054" t="s">
        <v>1555</v>
      </c>
      <c r="T1054">
        <v>280.5</v>
      </c>
    </row>
    <row r="1055" spans="1:20" x14ac:dyDescent="0.25">
      <c r="A1055" t="s">
        <v>14</v>
      </c>
      <c r="B1055" t="s">
        <v>1554</v>
      </c>
      <c r="C1055" t="s">
        <v>4386</v>
      </c>
      <c r="D1055" t="s">
        <v>4368</v>
      </c>
      <c r="E1055">
        <v>47300070837</v>
      </c>
      <c r="F1055" t="s">
        <v>16</v>
      </c>
      <c r="G1055" t="s">
        <v>23</v>
      </c>
      <c r="H1055" t="s">
        <v>165</v>
      </c>
      <c r="K1055" t="s">
        <v>3294</v>
      </c>
      <c r="L1055" t="s">
        <v>19</v>
      </c>
      <c r="M1055" t="s">
        <v>46</v>
      </c>
      <c r="N1055" s="2">
        <v>45444</v>
      </c>
      <c r="O1055" s="2">
        <v>45504</v>
      </c>
      <c r="P1055">
        <v>500</v>
      </c>
      <c r="Q1055">
        <v>1000</v>
      </c>
      <c r="R1055" t="s">
        <v>3410</v>
      </c>
    </row>
    <row r="1056" spans="1:20" x14ac:dyDescent="0.25">
      <c r="A1056" t="s">
        <v>14</v>
      </c>
      <c r="B1056" t="s">
        <v>1552</v>
      </c>
      <c r="C1056" t="s">
        <v>4387</v>
      </c>
      <c r="D1056" t="s">
        <v>4388</v>
      </c>
      <c r="E1056">
        <v>47300046761</v>
      </c>
      <c r="F1056" t="s">
        <v>42</v>
      </c>
      <c r="G1056" t="s">
        <v>28</v>
      </c>
      <c r="H1056" t="s">
        <v>43</v>
      </c>
      <c r="K1056" t="s">
        <v>3795</v>
      </c>
      <c r="L1056" t="s">
        <v>19</v>
      </c>
      <c r="M1056" t="s">
        <v>20</v>
      </c>
      <c r="P1056">
        <v>35000</v>
      </c>
      <c r="Q1056">
        <v>35000</v>
      </c>
      <c r="R1056" t="s">
        <v>3851</v>
      </c>
      <c r="S1056" t="s">
        <v>1553</v>
      </c>
      <c r="T1056">
        <v>81.8</v>
      </c>
    </row>
    <row r="1057" spans="1:20" x14ac:dyDescent="0.25">
      <c r="A1057" t="s">
        <v>14</v>
      </c>
      <c r="B1057" t="s">
        <v>1550</v>
      </c>
      <c r="C1057" t="s">
        <v>2927</v>
      </c>
      <c r="D1057" t="s">
        <v>4375</v>
      </c>
      <c r="E1057">
        <v>47300025690</v>
      </c>
      <c r="F1057" t="s">
        <v>35</v>
      </c>
      <c r="G1057" t="s">
        <v>36</v>
      </c>
      <c r="H1057" t="s">
        <v>37</v>
      </c>
      <c r="K1057" t="s">
        <v>3795</v>
      </c>
      <c r="L1057" t="s">
        <v>19</v>
      </c>
      <c r="M1057" t="s">
        <v>20</v>
      </c>
      <c r="P1057">
        <v>100000</v>
      </c>
      <c r="Q1057">
        <v>100000</v>
      </c>
      <c r="R1057" t="s">
        <v>3852</v>
      </c>
      <c r="S1057" t="s">
        <v>1551</v>
      </c>
      <c r="T1057">
        <v>233.7</v>
      </c>
    </row>
    <row r="1058" spans="1:20" x14ac:dyDescent="0.25">
      <c r="A1058" t="s">
        <v>14</v>
      </c>
      <c r="B1058" t="s">
        <v>1548</v>
      </c>
      <c r="C1058" t="s">
        <v>4419</v>
      </c>
      <c r="D1058" t="s">
        <v>4368</v>
      </c>
      <c r="E1058">
        <v>47300070704</v>
      </c>
      <c r="F1058" t="s">
        <v>16</v>
      </c>
      <c r="G1058" t="s">
        <v>28</v>
      </c>
      <c r="H1058" t="s">
        <v>146</v>
      </c>
      <c r="K1058" t="s">
        <v>3795</v>
      </c>
      <c r="L1058" t="s">
        <v>19</v>
      </c>
      <c r="M1058" t="s">
        <v>20</v>
      </c>
      <c r="P1058">
        <v>250000</v>
      </c>
      <c r="Q1058">
        <v>250000</v>
      </c>
      <c r="R1058" t="s">
        <v>3853</v>
      </c>
      <c r="S1058" t="s">
        <v>1549</v>
      </c>
      <c r="T1058">
        <v>584.29999999999995</v>
      </c>
    </row>
    <row r="1059" spans="1:20" x14ac:dyDescent="0.25">
      <c r="A1059" t="s">
        <v>14</v>
      </c>
      <c r="B1059" t="s">
        <v>1546</v>
      </c>
      <c r="C1059" t="s">
        <v>4380</v>
      </c>
      <c r="D1059" t="s">
        <v>4381</v>
      </c>
      <c r="E1059">
        <v>47300070589</v>
      </c>
      <c r="F1059" t="s">
        <v>16</v>
      </c>
      <c r="G1059" t="s">
        <v>28</v>
      </c>
      <c r="H1059" t="s">
        <v>221</v>
      </c>
      <c r="K1059" t="s">
        <v>4266</v>
      </c>
      <c r="L1059" t="s">
        <v>19</v>
      </c>
      <c r="M1059" t="s">
        <v>63</v>
      </c>
      <c r="N1059" s="2">
        <v>45444</v>
      </c>
      <c r="O1059" s="2">
        <v>45473</v>
      </c>
      <c r="P1059">
        <v>40000</v>
      </c>
      <c r="Q1059">
        <v>40000</v>
      </c>
      <c r="R1059" t="s">
        <v>4275</v>
      </c>
      <c r="S1059" t="s">
        <v>1547</v>
      </c>
      <c r="T1059">
        <v>93.5</v>
      </c>
    </row>
    <row r="1060" spans="1:20" x14ac:dyDescent="0.25">
      <c r="A1060" t="s">
        <v>14</v>
      </c>
      <c r="B1060" t="s">
        <v>1544</v>
      </c>
      <c r="C1060" t="s">
        <v>4365</v>
      </c>
      <c r="D1060" t="s">
        <v>4366</v>
      </c>
      <c r="E1060">
        <v>47300026094</v>
      </c>
      <c r="F1060" t="s">
        <v>35</v>
      </c>
      <c r="G1060" t="s">
        <v>36</v>
      </c>
      <c r="H1060" t="s">
        <v>4359</v>
      </c>
      <c r="K1060" t="s">
        <v>3795</v>
      </c>
      <c r="L1060" t="s">
        <v>19</v>
      </c>
      <c r="M1060" t="s">
        <v>20</v>
      </c>
      <c r="P1060">
        <v>250000</v>
      </c>
      <c r="Q1060">
        <v>250000</v>
      </c>
      <c r="R1060" t="s">
        <v>3854</v>
      </c>
      <c r="S1060" t="s">
        <v>1545</v>
      </c>
      <c r="T1060">
        <v>584.29999999999995</v>
      </c>
    </row>
    <row r="1061" spans="1:20" x14ac:dyDescent="0.25">
      <c r="A1061" t="s">
        <v>14</v>
      </c>
      <c r="B1061" t="s">
        <v>1542</v>
      </c>
      <c r="C1061" t="s">
        <v>4419</v>
      </c>
      <c r="D1061" t="s">
        <v>4368</v>
      </c>
      <c r="E1061">
        <v>47300020147</v>
      </c>
      <c r="F1061" t="s">
        <v>35</v>
      </c>
      <c r="G1061" t="s">
        <v>36</v>
      </c>
      <c r="H1061" t="s">
        <v>4363</v>
      </c>
      <c r="K1061" t="s">
        <v>4266</v>
      </c>
      <c r="L1061" t="s">
        <v>19</v>
      </c>
      <c r="M1061" t="s">
        <v>63</v>
      </c>
      <c r="N1061" s="2">
        <v>45444</v>
      </c>
      <c r="O1061" s="2">
        <v>45473</v>
      </c>
      <c r="P1061">
        <v>100000</v>
      </c>
      <c r="Q1061">
        <v>100000</v>
      </c>
      <c r="R1061" t="s">
        <v>3411</v>
      </c>
      <c r="S1061" t="s">
        <v>1543</v>
      </c>
      <c r="T1061">
        <v>233.7</v>
      </c>
    </row>
    <row r="1062" spans="1:20" x14ac:dyDescent="0.25">
      <c r="A1062" t="s">
        <v>14</v>
      </c>
      <c r="B1062" t="s">
        <v>1542</v>
      </c>
      <c r="C1062" t="s">
        <v>4367</v>
      </c>
      <c r="D1062" t="s">
        <v>4368</v>
      </c>
      <c r="E1062">
        <v>47300020147</v>
      </c>
      <c r="F1062" t="s">
        <v>35</v>
      </c>
      <c r="G1062" t="s">
        <v>36</v>
      </c>
      <c r="H1062" t="s">
        <v>4363</v>
      </c>
      <c r="K1062" t="s">
        <v>3294</v>
      </c>
      <c r="L1062" t="s">
        <v>19</v>
      </c>
      <c r="M1062" t="s">
        <v>46</v>
      </c>
      <c r="N1062" s="2">
        <v>45444</v>
      </c>
      <c r="O1062" s="2">
        <v>45473</v>
      </c>
      <c r="P1062">
        <v>500</v>
      </c>
      <c r="Q1062">
        <v>500</v>
      </c>
      <c r="R1062" t="s">
        <v>3411</v>
      </c>
    </row>
    <row r="1063" spans="1:20" x14ac:dyDescent="0.25">
      <c r="A1063" t="s">
        <v>14</v>
      </c>
      <c r="B1063" t="s">
        <v>1540</v>
      </c>
      <c r="C1063" t="s">
        <v>4376</v>
      </c>
      <c r="D1063" t="s">
        <v>4407</v>
      </c>
      <c r="E1063">
        <v>47300070563</v>
      </c>
      <c r="F1063" t="s">
        <v>16</v>
      </c>
      <c r="G1063" t="s">
        <v>28</v>
      </c>
      <c r="H1063" t="s">
        <v>359</v>
      </c>
      <c r="K1063" t="s">
        <v>3795</v>
      </c>
      <c r="L1063" t="s">
        <v>19</v>
      </c>
      <c r="M1063" t="s">
        <v>20</v>
      </c>
      <c r="P1063">
        <v>22000</v>
      </c>
      <c r="Q1063">
        <v>22000</v>
      </c>
      <c r="R1063" t="s">
        <v>3855</v>
      </c>
      <c r="S1063" t="s">
        <v>1541</v>
      </c>
      <c r="T1063">
        <v>51.4</v>
      </c>
    </row>
    <row r="1064" spans="1:20" x14ac:dyDescent="0.25">
      <c r="A1064" t="s">
        <v>14</v>
      </c>
      <c r="B1064" t="s">
        <v>1538</v>
      </c>
      <c r="C1064" t="s">
        <v>4364</v>
      </c>
      <c r="D1064" t="s">
        <v>4358</v>
      </c>
      <c r="E1064">
        <v>47300046605</v>
      </c>
      <c r="F1064" t="s">
        <v>16</v>
      </c>
      <c r="G1064" t="s">
        <v>17</v>
      </c>
      <c r="H1064" t="s">
        <v>49</v>
      </c>
      <c r="K1064" t="s">
        <v>4266</v>
      </c>
      <c r="L1064" t="s">
        <v>19</v>
      </c>
      <c r="M1064" t="s">
        <v>63</v>
      </c>
      <c r="N1064" s="2">
        <v>45444</v>
      </c>
      <c r="O1064" s="2">
        <v>45473</v>
      </c>
      <c r="P1064">
        <v>90000</v>
      </c>
      <c r="Q1064">
        <v>90000</v>
      </c>
      <c r="R1064" t="s">
        <v>4276</v>
      </c>
      <c r="S1064" t="s">
        <v>1539</v>
      </c>
      <c r="T1064">
        <v>210.3</v>
      </c>
    </row>
    <row r="1065" spans="1:20" x14ac:dyDescent="0.25">
      <c r="A1065" t="s">
        <v>14</v>
      </c>
      <c r="B1065" t="s">
        <v>1536</v>
      </c>
      <c r="C1065" t="s">
        <v>2927</v>
      </c>
      <c r="D1065" t="s">
        <v>4385</v>
      </c>
      <c r="E1065">
        <v>47300046365</v>
      </c>
      <c r="F1065" t="s">
        <v>16</v>
      </c>
      <c r="G1065" t="s">
        <v>28</v>
      </c>
      <c r="H1065" t="s">
        <v>62</v>
      </c>
      <c r="K1065" t="s">
        <v>4266</v>
      </c>
      <c r="L1065" t="s">
        <v>19</v>
      </c>
      <c r="M1065" t="s">
        <v>63</v>
      </c>
      <c r="N1065" s="2">
        <v>45444</v>
      </c>
      <c r="O1065" s="2">
        <v>45473</v>
      </c>
      <c r="P1065">
        <v>75000</v>
      </c>
      <c r="Q1065">
        <v>75000</v>
      </c>
      <c r="R1065" t="s">
        <v>3023</v>
      </c>
      <c r="S1065" t="s">
        <v>1537</v>
      </c>
      <c r="T1065">
        <v>175.3</v>
      </c>
    </row>
    <row r="1066" spans="1:20" x14ac:dyDescent="0.25">
      <c r="A1066" t="s">
        <v>14</v>
      </c>
      <c r="B1066" t="s">
        <v>1536</v>
      </c>
      <c r="C1066" t="s">
        <v>4412</v>
      </c>
      <c r="D1066" t="s">
        <v>4377</v>
      </c>
      <c r="E1066">
        <v>47300046365</v>
      </c>
      <c r="F1066" t="s">
        <v>16</v>
      </c>
      <c r="G1066" t="s">
        <v>28</v>
      </c>
      <c r="H1066" t="s">
        <v>62</v>
      </c>
      <c r="K1066" t="s">
        <v>3294</v>
      </c>
      <c r="L1066" t="s">
        <v>19</v>
      </c>
      <c r="M1066" t="s">
        <v>46</v>
      </c>
      <c r="N1066" s="2">
        <v>45444</v>
      </c>
      <c r="O1066" s="2">
        <v>45473</v>
      </c>
      <c r="P1066">
        <v>500</v>
      </c>
      <c r="Q1066">
        <v>500</v>
      </c>
      <c r="R1066" t="s">
        <v>3023</v>
      </c>
    </row>
    <row r="1067" spans="1:20" x14ac:dyDescent="0.25">
      <c r="A1067" t="s">
        <v>14</v>
      </c>
      <c r="B1067" t="s">
        <v>1536</v>
      </c>
      <c r="C1067" t="s">
        <v>2927</v>
      </c>
      <c r="D1067" t="s">
        <v>4385</v>
      </c>
      <c r="E1067">
        <v>47300046365</v>
      </c>
      <c r="F1067" t="s">
        <v>16</v>
      </c>
      <c r="G1067" t="s">
        <v>28</v>
      </c>
      <c r="H1067" t="s">
        <v>62</v>
      </c>
      <c r="K1067" t="s">
        <v>3197</v>
      </c>
      <c r="L1067" t="s">
        <v>19</v>
      </c>
      <c r="M1067" t="s">
        <v>46</v>
      </c>
      <c r="N1067" s="2">
        <v>45444</v>
      </c>
      <c r="O1067" s="2">
        <v>45473</v>
      </c>
      <c r="P1067">
        <v>145500</v>
      </c>
      <c r="Q1067">
        <v>145500</v>
      </c>
      <c r="R1067" t="s">
        <v>3023</v>
      </c>
    </row>
    <row r="1068" spans="1:20" x14ac:dyDescent="0.25">
      <c r="A1068" t="s">
        <v>14</v>
      </c>
      <c r="B1068" t="s">
        <v>1536</v>
      </c>
      <c r="C1068" t="s">
        <v>2927</v>
      </c>
      <c r="D1068" t="s">
        <v>4385</v>
      </c>
      <c r="E1068">
        <v>47300046365</v>
      </c>
      <c r="F1068" t="s">
        <v>16</v>
      </c>
      <c r="G1068" t="s">
        <v>28</v>
      </c>
      <c r="H1068" t="s">
        <v>62</v>
      </c>
      <c r="K1068" t="s">
        <v>2892</v>
      </c>
      <c r="L1068" t="s">
        <v>19</v>
      </c>
      <c r="M1068" t="s">
        <v>46</v>
      </c>
      <c r="N1068" s="2">
        <v>45444</v>
      </c>
      <c r="O1068" s="2">
        <v>45473</v>
      </c>
      <c r="P1068">
        <v>10000</v>
      </c>
      <c r="Q1068">
        <v>10000</v>
      </c>
      <c r="R1068" t="s">
        <v>3023</v>
      </c>
    </row>
    <row r="1069" spans="1:20" x14ac:dyDescent="0.25">
      <c r="A1069" t="s">
        <v>14</v>
      </c>
      <c r="B1069" t="s">
        <v>1534</v>
      </c>
      <c r="C1069" t="s">
        <v>2927</v>
      </c>
      <c r="D1069" t="s">
        <v>4385</v>
      </c>
      <c r="E1069">
        <v>47300046258</v>
      </c>
      <c r="F1069" t="s">
        <v>16</v>
      </c>
      <c r="G1069" t="s">
        <v>28</v>
      </c>
      <c r="H1069" t="s">
        <v>160</v>
      </c>
      <c r="K1069" t="s">
        <v>3795</v>
      </c>
      <c r="L1069" t="s">
        <v>19</v>
      </c>
      <c r="M1069" t="s">
        <v>20</v>
      </c>
      <c r="P1069">
        <v>20000</v>
      </c>
      <c r="Q1069">
        <v>20000</v>
      </c>
      <c r="R1069" t="s">
        <v>3856</v>
      </c>
      <c r="S1069" t="s">
        <v>1535</v>
      </c>
      <c r="T1069">
        <v>46.7</v>
      </c>
    </row>
    <row r="1070" spans="1:20" x14ac:dyDescent="0.25">
      <c r="A1070" t="s">
        <v>14</v>
      </c>
      <c r="B1070" t="s">
        <v>1533</v>
      </c>
      <c r="C1070" t="s">
        <v>4413</v>
      </c>
      <c r="D1070" t="s">
        <v>4395</v>
      </c>
      <c r="E1070">
        <v>47300070548</v>
      </c>
      <c r="F1070" t="s">
        <v>27</v>
      </c>
      <c r="G1070" t="s">
        <v>17</v>
      </c>
      <c r="H1070" t="s">
        <v>51</v>
      </c>
      <c r="K1070" t="s">
        <v>3294</v>
      </c>
      <c r="L1070" t="s">
        <v>19</v>
      </c>
      <c r="M1070" t="s">
        <v>46</v>
      </c>
      <c r="N1070" s="2">
        <v>45444</v>
      </c>
      <c r="O1070" s="2">
        <v>45473</v>
      </c>
      <c r="P1070">
        <v>500</v>
      </c>
      <c r="Q1070">
        <v>500</v>
      </c>
      <c r="R1070" t="s">
        <v>3215</v>
      </c>
    </row>
    <row r="1071" spans="1:20" x14ac:dyDescent="0.25">
      <c r="A1071" t="s">
        <v>14</v>
      </c>
      <c r="B1071" t="s">
        <v>1533</v>
      </c>
      <c r="C1071" t="s">
        <v>4387</v>
      </c>
      <c r="D1071" t="s">
        <v>4388</v>
      </c>
      <c r="E1071">
        <v>47300070548</v>
      </c>
      <c r="F1071" t="s">
        <v>27</v>
      </c>
      <c r="G1071" t="s">
        <v>17</v>
      </c>
      <c r="H1071" t="s">
        <v>51</v>
      </c>
      <c r="K1071" t="s">
        <v>3197</v>
      </c>
      <c r="L1071" t="s">
        <v>19</v>
      </c>
      <c r="M1071" t="s">
        <v>46</v>
      </c>
      <c r="N1071" s="2">
        <v>45444</v>
      </c>
      <c r="O1071" s="2">
        <v>45473</v>
      </c>
      <c r="P1071">
        <v>145500</v>
      </c>
      <c r="Q1071">
        <v>145500</v>
      </c>
      <c r="R1071" t="s">
        <v>3215</v>
      </c>
    </row>
    <row r="1072" spans="1:20" x14ac:dyDescent="0.25">
      <c r="A1072" t="s">
        <v>14</v>
      </c>
      <c r="B1072" t="s">
        <v>1531</v>
      </c>
      <c r="C1072" t="s">
        <v>4414</v>
      </c>
      <c r="D1072" t="s">
        <v>4401</v>
      </c>
      <c r="E1072">
        <v>47300086445</v>
      </c>
      <c r="F1072" t="s">
        <v>16</v>
      </c>
      <c r="G1072" t="s">
        <v>28</v>
      </c>
      <c r="H1072" t="s">
        <v>187</v>
      </c>
      <c r="I1072" t="s">
        <v>2777</v>
      </c>
      <c r="J1072" t="s">
        <v>2776</v>
      </c>
      <c r="K1072" t="s">
        <v>3795</v>
      </c>
      <c r="L1072" t="s">
        <v>19</v>
      </c>
      <c r="M1072" t="s">
        <v>20</v>
      </c>
      <c r="P1072">
        <v>50000</v>
      </c>
      <c r="Q1072">
        <v>50000</v>
      </c>
      <c r="R1072" t="s">
        <v>3857</v>
      </c>
      <c r="S1072" t="s">
        <v>1532</v>
      </c>
      <c r="T1072">
        <v>116.9</v>
      </c>
    </row>
    <row r="1073" spans="1:20" x14ac:dyDescent="0.25">
      <c r="A1073" t="s">
        <v>14</v>
      </c>
      <c r="B1073" t="s">
        <v>1529</v>
      </c>
      <c r="C1073" t="s">
        <v>4369</v>
      </c>
      <c r="D1073" t="s">
        <v>4370</v>
      </c>
      <c r="E1073">
        <v>47300046746</v>
      </c>
      <c r="F1073" t="s">
        <v>16</v>
      </c>
      <c r="G1073" t="s">
        <v>28</v>
      </c>
      <c r="H1073" t="s">
        <v>32</v>
      </c>
      <c r="K1073" t="s">
        <v>3795</v>
      </c>
      <c r="L1073" t="s">
        <v>19</v>
      </c>
      <c r="M1073" t="s">
        <v>20</v>
      </c>
      <c r="P1073">
        <v>10000</v>
      </c>
      <c r="Q1073">
        <v>10000</v>
      </c>
      <c r="R1073" t="s">
        <v>3858</v>
      </c>
      <c r="S1073" t="s">
        <v>1530</v>
      </c>
      <c r="T1073">
        <v>23.3</v>
      </c>
    </row>
    <row r="1074" spans="1:20" x14ac:dyDescent="0.25">
      <c r="A1074" t="s">
        <v>14</v>
      </c>
      <c r="B1074" t="s">
        <v>1527</v>
      </c>
      <c r="C1074" t="s">
        <v>4413</v>
      </c>
      <c r="D1074" t="s">
        <v>4395</v>
      </c>
      <c r="E1074">
        <v>47300046761</v>
      </c>
      <c r="F1074" t="s">
        <v>42</v>
      </c>
      <c r="G1074" t="s">
        <v>28</v>
      </c>
      <c r="H1074" t="s">
        <v>43</v>
      </c>
      <c r="K1074" t="s">
        <v>3795</v>
      </c>
      <c r="L1074" t="s">
        <v>19</v>
      </c>
      <c r="M1074" t="s">
        <v>20</v>
      </c>
      <c r="P1074">
        <v>50000</v>
      </c>
      <c r="Q1074">
        <v>50000</v>
      </c>
      <c r="R1074" t="s">
        <v>3859</v>
      </c>
      <c r="S1074" t="s">
        <v>1528</v>
      </c>
      <c r="T1074">
        <v>116.8</v>
      </c>
    </row>
    <row r="1075" spans="1:20" x14ac:dyDescent="0.25">
      <c r="A1075" t="s">
        <v>14</v>
      </c>
      <c r="B1075" t="s">
        <v>1525</v>
      </c>
      <c r="C1075" t="s">
        <v>4365</v>
      </c>
      <c r="D1075" t="s">
        <v>4366</v>
      </c>
      <c r="E1075">
        <v>47300046399</v>
      </c>
      <c r="F1075" t="s">
        <v>16</v>
      </c>
      <c r="G1075" t="s">
        <v>28</v>
      </c>
      <c r="H1075" t="s">
        <v>122</v>
      </c>
      <c r="K1075" t="s">
        <v>3795</v>
      </c>
      <c r="L1075" t="s">
        <v>19</v>
      </c>
      <c r="M1075" t="s">
        <v>20</v>
      </c>
      <c r="P1075">
        <v>55000</v>
      </c>
      <c r="Q1075">
        <v>55000</v>
      </c>
      <c r="R1075" t="s">
        <v>3860</v>
      </c>
      <c r="S1075" t="s">
        <v>1526</v>
      </c>
      <c r="T1075">
        <v>128.6</v>
      </c>
    </row>
    <row r="1076" spans="1:20" x14ac:dyDescent="0.25">
      <c r="A1076" t="s">
        <v>14</v>
      </c>
      <c r="B1076" t="s">
        <v>1523</v>
      </c>
      <c r="C1076" t="s">
        <v>4378</v>
      </c>
      <c r="D1076" t="s">
        <v>4379</v>
      </c>
      <c r="E1076">
        <v>47300070563</v>
      </c>
      <c r="F1076" t="s">
        <v>16</v>
      </c>
      <c r="G1076" t="s">
        <v>28</v>
      </c>
      <c r="H1076" t="s">
        <v>359</v>
      </c>
      <c r="K1076" t="s">
        <v>3795</v>
      </c>
      <c r="L1076" t="s">
        <v>19</v>
      </c>
      <c r="M1076" t="s">
        <v>20</v>
      </c>
      <c r="P1076">
        <v>22000</v>
      </c>
      <c r="Q1076">
        <v>22000</v>
      </c>
      <c r="R1076" t="s">
        <v>3861</v>
      </c>
      <c r="S1076" t="s">
        <v>1524</v>
      </c>
      <c r="T1076">
        <v>51.5</v>
      </c>
    </row>
    <row r="1077" spans="1:20" x14ac:dyDescent="0.25">
      <c r="A1077" t="s">
        <v>14</v>
      </c>
      <c r="B1077" t="s">
        <v>1521</v>
      </c>
      <c r="C1077" t="s">
        <v>4414</v>
      </c>
      <c r="D1077" t="s">
        <v>4401</v>
      </c>
      <c r="E1077">
        <v>47300046746</v>
      </c>
      <c r="F1077" t="s">
        <v>16</v>
      </c>
      <c r="G1077" t="s">
        <v>28</v>
      </c>
      <c r="H1077" t="s">
        <v>32</v>
      </c>
      <c r="K1077" t="s">
        <v>3795</v>
      </c>
      <c r="L1077" t="s">
        <v>19</v>
      </c>
      <c r="M1077" t="s">
        <v>20</v>
      </c>
      <c r="P1077">
        <v>10000</v>
      </c>
      <c r="Q1077">
        <v>10000</v>
      </c>
      <c r="R1077" t="s">
        <v>3862</v>
      </c>
      <c r="S1077" t="s">
        <v>1522</v>
      </c>
      <c r="T1077">
        <v>23.4</v>
      </c>
    </row>
    <row r="1078" spans="1:20" x14ac:dyDescent="0.25">
      <c r="A1078" t="s">
        <v>14</v>
      </c>
      <c r="B1078" t="s">
        <v>1519</v>
      </c>
      <c r="C1078" t="s">
        <v>4396</v>
      </c>
      <c r="D1078" t="s">
        <v>4397</v>
      </c>
      <c r="E1078">
        <v>47300046241</v>
      </c>
      <c r="F1078" t="s">
        <v>16</v>
      </c>
      <c r="G1078" t="s">
        <v>23</v>
      </c>
      <c r="H1078" t="s">
        <v>24</v>
      </c>
      <c r="I1078" t="s">
        <v>2754</v>
      </c>
      <c r="J1078">
        <v>0</v>
      </c>
      <c r="K1078" t="s">
        <v>3795</v>
      </c>
      <c r="L1078" t="s">
        <v>19</v>
      </c>
      <c r="M1078" t="s">
        <v>20</v>
      </c>
      <c r="P1078">
        <v>35000</v>
      </c>
      <c r="Q1078">
        <v>35000</v>
      </c>
      <c r="R1078" t="s">
        <v>3863</v>
      </c>
      <c r="S1078" t="s">
        <v>1520</v>
      </c>
      <c r="T1078">
        <v>81.8</v>
      </c>
    </row>
    <row r="1079" spans="1:20" x14ac:dyDescent="0.25">
      <c r="A1079" t="s">
        <v>14</v>
      </c>
      <c r="B1079" t="s">
        <v>1517</v>
      </c>
      <c r="C1079" t="s">
        <v>4376</v>
      </c>
      <c r="D1079" t="s">
        <v>4377</v>
      </c>
      <c r="E1079">
        <v>47300070688</v>
      </c>
      <c r="F1079" t="s">
        <v>16</v>
      </c>
      <c r="G1079" t="s">
        <v>17</v>
      </c>
      <c r="H1079" t="s">
        <v>149</v>
      </c>
      <c r="K1079" t="s">
        <v>4266</v>
      </c>
      <c r="L1079" t="s">
        <v>19</v>
      </c>
      <c r="M1079" t="s">
        <v>63</v>
      </c>
      <c r="N1079" s="2">
        <v>45444</v>
      </c>
      <c r="O1079" s="2">
        <v>45473</v>
      </c>
      <c r="P1079">
        <v>200000</v>
      </c>
      <c r="Q1079">
        <v>200000</v>
      </c>
      <c r="R1079" t="s">
        <v>3024</v>
      </c>
      <c r="S1079" t="s">
        <v>1518</v>
      </c>
      <c r="T1079">
        <v>467.5</v>
      </c>
    </row>
    <row r="1080" spans="1:20" x14ac:dyDescent="0.25">
      <c r="A1080" t="s">
        <v>14</v>
      </c>
      <c r="B1080" t="s">
        <v>1517</v>
      </c>
      <c r="C1080" t="s">
        <v>4418</v>
      </c>
      <c r="D1080" t="s">
        <v>4368</v>
      </c>
      <c r="E1080">
        <v>47300070688</v>
      </c>
      <c r="F1080" t="s">
        <v>16</v>
      </c>
      <c r="G1080" t="s">
        <v>17</v>
      </c>
      <c r="H1080" t="s">
        <v>149</v>
      </c>
      <c r="K1080" t="s">
        <v>2892</v>
      </c>
      <c r="L1080" t="s">
        <v>19</v>
      </c>
      <c r="M1080" t="s">
        <v>46</v>
      </c>
      <c r="N1080" s="2">
        <v>45444</v>
      </c>
      <c r="O1080" s="2">
        <v>45473</v>
      </c>
      <c r="P1080">
        <v>10000</v>
      </c>
      <c r="Q1080">
        <v>10000</v>
      </c>
      <c r="R1080" t="s">
        <v>3024</v>
      </c>
    </row>
    <row r="1081" spans="1:20" x14ac:dyDescent="0.25">
      <c r="A1081" t="s">
        <v>14</v>
      </c>
      <c r="B1081" t="s">
        <v>1515</v>
      </c>
      <c r="C1081" t="s">
        <v>4409</v>
      </c>
      <c r="D1081" t="s">
        <v>4410</v>
      </c>
      <c r="E1081">
        <v>47300026094</v>
      </c>
      <c r="F1081" t="s">
        <v>35</v>
      </c>
      <c r="G1081" t="s">
        <v>36</v>
      </c>
      <c r="H1081" t="s">
        <v>4359</v>
      </c>
      <c r="K1081" t="s">
        <v>3795</v>
      </c>
      <c r="L1081" t="s">
        <v>19</v>
      </c>
      <c r="M1081" t="s">
        <v>20</v>
      </c>
      <c r="P1081">
        <v>250000</v>
      </c>
      <c r="Q1081">
        <v>250000</v>
      </c>
      <c r="R1081" t="s">
        <v>3864</v>
      </c>
      <c r="S1081" t="s">
        <v>1516</v>
      </c>
      <c r="T1081">
        <v>584.29999999999995</v>
      </c>
    </row>
    <row r="1082" spans="1:20" x14ac:dyDescent="0.25">
      <c r="A1082" t="s">
        <v>14</v>
      </c>
      <c r="B1082" t="s">
        <v>1513</v>
      </c>
      <c r="C1082" t="s">
        <v>4371</v>
      </c>
      <c r="D1082" t="s">
        <v>4368</v>
      </c>
      <c r="E1082">
        <v>47300025708</v>
      </c>
      <c r="F1082" t="s">
        <v>35</v>
      </c>
      <c r="G1082" t="s">
        <v>36</v>
      </c>
      <c r="H1082" t="s">
        <v>4360</v>
      </c>
      <c r="K1082" t="s">
        <v>3795</v>
      </c>
      <c r="L1082" t="s">
        <v>19</v>
      </c>
      <c r="M1082" t="s">
        <v>20</v>
      </c>
      <c r="P1082">
        <v>150000</v>
      </c>
      <c r="Q1082">
        <v>150000</v>
      </c>
      <c r="R1082" t="s">
        <v>3865</v>
      </c>
      <c r="S1082" t="s">
        <v>1514</v>
      </c>
      <c r="T1082">
        <v>350.5</v>
      </c>
    </row>
    <row r="1083" spans="1:20" x14ac:dyDescent="0.25">
      <c r="A1083" t="s">
        <v>14</v>
      </c>
      <c r="B1083" t="s">
        <v>1511</v>
      </c>
      <c r="C1083" t="s">
        <v>4367</v>
      </c>
      <c r="D1083" t="s">
        <v>4368</v>
      </c>
      <c r="E1083">
        <v>47300026185</v>
      </c>
      <c r="F1083" t="s">
        <v>35</v>
      </c>
      <c r="G1083" t="s">
        <v>36</v>
      </c>
      <c r="H1083" t="s">
        <v>4361</v>
      </c>
      <c r="K1083" t="s">
        <v>3795</v>
      </c>
      <c r="L1083" t="s">
        <v>19</v>
      </c>
      <c r="M1083" t="s">
        <v>20</v>
      </c>
      <c r="P1083">
        <v>50000</v>
      </c>
      <c r="Q1083">
        <v>50000</v>
      </c>
      <c r="R1083" t="s">
        <v>3866</v>
      </c>
      <c r="S1083" t="s">
        <v>1512</v>
      </c>
      <c r="T1083">
        <v>116.9</v>
      </c>
    </row>
    <row r="1084" spans="1:20" x14ac:dyDescent="0.25">
      <c r="A1084" t="s">
        <v>14</v>
      </c>
      <c r="B1084" t="s">
        <v>1509</v>
      </c>
      <c r="C1084" t="s">
        <v>4392</v>
      </c>
      <c r="D1084" t="s">
        <v>4393</v>
      </c>
      <c r="E1084">
        <v>47300012151</v>
      </c>
      <c r="F1084" t="s">
        <v>35</v>
      </c>
      <c r="G1084" t="s">
        <v>36</v>
      </c>
      <c r="H1084" t="s">
        <v>4362</v>
      </c>
      <c r="K1084" t="s">
        <v>3795</v>
      </c>
      <c r="L1084" t="s">
        <v>19</v>
      </c>
      <c r="M1084" t="s">
        <v>20</v>
      </c>
      <c r="P1084">
        <v>50000</v>
      </c>
      <c r="Q1084">
        <v>50000</v>
      </c>
      <c r="R1084" t="s">
        <v>3867</v>
      </c>
      <c r="S1084" t="s">
        <v>1510</v>
      </c>
      <c r="T1084">
        <v>116.8</v>
      </c>
    </row>
    <row r="1085" spans="1:20" x14ac:dyDescent="0.25">
      <c r="A1085" t="s">
        <v>14</v>
      </c>
      <c r="B1085" t="s">
        <v>1507</v>
      </c>
      <c r="C1085" t="s">
        <v>4394</v>
      </c>
      <c r="D1085" t="s">
        <v>4395</v>
      </c>
      <c r="E1085">
        <v>47300046720</v>
      </c>
      <c r="F1085" t="s">
        <v>16</v>
      </c>
      <c r="G1085" t="s">
        <v>28</v>
      </c>
      <c r="H1085" t="s">
        <v>143</v>
      </c>
      <c r="K1085" t="s">
        <v>3795</v>
      </c>
      <c r="L1085" t="s">
        <v>19</v>
      </c>
      <c r="M1085" t="s">
        <v>20</v>
      </c>
      <c r="P1085">
        <v>107500</v>
      </c>
      <c r="Q1085">
        <v>107500</v>
      </c>
      <c r="R1085" t="s">
        <v>3868</v>
      </c>
      <c r="S1085" t="s">
        <v>1508</v>
      </c>
      <c r="T1085">
        <v>251.3</v>
      </c>
    </row>
    <row r="1086" spans="1:20" x14ac:dyDescent="0.25">
      <c r="A1086" t="s">
        <v>14</v>
      </c>
      <c r="B1086" t="s">
        <v>1505</v>
      </c>
      <c r="C1086" t="s">
        <v>4392</v>
      </c>
      <c r="D1086" t="s">
        <v>4393</v>
      </c>
      <c r="E1086">
        <v>47300046662</v>
      </c>
      <c r="F1086" t="s">
        <v>16</v>
      </c>
      <c r="G1086" t="s">
        <v>28</v>
      </c>
      <c r="H1086" t="s">
        <v>129</v>
      </c>
      <c r="K1086" t="s">
        <v>3795</v>
      </c>
      <c r="L1086" t="s">
        <v>19</v>
      </c>
      <c r="M1086" t="s">
        <v>20</v>
      </c>
      <c r="P1086">
        <v>50000</v>
      </c>
      <c r="Q1086">
        <v>50000</v>
      </c>
      <c r="R1086" t="s">
        <v>3869</v>
      </c>
      <c r="S1086" t="s">
        <v>1506</v>
      </c>
      <c r="T1086">
        <v>116.9</v>
      </c>
    </row>
    <row r="1087" spans="1:20" x14ac:dyDescent="0.25">
      <c r="A1087" t="s">
        <v>14</v>
      </c>
      <c r="B1087" t="s">
        <v>1503</v>
      </c>
      <c r="C1087" t="s">
        <v>4398</v>
      </c>
      <c r="D1087" t="s">
        <v>4377</v>
      </c>
      <c r="E1087">
        <v>47300070597</v>
      </c>
      <c r="F1087" t="s">
        <v>16</v>
      </c>
      <c r="G1087" t="s">
        <v>28</v>
      </c>
      <c r="H1087" t="s">
        <v>77</v>
      </c>
      <c r="K1087" t="s">
        <v>4266</v>
      </c>
      <c r="L1087" t="s">
        <v>19</v>
      </c>
      <c r="M1087" t="s">
        <v>63</v>
      </c>
      <c r="N1087" s="2">
        <v>45444</v>
      </c>
      <c r="O1087" s="2">
        <v>45473</v>
      </c>
      <c r="P1087">
        <v>60500</v>
      </c>
      <c r="Q1087">
        <v>60500</v>
      </c>
      <c r="R1087" t="s">
        <v>3025</v>
      </c>
      <c r="S1087" t="s">
        <v>1504</v>
      </c>
      <c r="T1087">
        <v>141.4</v>
      </c>
    </row>
    <row r="1088" spans="1:20" x14ac:dyDescent="0.25">
      <c r="A1088" t="s">
        <v>14</v>
      </c>
      <c r="B1088" t="s">
        <v>1503</v>
      </c>
      <c r="C1088" t="s">
        <v>4402</v>
      </c>
      <c r="D1088" t="s">
        <v>4379</v>
      </c>
      <c r="E1088">
        <v>47300070597</v>
      </c>
      <c r="F1088" t="s">
        <v>16</v>
      </c>
      <c r="G1088" t="s">
        <v>28</v>
      </c>
      <c r="H1088" t="s">
        <v>77</v>
      </c>
      <c r="K1088" t="s">
        <v>3294</v>
      </c>
      <c r="L1088" t="s">
        <v>19</v>
      </c>
      <c r="M1088" t="s">
        <v>46</v>
      </c>
      <c r="N1088" s="2">
        <v>45444</v>
      </c>
      <c r="O1088" s="2">
        <v>45473</v>
      </c>
      <c r="P1088">
        <v>500</v>
      </c>
      <c r="Q1088">
        <v>500</v>
      </c>
      <c r="R1088" t="s">
        <v>3025</v>
      </c>
    </row>
    <row r="1089" spans="1:25" x14ac:dyDescent="0.25">
      <c r="A1089" t="s">
        <v>14</v>
      </c>
      <c r="B1089" t="s">
        <v>1503</v>
      </c>
      <c r="C1089" t="s">
        <v>4400</v>
      </c>
      <c r="D1089" t="s">
        <v>4401</v>
      </c>
      <c r="E1089">
        <v>47300070597</v>
      </c>
      <c r="F1089" t="s">
        <v>16</v>
      </c>
      <c r="G1089" t="s">
        <v>28</v>
      </c>
      <c r="H1089" t="s">
        <v>77</v>
      </c>
      <c r="K1089" t="s">
        <v>3197</v>
      </c>
      <c r="L1089" t="s">
        <v>19</v>
      </c>
      <c r="M1089" t="s">
        <v>46</v>
      </c>
      <c r="N1089" s="2">
        <v>45444</v>
      </c>
      <c r="O1089" s="2">
        <v>45473</v>
      </c>
      <c r="P1089">
        <v>145500</v>
      </c>
      <c r="Q1089">
        <v>145500</v>
      </c>
      <c r="R1089" t="s">
        <v>3025</v>
      </c>
    </row>
    <row r="1090" spans="1:25" x14ac:dyDescent="0.25">
      <c r="A1090" t="s">
        <v>14</v>
      </c>
      <c r="B1090" t="s">
        <v>1503</v>
      </c>
      <c r="C1090" t="s">
        <v>4408</v>
      </c>
      <c r="D1090" t="s">
        <v>4407</v>
      </c>
      <c r="E1090">
        <v>47300070597</v>
      </c>
      <c r="F1090" t="s">
        <v>16</v>
      </c>
      <c r="G1090" t="s">
        <v>28</v>
      </c>
      <c r="H1090" t="s">
        <v>77</v>
      </c>
      <c r="K1090" t="s">
        <v>2892</v>
      </c>
      <c r="L1090" t="s">
        <v>19</v>
      </c>
      <c r="M1090" t="s">
        <v>46</v>
      </c>
      <c r="N1090" s="2">
        <v>45444</v>
      </c>
      <c r="O1090" s="2">
        <v>45473</v>
      </c>
      <c r="P1090">
        <v>10000</v>
      </c>
      <c r="Q1090">
        <v>10000</v>
      </c>
      <c r="R1090" t="s">
        <v>3025</v>
      </c>
    </row>
    <row r="1091" spans="1:25" x14ac:dyDescent="0.25">
      <c r="A1091" t="s">
        <v>14</v>
      </c>
      <c r="B1091" t="s">
        <v>1501</v>
      </c>
      <c r="C1091" t="s">
        <v>4414</v>
      </c>
      <c r="D1091" t="s">
        <v>4401</v>
      </c>
      <c r="E1091">
        <v>47300046316</v>
      </c>
      <c r="F1091" t="s">
        <v>42</v>
      </c>
      <c r="G1091" t="s">
        <v>28</v>
      </c>
      <c r="H1091" t="s">
        <v>69</v>
      </c>
      <c r="K1091" t="s">
        <v>4266</v>
      </c>
      <c r="L1091" t="s">
        <v>19</v>
      </c>
      <c r="M1091" t="s">
        <v>63</v>
      </c>
      <c r="N1091" s="2">
        <v>45444</v>
      </c>
      <c r="O1091" s="2">
        <v>45473</v>
      </c>
      <c r="P1091">
        <v>150000</v>
      </c>
      <c r="Q1091">
        <v>150000</v>
      </c>
      <c r="R1091" t="s">
        <v>3412</v>
      </c>
      <c r="S1091" t="s">
        <v>1502</v>
      </c>
      <c r="T1091">
        <v>350.6</v>
      </c>
    </row>
    <row r="1092" spans="1:25" x14ac:dyDescent="0.25">
      <c r="A1092" t="s">
        <v>14</v>
      </c>
      <c r="B1092" t="s">
        <v>1501</v>
      </c>
      <c r="C1092" t="s">
        <v>4406</v>
      </c>
      <c r="D1092" t="s">
        <v>4394</v>
      </c>
      <c r="E1092">
        <v>47300046316</v>
      </c>
      <c r="F1092" t="s">
        <v>42</v>
      </c>
      <c r="G1092" t="s">
        <v>28</v>
      </c>
      <c r="H1092" t="s">
        <v>69</v>
      </c>
      <c r="K1092" t="s">
        <v>3294</v>
      </c>
      <c r="L1092" t="s">
        <v>19</v>
      </c>
      <c r="M1092" t="s">
        <v>46</v>
      </c>
      <c r="N1092" s="2">
        <v>45444</v>
      </c>
      <c r="O1092" s="2">
        <v>45473</v>
      </c>
      <c r="P1092">
        <v>500</v>
      </c>
      <c r="Q1092">
        <v>500</v>
      </c>
      <c r="R1092" t="s">
        <v>3412</v>
      </c>
    </row>
    <row r="1093" spans="1:25" x14ac:dyDescent="0.25">
      <c r="A1093" t="s">
        <v>14</v>
      </c>
      <c r="B1093" t="s">
        <v>1499</v>
      </c>
      <c r="C1093" t="s">
        <v>4398</v>
      </c>
      <c r="D1093" t="s">
        <v>4377</v>
      </c>
      <c r="E1093">
        <v>47300046688</v>
      </c>
      <c r="F1093" t="s">
        <v>16</v>
      </c>
      <c r="G1093" t="s">
        <v>17</v>
      </c>
      <c r="H1093" t="s">
        <v>154</v>
      </c>
      <c r="K1093" t="s">
        <v>3795</v>
      </c>
      <c r="L1093" t="s">
        <v>19</v>
      </c>
      <c r="M1093" t="s">
        <v>20</v>
      </c>
      <c r="P1093">
        <v>100000</v>
      </c>
      <c r="Q1093">
        <v>100000</v>
      </c>
      <c r="R1093" t="s">
        <v>3870</v>
      </c>
      <c r="S1093" t="s">
        <v>1500</v>
      </c>
      <c r="T1093">
        <v>233.7</v>
      </c>
    </row>
    <row r="1094" spans="1:25" x14ac:dyDescent="0.25">
      <c r="A1094" t="s">
        <v>14</v>
      </c>
      <c r="B1094" t="s">
        <v>1497</v>
      </c>
      <c r="C1094" t="s">
        <v>4402</v>
      </c>
      <c r="D1094" t="s">
        <v>4379</v>
      </c>
      <c r="E1094">
        <v>47300046746</v>
      </c>
      <c r="F1094" t="s">
        <v>16</v>
      </c>
      <c r="G1094" t="s">
        <v>28</v>
      </c>
      <c r="H1094" t="s">
        <v>32</v>
      </c>
      <c r="K1094" t="s">
        <v>3795</v>
      </c>
      <c r="L1094" t="s">
        <v>19</v>
      </c>
      <c r="M1094" t="s">
        <v>20</v>
      </c>
      <c r="P1094">
        <v>10000</v>
      </c>
      <c r="Q1094">
        <v>10000</v>
      </c>
      <c r="R1094" t="s">
        <v>3871</v>
      </c>
      <c r="S1094" t="s">
        <v>1498</v>
      </c>
      <c r="T1094">
        <v>23.4</v>
      </c>
    </row>
    <row r="1095" spans="1:25" x14ac:dyDescent="0.25">
      <c r="A1095" t="s">
        <v>14</v>
      </c>
      <c r="B1095" t="s">
        <v>1495</v>
      </c>
      <c r="C1095" t="s">
        <v>4402</v>
      </c>
      <c r="D1095" t="s">
        <v>4379</v>
      </c>
      <c r="E1095">
        <v>47300070753</v>
      </c>
      <c r="F1095" t="s">
        <v>16</v>
      </c>
      <c r="G1095" t="s">
        <v>17</v>
      </c>
      <c r="H1095" t="s">
        <v>82</v>
      </c>
      <c r="K1095" t="s">
        <v>4266</v>
      </c>
      <c r="L1095" t="s">
        <v>19</v>
      </c>
      <c r="M1095" t="s">
        <v>63</v>
      </c>
      <c r="N1095" s="2">
        <v>45444</v>
      </c>
      <c r="O1095" s="2">
        <v>45473</v>
      </c>
      <c r="P1095">
        <v>35000</v>
      </c>
      <c r="Q1095">
        <v>35000</v>
      </c>
      <c r="R1095" t="s">
        <v>3026</v>
      </c>
      <c r="S1095" t="s">
        <v>1496</v>
      </c>
      <c r="T1095">
        <v>81.8</v>
      </c>
    </row>
    <row r="1096" spans="1:25" x14ac:dyDescent="0.25">
      <c r="A1096" t="s">
        <v>14</v>
      </c>
      <c r="B1096" t="s">
        <v>1495</v>
      </c>
      <c r="C1096" t="s">
        <v>4408</v>
      </c>
      <c r="D1096" t="s">
        <v>4407</v>
      </c>
      <c r="E1096">
        <v>47300070753</v>
      </c>
      <c r="F1096" t="s">
        <v>16</v>
      </c>
      <c r="G1096" t="s">
        <v>17</v>
      </c>
      <c r="H1096" t="s">
        <v>82</v>
      </c>
      <c r="K1096" t="s">
        <v>2892</v>
      </c>
      <c r="L1096" t="s">
        <v>19</v>
      </c>
      <c r="M1096" t="s">
        <v>46</v>
      </c>
      <c r="N1096" s="2">
        <v>45444</v>
      </c>
      <c r="O1096" s="2">
        <v>45473</v>
      </c>
      <c r="P1096">
        <v>10000</v>
      </c>
      <c r="Q1096">
        <v>10000</v>
      </c>
      <c r="R1096" t="s">
        <v>3026</v>
      </c>
    </row>
    <row r="1097" spans="1:25" x14ac:dyDescent="0.25">
      <c r="A1097" t="s">
        <v>14</v>
      </c>
      <c r="B1097" t="s">
        <v>1493</v>
      </c>
      <c r="C1097" t="s">
        <v>4402</v>
      </c>
      <c r="D1097" t="s">
        <v>4379</v>
      </c>
      <c r="E1097">
        <v>47300070522</v>
      </c>
      <c r="F1097" t="s">
        <v>16</v>
      </c>
      <c r="G1097" t="s">
        <v>17</v>
      </c>
      <c r="H1097" t="s">
        <v>18</v>
      </c>
      <c r="K1097" t="s">
        <v>3795</v>
      </c>
      <c r="L1097" t="s">
        <v>19</v>
      </c>
      <c r="M1097" t="s">
        <v>20</v>
      </c>
      <c r="P1097">
        <v>50000</v>
      </c>
      <c r="Q1097">
        <v>50000</v>
      </c>
      <c r="R1097" t="s">
        <v>3872</v>
      </c>
      <c r="S1097" t="s">
        <v>1494</v>
      </c>
      <c r="T1097">
        <v>116.9</v>
      </c>
    </row>
    <row r="1098" spans="1:25" x14ac:dyDescent="0.25">
      <c r="A1098" t="s">
        <v>14</v>
      </c>
      <c r="B1098" t="s">
        <v>1491</v>
      </c>
      <c r="C1098" t="s">
        <v>4387</v>
      </c>
      <c r="D1098" t="s">
        <v>4388</v>
      </c>
      <c r="E1098">
        <v>47300070514</v>
      </c>
      <c r="F1098" t="s">
        <v>27</v>
      </c>
      <c r="G1098" t="s">
        <v>28</v>
      </c>
      <c r="H1098" t="s">
        <v>29</v>
      </c>
      <c r="K1098" t="s">
        <v>3795</v>
      </c>
      <c r="L1098" t="s">
        <v>19</v>
      </c>
      <c r="M1098" t="s">
        <v>20</v>
      </c>
      <c r="P1098">
        <v>60000</v>
      </c>
      <c r="Q1098">
        <v>60000</v>
      </c>
      <c r="R1098" t="s">
        <v>3873</v>
      </c>
      <c r="S1098" t="s">
        <v>1492</v>
      </c>
      <c r="T1098">
        <v>140.30000000000001</v>
      </c>
    </row>
    <row r="1099" spans="1:25" x14ac:dyDescent="0.25">
      <c r="A1099" t="s">
        <v>14</v>
      </c>
      <c r="B1099" t="s">
        <v>1489</v>
      </c>
      <c r="C1099" t="s">
        <v>4394</v>
      </c>
      <c r="D1099" t="s">
        <v>4421</v>
      </c>
      <c r="E1099">
        <v>47300070563</v>
      </c>
      <c r="F1099" t="s">
        <v>16</v>
      </c>
      <c r="G1099" t="s">
        <v>28</v>
      </c>
      <c r="H1099" t="s">
        <v>359</v>
      </c>
      <c r="K1099" t="s">
        <v>3795</v>
      </c>
      <c r="L1099" t="s">
        <v>19</v>
      </c>
      <c r="M1099" t="s">
        <v>20</v>
      </c>
      <c r="P1099">
        <v>21500</v>
      </c>
      <c r="Q1099">
        <v>21500</v>
      </c>
      <c r="R1099" t="s">
        <v>3874</v>
      </c>
      <c r="S1099" t="s">
        <v>1490</v>
      </c>
      <c r="T1099">
        <v>50.2</v>
      </c>
      <c r="X1099" t="s">
        <v>4422</v>
      </c>
      <c r="Y1099" t="s">
        <v>4423</v>
      </c>
    </row>
    <row r="1100" spans="1:25" x14ac:dyDescent="0.25">
      <c r="A1100" t="s">
        <v>14</v>
      </c>
      <c r="B1100" t="s">
        <v>1487</v>
      </c>
      <c r="C1100" t="s">
        <v>4365</v>
      </c>
      <c r="D1100" t="s">
        <v>4366</v>
      </c>
      <c r="E1100">
        <v>47300070498</v>
      </c>
      <c r="F1100" t="s">
        <v>16</v>
      </c>
      <c r="G1100" t="s">
        <v>28</v>
      </c>
      <c r="H1100" t="s">
        <v>794</v>
      </c>
      <c r="I1100" t="s">
        <v>2853</v>
      </c>
      <c r="J1100" t="s">
        <v>2852</v>
      </c>
      <c r="K1100" t="s">
        <v>4266</v>
      </c>
      <c r="L1100" t="s">
        <v>19</v>
      </c>
      <c r="M1100" t="s">
        <v>63</v>
      </c>
      <c r="N1100" s="2">
        <v>45444</v>
      </c>
      <c r="O1100" s="2">
        <v>45473</v>
      </c>
      <c r="P1100">
        <v>60000</v>
      </c>
      <c r="Q1100">
        <v>60000</v>
      </c>
      <c r="R1100" t="s">
        <v>4277</v>
      </c>
      <c r="S1100" t="s">
        <v>1488</v>
      </c>
      <c r="T1100">
        <v>140.19999999999999</v>
      </c>
    </row>
    <row r="1101" spans="1:25" x14ac:dyDescent="0.25">
      <c r="A1101" t="s">
        <v>14</v>
      </c>
      <c r="B1101" t="s">
        <v>1485</v>
      </c>
      <c r="C1101" t="s">
        <v>4389</v>
      </c>
      <c r="D1101" t="s">
        <v>4375</v>
      </c>
      <c r="E1101">
        <v>47300046761</v>
      </c>
      <c r="F1101" t="s">
        <v>42</v>
      </c>
      <c r="G1101" t="s">
        <v>28</v>
      </c>
      <c r="H1101" t="s">
        <v>43</v>
      </c>
      <c r="K1101" t="s">
        <v>3795</v>
      </c>
      <c r="L1101" t="s">
        <v>19</v>
      </c>
      <c r="M1101" t="s">
        <v>20</v>
      </c>
      <c r="P1101">
        <v>50000</v>
      </c>
      <c r="Q1101">
        <v>50000</v>
      </c>
      <c r="R1101" t="s">
        <v>3875</v>
      </c>
      <c r="S1101" t="s">
        <v>1486</v>
      </c>
      <c r="T1101">
        <v>116.9</v>
      </c>
    </row>
    <row r="1102" spans="1:25" x14ac:dyDescent="0.25">
      <c r="A1102" t="s">
        <v>14</v>
      </c>
      <c r="B1102" t="s">
        <v>1483</v>
      </c>
      <c r="C1102" t="s">
        <v>4412</v>
      </c>
      <c r="D1102" t="s">
        <v>4377</v>
      </c>
      <c r="E1102">
        <v>47300046746</v>
      </c>
      <c r="F1102" t="s">
        <v>16</v>
      </c>
      <c r="G1102" t="s">
        <v>28</v>
      </c>
      <c r="H1102" t="s">
        <v>32</v>
      </c>
      <c r="K1102" t="s">
        <v>3795</v>
      </c>
      <c r="L1102" t="s">
        <v>19</v>
      </c>
      <c r="M1102" t="s">
        <v>20</v>
      </c>
      <c r="P1102">
        <v>10000</v>
      </c>
      <c r="Q1102">
        <v>10000</v>
      </c>
      <c r="R1102" t="s">
        <v>3876</v>
      </c>
      <c r="S1102" t="s">
        <v>1484</v>
      </c>
      <c r="T1102">
        <v>23.4</v>
      </c>
    </row>
    <row r="1103" spans="1:25" x14ac:dyDescent="0.25">
      <c r="A1103" t="s">
        <v>14</v>
      </c>
      <c r="B1103" t="s">
        <v>1481</v>
      </c>
      <c r="C1103" t="s">
        <v>4414</v>
      </c>
      <c r="D1103" t="s">
        <v>4401</v>
      </c>
      <c r="E1103">
        <v>47300046258</v>
      </c>
      <c r="F1103" t="s">
        <v>16</v>
      </c>
      <c r="G1103" t="s">
        <v>28</v>
      </c>
      <c r="H1103" t="s">
        <v>160</v>
      </c>
      <c r="K1103" t="s">
        <v>3795</v>
      </c>
      <c r="L1103" t="s">
        <v>19</v>
      </c>
      <c r="M1103" t="s">
        <v>20</v>
      </c>
      <c r="P1103">
        <v>30000</v>
      </c>
      <c r="Q1103">
        <v>30000</v>
      </c>
      <c r="R1103" t="s">
        <v>3877</v>
      </c>
      <c r="S1103" t="s">
        <v>1482</v>
      </c>
      <c r="T1103">
        <v>70.099999999999994</v>
      </c>
    </row>
    <row r="1104" spans="1:25" x14ac:dyDescent="0.25">
      <c r="A1104" t="s">
        <v>14</v>
      </c>
      <c r="B1104" t="s">
        <v>1479</v>
      </c>
      <c r="C1104" t="s">
        <v>4365</v>
      </c>
      <c r="D1104" t="s">
        <v>4366</v>
      </c>
      <c r="E1104">
        <v>47300070563</v>
      </c>
      <c r="F1104" t="s">
        <v>16</v>
      </c>
      <c r="G1104" t="s">
        <v>28</v>
      </c>
      <c r="H1104" t="s">
        <v>359</v>
      </c>
      <c r="K1104" t="s">
        <v>3795</v>
      </c>
      <c r="L1104" t="s">
        <v>19</v>
      </c>
      <c r="M1104" t="s">
        <v>20</v>
      </c>
      <c r="P1104">
        <v>30000</v>
      </c>
      <c r="Q1104">
        <v>30000</v>
      </c>
      <c r="R1104" t="s">
        <v>3878</v>
      </c>
      <c r="S1104" t="s">
        <v>1480</v>
      </c>
      <c r="T1104">
        <v>70.099999999999994</v>
      </c>
    </row>
    <row r="1105" spans="1:25" x14ac:dyDescent="0.25">
      <c r="A1105" t="s">
        <v>14</v>
      </c>
      <c r="B1105" t="s">
        <v>1477</v>
      </c>
      <c r="C1105" t="s">
        <v>4414</v>
      </c>
      <c r="D1105" t="s">
        <v>4401</v>
      </c>
      <c r="E1105">
        <v>47300070589</v>
      </c>
      <c r="F1105" t="s">
        <v>16</v>
      </c>
      <c r="G1105" t="s">
        <v>28</v>
      </c>
      <c r="H1105" t="s">
        <v>221</v>
      </c>
      <c r="K1105" t="s">
        <v>3795</v>
      </c>
      <c r="L1105" t="s">
        <v>19</v>
      </c>
      <c r="M1105" t="s">
        <v>20</v>
      </c>
      <c r="P1105">
        <v>11000</v>
      </c>
      <c r="Q1105">
        <v>11000</v>
      </c>
      <c r="R1105" t="s">
        <v>3879</v>
      </c>
      <c r="S1105" t="s">
        <v>1478</v>
      </c>
      <c r="T1105">
        <v>25.7</v>
      </c>
    </row>
    <row r="1106" spans="1:25" x14ac:dyDescent="0.25">
      <c r="A1106" t="s">
        <v>14</v>
      </c>
      <c r="B1106" t="s">
        <v>1475</v>
      </c>
      <c r="C1106" t="s">
        <v>4386</v>
      </c>
      <c r="D1106" t="s">
        <v>4368</v>
      </c>
      <c r="E1106">
        <v>47300026094</v>
      </c>
      <c r="F1106" t="s">
        <v>35</v>
      </c>
      <c r="G1106" t="s">
        <v>36</v>
      </c>
      <c r="H1106" t="s">
        <v>4359</v>
      </c>
      <c r="K1106" t="s">
        <v>3795</v>
      </c>
      <c r="L1106" t="s">
        <v>19</v>
      </c>
      <c r="M1106" t="s">
        <v>20</v>
      </c>
      <c r="P1106">
        <v>100000</v>
      </c>
      <c r="Q1106">
        <v>100000</v>
      </c>
      <c r="R1106" t="s">
        <v>3880</v>
      </c>
      <c r="S1106" t="s">
        <v>1476</v>
      </c>
      <c r="T1106">
        <v>233.7</v>
      </c>
    </row>
    <row r="1107" spans="1:25" x14ac:dyDescent="0.25">
      <c r="A1107" t="s">
        <v>14</v>
      </c>
      <c r="B1107" t="s">
        <v>1473</v>
      </c>
      <c r="C1107" t="s">
        <v>4367</v>
      </c>
      <c r="D1107" t="s">
        <v>4368</v>
      </c>
      <c r="E1107">
        <v>47300025690</v>
      </c>
      <c r="F1107" t="s">
        <v>35</v>
      </c>
      <c r="G1107" t="s">
        <v>36</v>
      </c>
      <c r="H1107" t="s">
        <v>37</v>
      </c>
      <c r="K1107" t="s">
        <v>3795</v>
      </c>
      <c r="L1107" t="s">
        <v>19</v>
      </c>
      <c r="M1107" t="s">
        <v>20</v>
      </c>
      <c r="P1107">
        <v>45000</v>
      </c>
      <c r="Q1107">
        <v>45000</v>
      </c>
      <c r="R1107" t="s">
        <v>3881</v>
      </c>
      <c r="S1107" t="s">
        <v>1474</v>
      </c>
      <c r="T1107">
        <v>105.2</v>
      </c>
    </row>
    <row r="1108" spans="1:25" x14ac:dyDescent="0.25">
      <c r="A1108" t="s">
        <v>14</v>
      </c>
      <c r="B1108" t="s">
        <v>1471</v>
      </c>
      <c r="C1108" t="s">
        <v>4376</v>
      </c>
      <c r="D1108" t="s">
        <v>4407</v>
      </c>
      <c r="E1108">
        <v>47300046746</v>
      </c>
      <c r="F1108" t="s">
        <v>16</v>
      </c>
      <c r="G1108" t="s">
        <v>28</v>
      </c>
      <c r="H1108" t="s">
        <v>32</v>
      </c>
      <c r="K1108" t="s">
        <v>3795</v>
      </c>
      <c r="L1108" t="s">
        <v>19</v>
      </c>
      <c r="M1108" t="s">
        <v>20</v>
      </c>
      <c r="P1108">
        <v>10000</v>
      </c>
      <c r="Q1108">
        <v>10000</v>
      </c>
      <c r="R1108" t="s">
        <v>3882</v>
      </c>
      <c r="S1108" t="s">
        <v>1472</v>
      </c>
      <c r="T1108">
        <v>23.3</v>
      </c>
    </row>
    <row r="1109" spans="1:25" x14ac:dyDescent="0.25">
      <c r="A1109" t="s">
        <v>14</v>
      </c>
      <c r="B1109" t="s">
        <v>1469</v>
      </c>
      <c r="C1109" t="s">
        <v>4420</v>
      </c>
      <c r="D1109" t="s">
        <v>4394</v>
      </c>
      <c r="E1109">
        <v>47300070514</v>
      </c>
      <c r="F1109" t="s">
        <v>27</v>
      </c>
      <c r="G1109" t="s">
        <v>28</v>
      </c>
      <c r="H1109" t="s">
        <v>29</v>
      </c>
      <c r="K1109" t="s">
        <v>3795</v>
      </c>
      <c r="L1109" t="s">
        <v>19</v>
      </c>
      <c r="M1109" t="s">
        <v>20</v>
      </c>
      <c r="P1109">
        <v>40000</v>
      </c>
      <c r="Q1109">
        <v>40000</v>
      </c>
      <c r="R1109" t="s">
        <v>3883</v>
      </c>
      <c r="S1109" t="s">
        <v>1470</v>
      </c>
      <c r="T1109">
        <v>93.5</v>
      </c>
    </row>
    <row r="1110" spans="1:25" x14ac:dyDescent="0.25">
      <c r="A1110" t="s">
        <v>14</v>
      </c>
      <c r="B1110" t="s">
        <v>1467</v>
      </c>
      <c r="C1110" t="s">
        <v>4405</v>
      </c>
      <c r="D1110" t="s">
        <v>4390</v>
      </c>
      <c r="E1110">
        <v>47300070563</v>
      </c>
      <c r="F1110" t="s">
        <v>16</v>
      </c>
      <c r="G1110" t="s">
        <v>28</v>
      </c>
      <c r="H1110" t="s">
        <v>359</v>
      </c>
      <c r="K1110" t="s">
        <v>3795</v>
      </c>
      <c r="L1110" t="s">
        <v>19</v>
      </c>
      <c r="M1110" t="s">
        <v>20</v>
      </c>
      <c r="P1110">
        <v>65000</v>
      </c>
      <c r="Q1110">
        <v>65000</v>
      </c>
      <c r="R1110" t="s">
        <v>3884</v>
      </c>
      <c r="S1110" t="s">
        <v>1468</v>
      </c>
      <c r="T1110">
        <v>151.9</v>
      </c>
    </row>
    <row r="1111" spans="1:25" x14ac:dyDescent="0.25">
      <c r="A1111" t="s">
        <v>14</v>
      </c>
      <c r="B1111" t="s">
        <v>1465</v>
      </c>
      <c r="C1111" t="s">
        <v>4420</v>
      </c>
      <c r="D1111" t="s">
        <v>4394</v>
      </c>
      <c r="E1111">
        <v>47300086445</v>
      </c>
      <c r="F1111" t="s">
        <v>16</v>
      </c>
      <c r="G1111" t="s">
        <v>28</v>
      </c>
      <c r="H1111" t="s">
        <v>187</v>
      </c>
      <c r="I1111" t="s">
        <v>2777</v>
      </c>
      <c r="J1111" t="s">
        <v>2776</v>
      </c>
      <c r="K1111" t="s">
        <v>3795</v>
      </c>
      <c r="L1111" t="s">
        <v>19</v>
      </c>
      <c r="M1111" t="s">
        <v>20</v>
      </c>
      <c r="P1111">
        <v>80000</v>
      </c>
      <c r="Q1111">
        <v>80000</v>
      </c>
      <c r="R1111" t="s">
        <v>2860</v>
      </c>
      <c r="S1111" t="s">
        <v>1466</v>
      </c>
      <c r="T1111">
        <v>187</v>
      </c>
    </row>
    <row r="1112" spans="1:25" x14ac:dyDescent="0.25">
      <c r="A1112" t="s">
        <v>14</v>
      </c>
      <c r="B1112" t="s">
        <v>1465</v>
      </c>
      <c r="C1112" t="s">
        <v>4405</v>
      </c>
      <c r="D1112" t="s">
        <v>4390</v>
      </c>
      <c r="E1112">
        <v>47300086445</v>
      </c>
      <c r="F1112" t="s">
        <v>16</v>
      </c>
      <c r="G1112" t="s">
        <v>28</v>
      </c>
      <c r="H1112" t="s">
        <v>187</v>
      </c>
      <c r="I1112" t="s">
        <v>2777</v>
      </c>
      <c r="J1112" t="s">
        <v>2776</v>
      </c>
      <c r="K1112" t="s">
        <v>2861</v>
      </c>
      <c r="L1112" t="s">
        <v>47</v>
      </c>
      <c r="N1112" s="2">
        <v>45464</v>
      </c>
      <c r="O1112" s="2">
        <v>45464</v>
      </c>
      <c r="P1112">
        <v>150000</v>
      </c>
      <c r="Q1112">
        <v>150000</v>
      </c>
      <c r="R1112" t="s">
        <v>2860</v>
      </c>
    </row>
    <row r="1113" spans="1:25" x14ac:dyDescent="0.25">
      <c r="A1113" t="s">
        <v>14</v>
      </c>
      <c r="B1113" t="s">
        <v>1463</v>
      </c>
      <c r="C1113" t="s">
        <v>4369</v>
      </c>
      <c r="D1113" t="s">
        <v>4370</v>
      </c>
      <c r="E1113">
        <v>47300070605</v>
      </c>
      <c r="F1113" t="s">
        <v>16</v>
      </c>
      <c r="G1113" t="s">
        <v>28</v>
      </c>
      <c r="H1113" t="s">
        <v>178</v>
      </c>
      <c r="K1113" t="s">
        <v>4266</v>
      </c>
      <c r="L1113" t="s">
        <v>19</v>
      </c>
      <c r="M1113" t="s">
        <v>63</v>
      </c>
      <c r="N1113" s="2">
        <v>45444</v>
      </c>
      <c r="O1113" s="2">
        <v>45473</v>
      </c>
      <c r="P1113">
        <v>40000</v>
      </c>
      <c r="Q1113">
        <v>40000</v>
      </c>
      <c r="R1113" t="s">
        <v>3027</v>
      </c>
      <c r="S1113" t="s">
        <v>1464</v>
      </c>
      <c r="T1113">
        <v>93.5</v>
      </c>
    </row>
    <row r="1114" spans="1:25" x14ac:dyDescent="0.25">
      <c r="A1114" t="s">
        <v>14</v>
      </c>
      <c r="B1114" t="s">
        <v>1463</v>
      </c>
      <c r="C1114" t="s">
        <v>4365</v>
      </c>
      <c r="D1114" t="s">
        <v>4366</v>
      </c>
      <c r="E1114">
        <v>47300070605</v>
      </c>
      <c r="F1114" t="s">
        <v>16</v>
      </c>
      <c r="G1114" t="s">
        <v>28</v>
      </c>
      <c r="H1114" t="s">
        <v>178</v>
      </c>
      <c r="K1114" t="s">
        <v>3294</v>
      </c>
      <c r="L1114" t="s">
        <v>19</v>
      </c>
      <c r="M1114" t="s">
        <v>46</v>
      </c>
      <c r="N1114" s="2">
        <v>45444</v>
      </c>
      <c r="O1114" s="2">
        <v>45473</v>
      </c>
      <c r="P1114">
        <v>500</v>
      </c>
      <c r="Q1114">
        <v>500</v>
      </c>
      <c r="R1114" t="s">
        <v>3027</v>
      </c>
    </row>
    <row r="1115" spans="1:25" x14ac:dyDescent="0.25">
      <c r="A1115" t="s">
        <v>14</v>
      </c>
      <c r="B1115" t="s">
        <v>1463</v>
      </c>
      <c r="C1115" t="s">
        <v>4389</v>
      </c>
      <c r="D1115" t="s">
        <v>4375</v>
      </c>
      <c r="E1115">
        <v>47300070605</v>
      </c>
      <c r="F1115" t="s">
        <v>16</v>
      </c>
      <c r="G1115" t="s">
        <v>28</v>
      </c>
      <c r="H1115" t="s">
        <v>178</v>
      </c>
      <c r="K1115" t="s">
        <v>3197</v>
      </c>
      <c r="L1115" t="s">
        <v>19</v>
      </c>
      <c r="M1115" t="s">
        <v>46</v>
      </c>
      <c r="N1115" s="2">
        <v>45444</v>
      </c>
      <c r="O1115" s="2">
        <v>45473</v>
      </c>
      <c r="P1115">
        <v>145500</v>
      </c>
      <c r="Q1115">
        <v>145500</v>
      </c>
      <c r="R1115" t="s">
        <v>3027</v>
      </c>
    </row>
    <row r="1116" spans="1:25" x14ac:dyDescent="0.25">
      <c r="A1116" t="s">
        <v>14</v>
      </c>
      <c r="B1116" t="s">
        <v>1463</v>
      </c>
      <c r="C1116" t="s">
        <v>4394</v>
      </c>
      <c r="D1116" t="s">
        <v>4421</v>
      </c>
      <c r="E1116">
        <v>47300070605</v>
      </c>
      <c r="F1116" t="s">
        <v>16</v>
      </c>
      <c r="G1116" t="s">
        <v>28</v>
      </c>
      <c r="H1116" t="s">
        <v>178</v>
      </c>
      <c r="K1116" t="s">
        <v>2892</v>
      </c>
      <c r="L1116" t="s">
        <v>19</v>
      </c>
      <c r="M1116" t="s">
        <v>46</v>
      </c>
      <c r="N1116" s="2">
        <v>45444</v>
      </c>
      <c r="O1116" s="2">
        <v>45473</v>
      </c>
      <c r="P1116">
        <v>10000</v>
      </c>
      <c r="Q1116">
        <v>10000</v>
      </c>
      <c r="R1116" t="s">
        <v>3027</v>
      </c>
      <c r="X1116" t="s">
        <v>4422</v>
      </c>
      <c r="Y1116" t="s">
        <v>4423</v>
      </c>
    </row>
    <row r="1117" spans="1:25" x14ac:dyDescent="0.25">
      <c r="A1117" t="s">
        <v>14</v>
      </c>
      <c r="B1117" t="s">
        <v>1462</v>
      </c>
      <c r="C1117" t="s">
        <v>4405</v>
      </c>
      <c r="D1117" t="s">
        <v>4390</v>
      </c>
      <c r="E1117">
        <v>47300070498</v>
      </c>
      <c r="F1117" t="s">
        <v>16</v>
      </c>
      <c r="G1117" t="s">
        <v>28</v>
      </c>
      <c r="H1117" t="s">
        <v>794</v>
      </c>
      <c r="I1117" t="s">
        <v>2853</v>
      </c>
      <c r="J1117" t="s">
        <v>2852</v>
      </c>
      <c r="K1117" t="s">
        <v>2851</v>
      </c>
      <c r="L1117" t="s">
        <v>47</v>
      </c>
      <c r="N1117" s="2">
        <v>45469</v>
      </c>
      <c r="O1117" s="2">
        <v>45469</v>
      </c>
      <c r="P1117">
        <v>5000</v>
      </c>
      <c r="Q1117">
        <v>5000</v>
      </c>
      <c r="R1117" t="s">
        <v>2850</v>
      </c>
    </row>
    <row r="1118" spans="1:25" x14ac:dyDescent="0.25">
      <c r="A1118" t="s">
        <v>14</v>
      </c>
      <c r="B1118" t="s">
        <v>1461</v>
      </c>
      <c r="C1118" t="s">
        <v>4369</v>
      </c>
      <c r="D1118" t="s">
        <v>4370</v>
      </c>
      <c r="E1118">
        <v>47300046191</v>
      </c>
      <c r="F1118" t="s">
        <v>16</v>
      </c>
      <c r="G1118" t="s">
        <v>28</v>
      </c>
      <c r="H1118" t="s">
        <v>119</v>
      </c>
      <c r="I1118" t="s">
        <v>2799</v>
      </c>
      <c r="J1118">
        <v>8033011626</v>
      </c>
      <c r="K1118" t="s">
        <v>2818</v>
      </c>
      <c r="L1118" t="s">
        <v>47</v>
      </c>
      <c r="N1118" s="2">
        <v>45469</v>
      </c>
      <c r="O1118" s="2">
        <v>45469</v>
      </c>
      <c r="P1118">
        <v>107688.92</v>
      </c>
      <c r="Q1118">
        <v>107688.92</v>
      </c>
      <c r="R1118" t="s">
        <v>2817</v>
      </c>
    </row>
    <row r="1119" spans="1:25" x14ac:dyDescent="0.25">
      <c r="A1119" t="s">
        <v>14</v>
      </c>
      <c r="B1119" t="s">
        <v>1459</v>
      </c>
      <c r="C1119" t="s">
        <v>4420</v>
      </c>
      <c r="D1119" t="s">
        <v>4394</v>
      </c>
      <c r="E1119">
        <v>47300046191</v>
      </c>
      <c r="F1119" t="s">
        <v>16</v>
      </c>
      <c r="G1119" t="s">
        <v>28</v>
      </c>
      <c r="H1119" t="s">
        <v>119</v>
      </c>
      <c r="I1119" t="s">
        <v>2799</v>
      </c>
      <c r="J1119">
        <v>8033011626</v>
      </c>
      <c r="K1119" t="s">
        <v>4266</v>
      </c>
      <c r="L1119" t="s">
        <v>19</v>
      </c>
      <c r="M1119" t="s">
        <v>63</v>
      </c>
      <c r="N1119" s="2">
        <v>45444</v>
      </c>
      <c r="O1119" s="2">
        <v>45473</v>
      </c>
      <c r="P1119">
        <v>80000</v>
      </c>
      <c r="Q1119">
        <v>80000</v>
      </c>
      <c r="R1119" t="s">
        <v>3413</v>
      </c>
      <c r="S1119" t="s">
        <v>1460</v>
      </c>
      <c r="T1119">
        <v>187</v>
      </c>
    </row>
    <row r="1120" spans="1:25" x14ac:dyDescent="0.25">
      <c r="A1120" t="s">
        <v>14</v>
      </c>
      <c r="B1120" t="s">
        <v>1459</v>
      </c>
      <c r="C1120" t="s">
        <v>4405</v>
      </c>
      <c r="D1120" t="s">
        <v>4390</v>
      </c>
      <c r="E1120">
        <v>47300046191</v>
      </c>
      <c r="F1120" t="s">
        <v>16</v>
      </c>
      <c r="G1120" t="s">
        <v>28</v>
      </c>
      <c r="H1120" t="s">
        <v>119</v>
      </c>
      <c r="I1120" t="s">
        <v>2799</v>
      </c>
      <c r="J1120">
        <v>8033011626</v>
      </c>
      <c r="K1120" t="s">
        <v>3294</v>
      </c>
      <c r="L1120" t="s">
        <v>19</v>
      </c>
      <c r="M1120" t="s">
        <v>46</v>
      </c>
      <c r="N1120" s="2">
        <v>45444</v>
      </c>
      <c r="O1120" s="2">
        <v>45473</v>
      </c>
      <c r="P1120">
        <v>500</v>
      </c>
      <c r="Q1120">
        <v>500</v>
      </c>
      <c r="R1120" t="s">
        <v>3413</v>
      </c>
    </row>
    <row r="1121" spans="1:20" x14ac:dyDescent="0.25">
      <c r="A1121" t="s">
        <v>14</v>
      </c>
      <c r="B1121" t="s">
        <v>1458</v>
      </c>
      <c r="C1121" t="s">
        <v>4374</v>
      </c>
      <c r="D1121" t="s">
        <v>4375</v>
      </c>
      <c r="E1121">
        <v>47300070795</v>
      </c>
      <c r="F1121" t="s">
        <v>16</v>
      </c>
      <c r="G1121" t="s">
        <v>87</v>
      </c>
      <c r="H1121" t="s">
        <v>88</v>
      </c>
      <c r="K1121" t="s">
        <v>3294</v>
      </c>
      <c r="L1121" t="s">
        <v>19</v>
      </c>
      <c r="M1121" t="s">
        <v>46</v>
      </c>
      <c r="N1121" s="2">
        <v>45444</v>
      </c>
      <c r="O1121" s="2">
        <v>45473</v>
      </c>
      <c r="P1121">
        <v>500</v>
      </c>
      <c r="Q1121">
        <v>500</v>
      </c>
      <c r="R1121" t="s">
        <v>2854</v>
      </c>
    </row>
    <row r="1122" spans="1:20" x14ac:dyDescent="0.25">
      <c r="A1122" t="s">
        <v>14</v>
      </c>
      <c r="B1122" t="s">
        <v>1458</v>
      </c>
      <c r="C1122" t="s">
        <v>4414</v>
      </c>
      <c r="D1122" t="s">
        <v>4401</v>
      </c>
      <c r="E1122">
        <v>47300070795</v>
      </c>
      <c r="F1122" t="s">
        <v>16</v>
      </c>
      <c r="G1122" t="s">
        <v>87</v>
      </c>
      <c r="H1122" t="s">
        <v>88</v>
      </c>
      <c r="K1122" t="s">
        <v>2851</v>
      </c>
      <c r="L1122" t="s">
        <v>47</v>
      </c>
      <c r="N1122" s="2">
        <v>45469</v>
      </c>
      <c r="O1122" s="2">
        <v>45469</v>
      </c>
      <c r="P1122">
        <v>5000</v>
      </c>
      <c r="Q1122">
        <v>5000</v>
      </c>
      <c r="R1122" t="s">
        <v>2854</v>
      </c>
    </row>
    <row r="1123" spans="1:20" x14ac:dyDescent="0.25">
      <c r="A1123" t="s">
        <v>14</v>
      </c>
      <c r="B1123" t="s">
        <v>1456</v>
      </c>
      <c r="C1123" t="s">
        <v>4394</v>
      </c>
      <c r="D1123" t="s">
        <v>4395</v>
      </c>
      <c r="E1123">
        <v>47300070654</v>
      </c>
      <c r="F1123" t="s">
        <v>16</v>
      </c>
      <c r="G1123" t="s">
        <v>28</v>
      </c>
      <c r="H1123" t="s">
        <v>217</v>
      </c>
      <c r="K1123" t="s">
        <v>3795</v>
      </c>
      <c r="L1123" t="s">
        <v>19</v>
      </c>
      <c r="M1123" t="s">
        <v>20</v>
      </c>
      <c r="P1123">
        <v>20000</v>
      </c>
      <c r="Q1123">
        <v>20000</v>
      </c>
      <c r="R1123" t="s">
        <v>3885</v>
      </c>
      <c r="S1123" t="s">
        <v>1457</v>
      </c>
      <c r="T1123">
        <v>46.7</v>
      </c>
    </row>
    <row r="1124" spans="1:20" x14ac:dyDescent="0.25">
      <c r="A1124" t="s">
        <v>14</v>
      </c>
      <c r="B1124" t="s">
        <v>1455</v>
      </c>
      <c r="C1124" t="s">
        <v>4387</v>
      </c>
      <c r="D1124" t="s">
        <v>4388</v>
      </c>
      <c r="E1124">
        <v>47300070845</v>
      </c>
      <c r="F1124" t="s">
        <v>16</v>
      </c>
      <c r="G1124" t="s">
        <v>23</v>
      </c>
      <c r="H1124" t="s">
        <v>157</v>
      </c>
      <c r="K1124" t="s">
        <v>2851</v>
      </c>
      <c r="L1124" t="s">
        <v>47</v>
      </c>
      <c r="N1124" s="2">
        <v>45469</v>
      </c>
      <c r="O1124" s="2">
        <v>45469</v>
      </c>
      <c r="P1124">
        <v>5000</v>
      </c>
      <c r="Q1124">
        <v>5000</v>
      </c>
      <c r="R1124" t="s">
        <v>2855</v>
      </c>
    </row>
    <row r="1125" spans="1:20" x14ac:dyDescent="0.25">
      <c r="A1125" t="s">
        <v>14</v>
      </c>
      <c r="B1125" t="s">
        <v>1453</v>
      </c>
      <c r="C1125" t="s">
        <v>4371</v>
      </c>
      <c r="D1125" t="s">
        <v>4368</v>
      </c>
      <c r="E1125">
        <v>47300026094</v>
      </c>
      <c r="F1125" t="s">
        <v>35</v>
      </c>
      <c r="G1125" t="s">
        <v>36</v>
      </c>
      <c r="H1125" t="s">
        <v>4359</v>
      </c>
      <c r="K1125" t="s">
        <v>3795</v>
      </c>
      <c r="L1125" t="s">
        <v>19</v>
      </c>
      <c r="M1125" t="s">
        <v>20</v>
      </c>
      <c r="P1125">
        <v>200000</v>
      </c>
      <c r="Q1125">
        <v>200000</v>
      </c>
      <c r="R1125" t="s">
        <v>3886</v>
      </c>
      <c r="S1125" t="s">
        <v>1454</v>
      </c>
      <c r="T1125">
        <v>467.5</v>
      </c>
    </row>
    <row r="1126" spans="1:20" x14ac:dyDescent="0.25">
      <c r="A1126" t="s">
        <v>14</v>
      </c>
      <c r="B1126" t="s">
        <v>1451</v>
      </c>
      <c r="C1126" t="s">
        <v>4367</v>
      </c>
      <c r="D1126" t="s">
        <v>4368</v>
      </c>
      <c r="E1126">
        <v>47300025708</v>
      </c>
      <c r="F1126" t="s">
        <v>35</v>
      </c>
      <c r="G1126" t="s">
        <v>36</v>
      </c>
      <c r="H1126" t="s">
        <v>4360</v>
      </c>
      <c r="K1126" t="s">
        <v>3795</v>
      </c>
      <c r="L1126" t="s">
        <v>19</v>
      </c>
      <c r="M1126" t="s">
        <v>20</v>
      </c>
      <c r="P1126">
        <v>100000</v>
      </c>
      <c r="Q1126">
        <v>100000</v>
      </c>
      <c r="R1126" t="s">
        <v>3887</v>
      </c>
      <c r="S1126" t="s">
        <v>1452</v>
      </c>
      <c r="T1126">
        <v>233.8</v>
      </c>
    </row>
    <row r="1127" spans="1:20" x14ac:dyDescent="0.25">
      <c r="A1127" t="s">
        <v>14</v>
      </c>
      <c r="B1127" t="s">
        <v>1449</v>
      </c>
      <c r="C1127" t="s">
        <v>4365</v>
      </c>
      <c r="D1127" t="s">
        <v>4403</v>
      </c>
      <c r="E1127">
        <v>47300046761</v>
      </c>
      <c r="F1127" t="s">
        <v>42</v>
      </c>
      <c r="G1127" t="s">
        <v>28</v>
      </c>
      <c r="H1127" t="s">
        <v>43</v>
      </c>
      <c r="K1127" t="s">
        <v>3795</v>
      </c>
      <c r="L1127" t="s">
        <v>19</v>
      </c>
      <c r="M1127" t="s">
        <v>20</v>
      </c>
      <c r="P1127">
        <v>50000</v>
      </c>
      <c r="Q1127">
        <v>50000</v>
      </c>
      <c r="R1127" t="s">
        <v>3888</v>
      </c>
      <c r="S1127" t="s">
        <v>1450</v>
      </c>
      <c r="T1127">
        <v>116.8</v>
      </c>
    </row>
    <row r="1128" spans="1:20" x14ac:dyDescent="0.25">
      <c r="A1128" t="s">
        <v>14</v>
      </c>
      <c r="B1128" t="s">
        <v>1447</v>
      </c>
      <c r="C1128" t="s">
        <v>4402</v>
      </c>
      <c r="D1128" t="s">
        <v>4403</v>
      </c>
      <c r="E1128">
        <v>47300046241</v>
      </c>
      <c r="F1128" t="s">
        <v>16</v>
      </c>
      <c r="G1128" t="s">
        <v>23</v>
      </c>
      <c r="H1128" t="s">
        <v>24</v>
      </c>
      <c r="I1128" t="s">
        <v>2754</v>
      </c>
      <c r="J1128">
        <v>0</v>
      </c>
      <c r="K1128" t="s">
        <v>3795</v>
      </c>
      <c r="L1128" t="s">
        <v>19</v>
      </c>
      <c r="M1128" t="s">
        <v>20</v>
      </c>
      <c r="P1128">
        <v>35000</v>
      </c>
      <c r="Q1128">
        <v>35000</v>
      </c>
      <c r="R1128" t="s">
        <v>3889</v>
      </c>
      <c r="S1128" t="s">
        <v>1448</v>
      </c>
      <c r="T1128">
        <v>81.8</v>
      </c>
    </row>
    <row r="1129" spans="1:20" x14ac:dyDescent="0.25">
      <c r="A1129" t="s">
        <v>14</v>
      </c>
      <c r="B1129" t="s">
        <v>1445</v>
      </c>
      <c r="C1129" t="s">
        <v>4374</v>
      </c>
      <c r="D1129" t="s">
        <v>4375</v>
      </c>
      <c r="E1129">
        <v>47300046746</v>
      </c>
      <c r="F1129" t="s">
        <v>16</v>
      </c>
      <c r="G1129" t="s">
        <v>28</v>
      </c>
      <c r="H1129" t="s">
        <v>32</v>
      </c>
      <c r="K1129" t="s">
        <v>3795</v>
      </c>
      <c r="L1129" t="s">
        <v>19</v>
      </c>
      <c r="M1129" t="s">
        <v>20</v>
      </c>
      <c r="P1129">
        <v>10000</v>
      </c>
      <c r="Q1129">
        <v>10000</v>
      </c>
      <c r="R1129" t="s">
        <v>3890</v>
      </c>
      <c r="S1129" t="s">
        <v>1446</v>
      </c>
      <c r="T1129">
        <v>23.4</v>
      </c>
    </row>
    <row r="1130" spans="1:20" x14ac:dyDescent="0.25">
      <c r="A1130" t="s">
        <v>14</v>
      </c>
      <c r="B1130" t="s">
        <v>1444</v>
      </c>
      <c r="C1130" t="s">
        <v>4384</v>
      </c>
      <c r="D1130" t="s">
        <v>4379</v>
      </c>
      <c r="E1130">
        <v>47300070480</v>
      </c>
      <c r="F1130" t="s">
        <v>16</v>
      </c>
      <c r="G1130" t="s">
        <v>28</v>
      </c>
      <c r="H1130" t="s">
        <v>184</v>
      </c>
      <c r="K1130" t="s">
        <v>3294</v>
      </c>
      <c r="L1130" t="s">
        <v>19</v>
      </c>
      <c r="M1130" t="s">
        <v>46</v>
      </c>
      <c r="N1130" s="2">
        <v>45444</v>
      </c>
      <c r="O1130" s="2">
        <v>45473</v>
      </c>
      <c r="P1130">
        <v>500</v>
      </c>
      <c r="Q1130">
        <v>500</v>
      </c>
      <c r="R1130" t="s">
        <v>2856</v>
      </c>
    </row>
    <row r="1131" spans="1:20" x14ac:dyDescent="0.25">
      <c r="A1131" t="s">
        <v>14</v>
      </c>
      <c r="B1131" t="s">
        <v>1444</v>
      </c>
      <c r="C1131" t="s">
        <v>4378</v>
      </c>
      <c r="D1131" t="s">
        <v>4379</v>
      </c>
      <c r="E1131">
        <v>47300070480</v>
      </c>
      <c r="F1131" t="s">
        <v>16</v>
      </c>
      <c r="G1131" t="s">
        <v>28</v>
      </c>
      <c r="H1131" t="s">
        <v>184</v>
      </c>
      <c r="K1131" t="s">
        <v>2851</v>
      </c>
      <c r="L1131" t="s">
        <v>47</v>
      </c>
      <c r="N1131" s="2">
        <v>45469</v>
      </c>
      <c r="O1131" s="2">
        <v>45469</v>
      </c>
      <c r="P1131">
        <v>5000</v>
      </c>
      <c r="Q1131">
        <v>5000</v>
      </c>
      <c r="R1131" t="s">
        <v>2856</v>
      </c>
    </row>
    <row r="1132" spans="1:20" x14ac:dyDescent="0.25">
      <c r="A1132" t="s">
        <v>14</v>
      </c>
      <c r="B1132" t="s">
        <v>1442</v>
      </c>
      <c r="C1132" t="s">
        <v>4376</v>
      </c>
      <c r="D1132" t="s">
        <v>4407</v>
      </c>
      <c r="E1132">
        <v>47300070555</v>
      </c>
      <c r="F1132" t="s">
        <v>35</v>
      </c>
      <c r="G1132" t="s">
        <v>35</v>
      </c>
      <c r="H1132" t="s">
        <v>116</v>
      </c>
      <c r="K1132" t="s">
        <v>3795</v>
      </c>
      <c r="L1132" t="s">
        <v>19</v>
      </c>
      <c r="M1132" t="s">
        <v>20</v>
      </c>
      <c r="P1132">
        <v>50000</v>
      </c>
      <c r="Q1132">
        <v>50000</v>
      </c>
      <c r="R1132" t="s">
        <v>3891</v>
      </c>
      <c r="S1132" t="s">
        <v>1443</v>
      </c>
      <c r="T1132">
        <v>116.9</v>
      </c>
    </row>
    <row r="1133" spans="1:20" x14ac:dyDescent="0.25">
      <c r="A1133" t="s">
        <v>14</v>
      </c>
      <c r="B1133" t="s">
        <v>1440</v>
      </c>
      <c r="C1133" t="s">
        <v>3300</v>
      </c>
      <c r="D1133" t="s">
        <v>3299</v>
      </c>
      <c r="E1133">
        <v>47300070589</v>
      </c>
      <c r="F1133" t="s">
        <v>16</v>
      </c>
      <c r="G1133" t="s">
        <v>28</v>
      </c>
      <c r="H1133" t="s">
        <v>221</v>
      </c>
      <c r="K1133" t="s">
        <v>3795</v>
      </c>
      <c r="L1133" t="s">
        <v>19</v>
      </c>
      <c r="M1133" t="s">
        <v>20</v>
      </c>
      <c r="P1133">
        <v>10000</v>
      </c>
      <c r="Q1133">
        <v>10000</v>
      </c>
      <c r="R1133" t="s">
        <v>3892</v>
      </c>
      <c r="S1133" t="s">
        <v>1441</v>
      </c>
      <c r="T1133">
        <v>23.4</v>
      </c>
    </row>
    <row r="1134" spans="1:20" x14ac:dyDescent="0.25">
      <c r="A1134" t="s">
        <v>14</v>
      </c>
      <c r="B1134" t="s">
        <v>1438</v>
      </c>
      <c r="C1134" t="s">
        <v>4384</v>
      </c>
      <c r="D1134" t="s">
        <v>4379</v>
      </c>
      <c r="E1134">
        <v>47300046399</v>
      </c>
      <c r="F1134" t="s">
        <v>16</v>
      </c>
      <c r="G1134" t="s">
        <v>28</v>
      </c>
      <c r="H1134" t="s">
        <v>122</v>
      </c>
      <c r="K1134" t="s">
        <v>3795</v>
      </c>
      <c r="L1134" t="s">
        <v>19</v>
      </c>
      <c r="M1134" t="s">
        <v>20</v>
      </c>
      <c r="P1134">
        <v>52000</v>
      </c>
      <c r="Q1134">
        <v>52000</v>
      </c>
      <c r="R1134" t="s">
        <v>3893</v>
      </c>
      <c r="S1134" t="s">
        <v>1439</v>
      </c>
      <c r="T1134">
        <v>121.5</v>
      </c>
    </row>
    <row r="1135" spans="1:20" x14ac:dyDescent="0.25">
      <c r="A1135" t="s">
        <v>14</v>
      </c>
      <c r="B1135" t="s">
        <v>1436</v>
      </c>
      <c r="C1135" t="s">
        <v>4418</v>
      </c>
      <c r="D1135" t="s">
        <v>4368</v>
      </c>
      <c r="E1135">
        <v>47300070753</v>
      </c>
      <c r="F1135" t="s">
        <v>16</v>
      </c>
      <c r="G1135" t="s">
        <v>17</v>
      </c>
      <c r="H1135" t="s">
        <v>82</v>
      </c>
      <c r="K1135" t="s">
        <v>3795</v>
      </c>
      <c r="L1135" t="s">
        <v>19</v>
      </c>
      <c r="M1135" t="s">
        <v>20</v>
      </c>
      <c r="P1135">
        <v>90000</v>
      </c>
      <c r="Q1135">
        <v>90000</v>
      </c>
      <c r="R1135" t="s">
        <v>3894</v>
      </c>
      <c r="S1135" t="s">
        <v>1437</v>
      </c>
      <c r="T1135">
        <v>210.3</v>
      </c>
    </row>
    <row r="1136" spans="1:20" x14ac:dyDescent="0.25">
      <c r="A1136" t="s">
        <v>14</v>
      </c>
      <c r="B1136" t="s">
        <v>1434</v>
      </c>
      <c r="C1136" t="s">
        <v>4409</v>
      </c>
      <c r="D1136" t="s">
        <v>4410</v>
      </c>
      <c r="E1136">
        <v>47300070704</v>
      </c>
      <c r="F1136" t="s">
        <v>16</v>
      </c>
      <c r="G1136" t="s">
        <v>28</v>
      </c>
      <c r="H1136" t="s">
        <v>146</v>
      </c>
      <c r="K1136" t="s">
        <v>3795</v>
      </c>
      <c r="L1136" t="s">
        <v>19</v>
      </c>
      <c r="M1136" t="s">
        <v>20</v>
      </c>
      <c r="P1136">
        <v>250000</v>
      </c>
      <c r="Q1136">
        <v>250000</v>
      </c>
      <c r="R1136" t="s">
        <v>3895</v>
      </c>
      <c r="S1136" t="s">
        <v>1435</v>
      </c>
      <c r="T1136">
        <v>584.29999999999995</v>
      </c>
    </row>
    <row r="1137" spans="1:20" x14ac:dyDescent="0.25">
      <c r="A1137" t="s">
        <v>14</v>
      </c>
      <c r="B1137" t="s">
        <v>1432</v>
      </c>
      <c r="C1137" t="s">
        <v>4386</v>
      </c>
      <c r="D1137" t="s">
        <v>4368</v>
      </c>
      <c r="E1137">
        <v>47300025690</v>
      </c>
      <c r="F1137" t="s">
        <v>35</v>
      </c>
      <c r="G1137" t="s">
        <v>36</v>
      </c>
      <c r="H1137" t="s">
        <v>37</v>
      </c>
      <c r="K1137" t="s">
        <v>3795</v>
      </c>
      <c r="L1137" t="s">
        <v>19</v>
      </c>
      <c r="M1137" t="s">
        <v>20</v>
      </c>
      <c r="P1137">
        <v>50000</v>
      </c>
      <c r="Q1137">
        <v>50000</v>
      </c>
      <c r="R1137" t="s">
        <v>3896</v>
      </c>
      <c r="S1137" t="s">
        <v>1433</v>
      </c>
      <c r="T1137">
        <v>116.9</v>
      </c>
    </row>
    <row r="1138" spans="1:20" x14ac:dyDescent="0.25">
      <c r="A1138" t="s">
        <v>14</v>
      </c>
      <c r="B1138" t="s">
        <v>1430</v>
      </c>
      <c r="C1138" t="s">
        <v>4364</v>
      </c>
      <c r="D1138" t="s">
        <v>4358</v>
      </c>
      <c r="E1138">
        <v>47300026185</v>
      </c>
      <c r="F1138" t="s">
        <v>35</v>
      </c>
      <c r="G1138" t="s">
        <v>36</v>
      </c>
      <c r="H1138" t="s">
        <v>4361</v>
      </c>
      <c r="K1138" t="s">
        <v>3795</v>
      </c>
      <c r="L1138" t="s">
        <v>19</v>
      </c>
      <c r="M1138" t="s">
        <v>20</v>
      </c>
      <c r="P1138">
        <v>50000</v>
      </c>
      <c r="Q1138">
        <v>50000</v>
      </c>
      <c r="R1138" t="s">
        <v>3897</v>
      </c>
      <c r="S1138" t="s">
        <v>1431</v>
      </c>
      <c r="T1138">
        <v>116.9</v>
      </c>
    </row>
    <row r="1139" spans="1:20" x14ac:dyDescent="0.25">
      <c r="A1139" t="s">
        <v>14</v>
      </c>
      <c r="B1139" t="s">
        <v>1428</v>
      </c>
      <c r="C1139" t="s">
        <v>4408</v>
      </c>
      <c r="D1139" t="s">
        <v>4407</v>
      </c>
      <c r="E1139">
        <v>47300012151</v>
      </c>
      <c r="F1139" t="s">
        <v>35</v>
      </c>
      <c r="G1139" t="s">
        <v>36</v>
      </c>
      <c r="H1139" t="s">
        <v>4362</v>
      </c>
      <c r="K1139" t="s">
        <v>3795</v>
      </c>
      <c r="L1139" t="s">
        <v>19</v>
      </c>
      <c r="M1139" t="s">
        <v>20</v>
      </c>
      <c r="P1139">
        <v>50000</v>
      </c>
      <c r="Q1139">
        <v>50000</v>
      </c>
      <c r="R1139" t="s">
        <v>3898</v>
      </c>
      <c r="S1139" t="s">
        <v>1429</v>
      </c>
      <c r="T1139">
        <v>116.9</v>
      </c>
    </row>
    <row r="1140" spans="1:20" x14ac:dyDescent="0.25">
      <c r="A1140" t="s">
        <v>14</v>
      </c>
      <c r="B1140" t="s">
        <v>1426</v>
      </c>
      <c r="C1140" t="s">
        <v>4384</v>
      </c>
      <c r="D1140" t="s">
        <v>4391</v>
      </c>
      <c r="E1140">
        <v>47300070589</v>
      </c>
      <c r="F1140" t="s">
        <v>16</v>
      </c>
      <c r="G1140" t="s">
        <v>28</v>
      </c>
      <c r="H1140" t="s">
        <v>221</v>
      </c>
      <c r="K1140" t="s">
        <v>4266</v>
      </c>
      <c r="L1140" t="s">
        <v>19</v>
      </c>
      <c r="M1140" t="s">
        <v>63</v>
      </c>
      <c r="N1140" s="2">
        <v>45474</v>
      </c>
      <c r="O1140" s="2">
        <v>45504</v>
      </c>
      <c r="P1140">
        <v>70000</v>
      </c>
      <c r="Q1140">
        <v>70000</v>
      </c>
      <c r="R1140" t="s">
        <v>3028</v>
      </c>
      <c r="S1140" t="s">
        <v>1427</v>
      </c>
      <c r="T1140">
        <v>163.6</v>
      </c>
    </row>
    <row r="1141" spans="1:20" x14ac:dyDescent="0.25">
      <c r="A1141" t="s">
        <v>14</v>
      </c>
      <c r="B1141" t="s">
        <v>1426</v>
      </c>
      <c r="C1141" t="s">
        <v>4398</v>
      </c>
      <c r="D1141" t="s">
        <v>4399</v>
      </c>
      <c r="E1141">
        <v>47300070589</v>
      </c>
      <c r="F1141" t="s">
        <v>16</v>
      </c>
      <c r="G1141" t="s">
        <v>28</v>
      </c>
      <c r="H1141" t="s">
        <v>221</v>
      </c>
      <c r="K1141" t="s">
        <v>3294</v>
      </c>
      <c r="L1141" t="s">
        <v>19</v>
      </c>
      <c r="M1141" t="s">
        <v>46</v>
      </c>
      <c r="N1141" s="2">
        <v>45474</v>
      </c>
      <c r="O1141" s="2">
        <v>45504</v>
      </c>
      <c r="P1141">
        <v>500</v>
      </c>
      <c r="Q1141">
        <v>500</v>
      </c>
      <c r="R1141" t="s">
        <v>3028</v>
      </c>
    </row>
    <row r="1142" spans="1:20" x14ac:dyDescent="0.25">
      <c r="A1142" t="s">
        <v>14</v>
      </c>
      <c r="B1142" t="s">
        <v>1426</v>
      </c>
      <c r="C1142" t="s">
        <v>4367</v>
      </c>
      <c r="D1142" t="s">
        <v>4368</v>
      </c>
      <c r="E1142">
        <v>47300070589</v>
      </c>
      <c r="F1142" t="s">
        <v>16</v>
      </c>
      <c r="G1142" t="s">
        <v>28</v>
      </c>
      <c r="H1142" t="s">
        <v>221</v>
      </c>
      <c r="K1142" t="s">
        <v>3197</v>
      </c>
      <c r="L1142" t="s">
        <v>19</v>
      </c>
      <c r="M1142" t="s">
        <v>46</v>
      </c>
      <c r="N1142" s="2">
        <v>45474</v>
      </c>
      <c r="O1142" s="2">
        <v>45504</v>
      </c>
      <c r="P1142">
        <v>145500</v>
      </c>
      <c r="Q1142">
        <v>145500</v>
      </c>
      <c r="R1142" t="s">
        <v>3028</v>
      </c>
    </row>
    <row r="1143" spans="1:20" x14ac:dyDescent="0.25">
      <c r="A1143" t="s">
        <v>14</v>
      </c>
      <c r="B1143" t="s">
        <v>1426</v>
      </c>
      <c r="C1143" t="s">
        <v>4389</v>
      </c>
      <c r="D1143" t="s">
        <v>4375</v>
      </c>
      <c r="E1143">
        <v>47300070589</v>
      </c>
      <c r="F1143" t="s">
        <v>16</v>
      </c>
      <c r="G1143" t="s">
        <v>28</v>
      </c>
      <c r="H1143" t="s">
        <v>221</v>
      </c>
      <c r="K1143" t="s">
        <v>2892</v>
      </c>
      <c r="L1143" t="s">
        <v>19</v>
      </c>
      <c r="M1143" t="s">
        <v>46</v>
      </c>
      <c r="N1143" s="2">
        <v>45474</v>
      </c>
      <c r="O1143" s="2">
        <v>45504</v>
      </c>
      <c r="P1143">
        <v>10000</v>
      </c>
      <c r="Q1143">
        <v>10000</v>
      </c>
      <c r="R1143" t="s">
        <v>3028</v>
      </c>
    </row>
    <row r="1144" spans="1:20" x14ac:dyDescent="0.25">
      <c r="A1144" t="s">
        <v>14</v>
      </c>
      <c r="B1144" t="s">
        <v>1425</v>
      </c>
      <c r="C1144" t="s">
        <v>4384</v>
      </c>
      <c r="D1144" t="s">
        <v>4385</v>
      </c>
      <c r="E1144">
        <v>47300047066</v>
      </c>
      <c r="F1144" t="s">
        <v>16</v>
      </c>
      <c r="G1144" t="s">
        <v>28</v>
      </c>
      <c r="H1144" t="s">
        <v>57</v>
      </c>
      <c r="K1144" t="s">
        <v>3294</v>
      </c>
      <c r="L1144" t="s">
        <v>19</v>
      </c>
      <c r="M1144" t="s">
        <v>46</v>
      </c>
      <c r="N1144" s="2">
        <v>45474</v>
      </c>
      <c r="O1144" s="2">
        <v>45504</v>
      </c>
      <c r="P1144">
        <v>500</v>
      </c>
      <c r="Q1144">
        <v>500</v>
      </c>
      <c r="R1144" t="s">
        <v>3029</v>
      </c>
    </row>
    <row r="1145" spans="1:20" x14ac:dyDescent="0.25">
      <c r="A1145" t="s">
        <v>14</v>
      </c>
      <c r="B1145" t="s">
        <v>1425</v>
      </c>
      <c r="C1145" t="s">
        <v>4400</v>
      </c>
      <c r="D1145" t="s">
        <v>4401</v>
      </c>
      <c r="E1145">
        <v>47300047066</v>
      </c>
      <c r="F1145" t="s">
        <v>16</v>
      </c>
      <c r="G1145" t="s">
        <v>28</v>
      </c>
      <c r="H1145" t="s">
        <v>57</v>
      </c>
      <c r="K1145" t="s">
        <v>3197</v>
      </c>
      <c r="L1145" t="s">
        <v>19</v>
      </c>
      <c r="M1145" t="s">
        <v>46</v>
      </c>
      <c r="N1145" s="2">
        <v>45474</v>
      </c>
      <c r="O1145" s="2">
        <v>45504</v>
      </c>
      <c r="P1145">
        <v>145500</v>
      </c>
      <c r="Q1145">
        <v>145500</v>
      </c>
      <c r="R1145" t="s">
        <v>3029</v>
      </c>
    </row>
    <row r="1146" spans="1:20" x14ac:dyDescent="0.25">
      <c r="A1146" t="s">
        <v>14</v>
      </c>
      <c r="B1146" t="s">
        <v>1425</v>
      </c>
      <c r="C1146" t="s">
        <v>4378</v>
      </c>
      <c r="D1146" t="s">
        <v>4379</v>
      </c>
      <c r="E1146">
        <v>47300047066</v>
      </c>
      <c r="F1146" t="s">
        <v>16</v>
      </c>
      <c r="G1146" t="s">
        <v>28</v>
      </c>
      <c r="H1146" t="s">
        <v>57</v>
      </c>
      <c r="K1146" t="s">
        <v>2892</v>
      </c>
      <c r="L1146" t="s">
        <v>19</v>
      </c>
      <c r="M1146" t="s">
        <v>46</v>
      </c>
      <c r="N1146" s="2">
        <v>45474</v>
      </c>
      <c r="O1146" s="2">
        <v>45504</v>
      </c>
      <c r="P1146">
        <v>10000</v>
      </c>
      <c r="Q1146">
        <v>10000</v>
      </c>
      <c r="R1146" t="s">
        <v>3029</v>
      </c>
    </row>
    <row r="1147" spans="1:20" x14ac:dyDescent="0.25">
      <c r="A1147" t="s">
        <v>14</v>
      </c>
      <c r="B1147" t="s">
        <v>1424</v>
      </c>
      <c r="C1147" t="s">
        <v>4382</v>
      </c>
      <c r="D1147" t="s">
        <v>4383</v>
      </c>
      <c r="E1147">
        <v>47300046399</v>
      </c>
      <c r="F1147" t="s">
        <v>16</v>
      </c>
      <c r="G1147" t="s">
        <v>28</v>
      </c>
      <c r="H1147" t="s">
        <v>122</v>
      </c>
      <c r="K1147" t="s">
        <v>3294</v>
      </c>
      <c r="L1147" t="s">
        <v>19</v>
      </c>
      <c r="M1147" t="s">
        <v>46</v>
      </c>
      <c r="N1147" s="2">
        <v>45474</v>
      </c>
      <c r="O1147" s="2">
        <v>45504</v>
      </c>
      <c r="P1147">
        <v>500</v>
      </c>
      <c r="Q1147">
        <v>500</v>
      </c>
      <c r="R1147" t="s">
        <v>3030</v>
      </c>
    </row>
    <row r="1148" spans="1:20" x14ac:dyDescent="0.25">
      <c r="A1148" t="s">
        <v>14</v>
      </c>
      <c r="B1148" t="s">
        <v>1424</v>
      </c>
      <c r="C1148" t="s">
        <v>4376</v>
      </c>
      <c r="D1148" t="s">
        <v>4407</v>
      </c>
      <c r="E1148">
        <v>47300046399</v>
      </c>
      <c r="F1148" t="s">
        <v>16</v>
      </c>
      <c r="G1148" t="s">
        <v>28</v>
      </c>
      <c r="H1148" t="s">
        <v>122</v>
      </c>
      <c r="K1148" t="s">
        <v>3197</v>
      </c>
      <c r="L1148" t="s">
        <v>19</v>
      </c>
      <c r="M1148" t="s">
        <v>46</v>
      </c>
      <c r="N1148" s="2">
        <v>45474</v>
      </c>
      <c r="O1148" s="2">
        <v>45504</v>
      </c>
      <c r="P1148">
        <v>145500</v>
      </c>
      <c r="Q1148">
        <v>145500</v>
      </c>
      <c r="R1148" t="s">
        <v>3030</v>
      </c>
    </row>
    <row r="1149" spans="1:20" x14ac:dyDescent="0.25">
      <c r="A1149" t="s">
        <v>14</v>
      </c>
      <c r="B1149" t="s">
        <v>1424</v>
      </c>
      <c r="C1149" t="s">
        <v>4367</v>
      </c>
      <c r="D1149" t="s">
        <v>4368</v>
      </c>
      <c r="E1149">
        <v>47300046399</v>
      </c>
      <c r="F1149" t="s">
        <v>16</v>
      </c>
      <c r="G1149" t="s">
        <v>28</v>
      </c>
      <c r="H1149" t="s">
        <v>122</v>
      </c>
      <c r="K1149" t="s">
        <v>2892</v>
      </c>
      <c r="L1149" t="s">
        <v>19</v>
      </c>
      <c r="M1149" t="s">
        <v>46</v>
      </c>
      <c r="N1149" s="2">
        <v>45474</v>
      </c>
      <c r="O1149" s="2">
        <v>45504</v>
      </c>
      <c r="P1149">
        <v>10000</v>
      </c>
      <c r="Q1149">
        <v>10000</v>
      </c>
      <c r="R1149" t="s">
        <v>3030</v>
      </c>
    </row>
    <row r="1150" spans="1:20" x14ac:dyDescent="0.25">
      <c r="A1150" t="s">
        <v>14</v>
      </c>
      <c r="B1150" t="s">
        <v>1422</v>
      </c>
      <c r="C1150" t="s">
        <v>4389</v>
      </c>
      <c r="D1150" t="s">
        <v>4375</v>
      </c>
      <c r="E1150">
        <v>47300070522</v>
      </c>
      <c r="F1150" t="s">
        <v>16</v>
      </c>
      <c r="G1150" t="s">
        <v>17</v>
      </c>
      <c r="H1150" t="s">
        <v>18</v>
      </c>
      <c r="K1150" t="s">
        <v>4266</v>
      </c>
      <c r="L1150" t="s">
        <v>19</v>
      </c>
      <c r="M1150" t="s">
        <v>63</v>
      </c>
      <c r="N1150" s="2">
        <v>45474</v>
      </c>
      <c r="O1150" s="2">
        <v>45504</v>
      </c>
      <c r="P1150">
        <v>20000</v>
      </c>
      <c r="Q1150">
        <v>20000</v>
      </c>
      <c r="R1150" t="s">
        <v>3031</v>
      </c>
      <c r="S1150" t="s">
        <v>1423</v>
      </c>
      <c r="T1150">
        <v>46.7</v>
      </c>
    </row>
    <row r="1151" spans="1:20" x14ac:dyDescent="0.25">
      <c r="A1151" t="s">
        <v>14</v>
      </c>
      <c r="B1151" t="s">
        <v>1422</v>
      </c>
      <c r="C1151" t="s">
        <v>4400</v>
      </c>
      <c r="D1151" t="s">
        <v>4401</v>
      </c>
      <c r="E1151">
        <v>47300070522</v>
      </c>
      <c r="F1151" t="s">
        <v>16</v>
      </c>
      <c r="G1151" t="s">
        <v>17</v>
      </c>
      <c r="H1151" t="s">
        <v>18</v>
      </c>
      <c r="K1151" t="s">
        <v>3294</v>
      </c>
      <c r="L1151" t="s">
        <v>19</v>
      </c>
      <c r="M1151" t="s">
        <v>46</v>
      </c>
      <c r="N1151" s="2">
        <v>45474</v>
      </c>
      <c r="O1151" s="2">
        <v>45504</v>
      </c>
      <c r="P1151">
        <v>500</v>
      </c>
      <c r="Q1151">
        <v>500</v>
      </c>
      <c r="R1151" t="s">
        <v>3031</v>
      </c>
    </row>
    <row r="1152" spans="1:20" x14ac:dyDescent="0.25">
      <c r="A1152" t="s">
        <v>14</v>
      </c>
      <c r="B1152" t="s">
        <v>1422</v>
      </c>
      <c r="C1152" t="s">
        <v>4376</v>
      </c>
      <c r="D1152" t="s">
        <v>4407</v>
      </c>
      <c r="E1152">
        <v>47300070522</v>
      </c>
      <c r="F1152" t="s">
        <v>16</v>
      </c>
      <c r="G1152" t="s">
        <v>17</v>
      </c>
      <c r="H1152" t="s">
        <v>18</v>
      </c>
      <c r="K1152" t="s">
        <v>3197</v>
      </c>
      <c r="L1152" t="s">
        <v>19</v>
      </c>
      <c r="M1152" t="s">
        <v>46</v>
      </c>
      <c r="N1152" s="2">
        <v>45474</v>
      </c>
      <c r="O1152" s="2">
        <v>45504</v>
      </c>
      <c r="P1152">
        <v>145500</v>
      </c>
      <c r="Q1152">
        <v>145500</v>
      </c>
      <c r="R1152" t="s">
        <v>3031</v>
      </c>
    </row>
    <row r="1153" spans="1:20" x14ac:dyDescent="0.25">
      <c r="A1153" t="s">
        <v>14</v>
      </c>
      <c r="B1153" t="s">
        <v>1422</v>
      </c>
      <c r="C1153" t="s">
        <v>4384</v>
      </c>
      <c r="D1153" t="s">
        <v>4391</v>
      </c>
      <c r="E1153">
        <v>47300070522</v>
      </c>
      <c r="F1153" t="s">
        <v>16</v>
      </c>
      <c r="G1153" t="s">
        <v>17</v>
      </c>
      <c r="H1153" t="s">
        <v>18</v>
      </c>
      <c r="K1153" t="s">
        <v>2892</v>
      </c>
      <c r="L1153" t="s">
        <v>19</v>
      </c>
      <c r="M1153" t="s">
        <v>46</v>
      </c>
      <c r="N1153" s="2">
        <v>45474</v>
      </c>
      <c r="O1153" s="2">
        <v>45504</v>
      </c>
      <c r="P1153">
        <v>10000</v>
      </c>
      <c r="Q1153">
        <v>10000</v>
      </c>
      <c r="R1153" t="s">
        <v>3031</v>
      </c>
    </row>
    <row r="1154" spans="1:20" x14ac:dyDescent="0.25">
      <c r="A1154" t="s">
        <v>14</v>
      </c>
      <c r="B1154" t="s">
        <v>1421</v>
      </c>
      <c r="C1154" t="s">
        <v>4400</v>
      </c>
      <c r="D1154" t="s">
        <v>4401</v>
      </c>
      <c r="E1154">
        <v>47300046647</v>
      </c>
      <c r="F1154" t="s">
        <v>16</v>
      </c>
      <c r="G1154" t="s">
        <v>87</v>
      </c>
      <c r="H1154" t="s">
        <v>100</v>
      </c>
      <c r="K1154" t="s">
        <v>3294</v>
      </c>
      <c r="L1154" t="s">
        <v>19</v>
      </c>
      <c r="M1154" t="s">
        <v>46</v>
      </c>
      <c r="N1154" s="2">
        <v>45474</v>
      </c>
      <c r="O1154" s="2">
        <v>45504</v>
      </c>
      <c r="P1154">
        <v>500</v>
      </c>
      <c r="Q1154">
        <v>500</v>
      </c>
      <c r="R1154" t="s">
        <v>3032</v>
      </c>
    </row>
    <row r="1155" spans="1:20" x14ac:dyDescent="0.25">
      <c r="A1155" t="s">
        <v>14</v>
      </c>
      <c r="B1155" t="s">
        <v>1421</v>
      </c>
      <c r="C1155" t="s">
        <v>4378</v>
      </c>
      <c r="D1155" t="s">
        <v>4379</v>
      </c>
      <c r="E1155">
        <v>47300046647</v>
      </c>
      <c r="F1155" t="s">
        <v>16</v>
      </c>
      <c r="G1155" t="s">
        <v>87</v>
      </c>
      <c r="H1155" t="s">
        <v>100</v>
      </c>
      <c r="K1155" t="s">
        <v>2892</v>
      </c>
      <c r="L1155" t="s">
        <v>19</v>
      </c>
      <c r="M1155" t="s">
        <v>46</v>
      </c>
      <c r="N1155" s="2">
        <v>45474</v>
      </c>
      <c r="O1155" s="2">
        <v>45504</v>
      </c>
      <c r="P1155">
        <v>10000</v>
      </c>
      <c r="Q1155">
        <v>10000</v>
      </c>
      <c r="R1155" t="s">
        <v>3032</v>
      </c>
    </row>
    <row r="1156" spans="1:20" x14ac:dyDescent="0.25">
      <c r="A1156" t="s">
        <v>14</v>
      </c>
      <c r="B1156" t="s">
        <v>1419</v>
      </c>
      <c r="C1156" t="s">
        <v>4382</v>
      </c>
      <c r="D1156" t="s">
        <v>4383</v>
      </c>
      <c r="E1156">
        <v>47300070514</v>
      </c>
      <c r="F1156" t="s">
        <v>27</v>
      </c>
      <c r="G1156" t="s">
        <v>28</v>
      </c>
      <c r="H1156" t="s">
        <v>29</v>
      </c>
      <c r="K1156" t="s">
        <v>4266</v>
      </c>
      <c r="L1156" t="s">
        <v>19</v>
      </c>
      <c r="M1156" t="s">
        <v>63</v>
      </c>
      <c r="N1156" s="2">
        <v>45474</v>
      </c>
      <c r="O1156" s="2">
        <v>45504</v>
      </c>
      <c r="P1156">
        <v>200000</v>
      </c>
      <c r="Q1156">
        <v>200000</v>
      </c>
      <c r="R1156" t="s">
        <v>3414</v>
      </c>
      <c r="S1156" t="s">
        <v>1420</v>
      </c>
      <c r="T1156">
        <v>467.4</v>
      </c>
    </row>
    <row r="1157" spans="1:20" x14ac:dyDescent="0.25">
      <c r="A1157" t="s">
        <v>14</v>
      </c>
      <c r="B1157" t="s">
        <v>1419</v>
      </c>
      <c r="C1157" t="s">
        <v>4376</v>
      </c>
      <c r="D1157" t="s">
        <v>4407</v>
      </c>
      <c r="E1157">
        <v>47300070514</v>
      </c>
      <c r="F1157" t="s">
        <v>27</v>
      </c>
      <c r="G1157" t="s">
        <v>28</v>
      </c>
      <c r="H1157" t="s">
        <v>29</v>
      </c>
      <c r="K1157" t="s">
        <v>3294</v>
      </c>
      <c r="L1157" t="s">
        <v>19</v>
      </c>
      <c r="M1157" t="s">
        <v>46</v>
      </c>
      <c r="N1157" s="2">
        <v>45474</v>
      </c>
      <c r="O1157" s="2">
        <v>45504</v>
      </c>
      <c r="P1157">
        <v>500</v>
      </c>
      <c r="Q1157">
        <v>500</v>
      </c>
      <c r="R1157" t="s">
        <v>3414</v>
      </c>
    </row>
    <row r="1158" spans="1:20" x14ac:dyDescent="0.25">
      <c r="A1158" t="s">
        <v>14</v>
      </c>
      <c r="B1158" t="s">
        <v>1417</v>
      </c>
      <c r="C1158" t="s">
        <v>4384</v>
      </c>
      <c r="D1158" t="s">
        <v>4391</v>
      </c>
      <c r="E1158">
        <v>47300026094</v>
      </c>
      <c r="F1158" t="s">
        <v>35</v>
      </c>
      <c r="G1158" t="s">
        <v>36</v>
      </c>
      <c r="H1158" t="s">
        <v>4359</v>
      </c>
      <c r="K1158" t="s">
        <v>4266</v>
      </c>
      <c r="L1158" t="s">
        <v>19</v>
      </c>
      <c r="M1158" t="s">
        <v>63</v>
      </c>
      <c r="N1158" s="2">
        <v>45474</v>
      </c>
      <c r="O1158" s="2">
        <v>45504</v>
      </c>
      <c r="P1158">
        <v>100000</v>
      </c>
      <c r="Q1158">
        <v>100000</v>
      </c>
      <c r="R1158" t="s">
        <v>3415</v>
      </c>
      <c r="S1158" t="s">
        <v>1418</v>
      </c>
      <c r="T1158">
        <v>233.7</v>
      </c>
    </row>
    <row r="1159" spans="1:20" x14ac:dyDescent="0.25">
      <c r="A1159" t="s">
        <v>14</v>
      </c>
      <c r="B1159" t="s">
        <v>1417</v>
      </c>
      <c r="C1159" t="s">
        <v>4384</v>
      </c>
      <c r="D1159" t="s">
        <v>4385</v>
      </c>
      <c r="E1159">
        <v>47300026094</v>
      </c>
      <c r="F1159" t="s">
        <v>35</v>
      </c>
      <c r="G1159" t="s">
        <v>36</v>
      </c>
      <c r="H1159" t="s">
        <v>4359</v>
      </c>
      <c r="K1159" t="s">
        <v>3294</v>
      </c>
      <c r="L1159" t="s">
        <v>19</v>
      </c>
      <c r="M1159" t="s">
        <v>46</v>
      </c>
      <c r="N1159" s="2">
        <v>45474</v>
      </c>
      <c r="O1159" s="2">
        <v>45504</v>
      </c>
      <c r="P1159">
        <v>500</v>
      </c>
      <c r="Q1159">
        <v>500</v>
      </c>
      <c r="R1159" t="s">
        <v>3415</v>
      </c>
    </row>
    <row r="1160" spans="1:20" x14ac:dyDescent="0.25">
      <c r="A1160" t="s">
        <v>14</v>
      </c>
      <c r="B1160" t="s">
        <v>1416</v>
      </c>
      <c r="C1160" t="s">
        <v>4400</v>
      </c>
      <c r="D1160" t="s">
        <v>4401</v>
      </c>
      <c r="E1160">
        <v>47300046779</v>
      </c>
      <c r="F1160" t="s">
        <v>42</v>
      </c>
      <c r="G1160" t="s">
        <v>28</v>
      </c>
      <c r="H1160" t="s">
        <v>199</v>
      </c>
      <c r="K1160" t="s">
        <v>3294</v>
      </c>
      <c r="L1160" t="s">
        <v>19</v>
      </c>
      <c r="M1160" t="s">
        <v>46</v>
      </c>
      <c r="N1160" s="2">
        <v>45474</v>
      </c>
      <c r="O1160" s="2">
        <v>45504</v>
      </c>
      <c r="P1160">
        <v>500</v>
      </c>
      <c r="Q1160">
        <v>500</v>
      </c>
      <c r="R1160" t="s">
        <v>3416</v>
      </c>
    </row>
    <row r="1161" spans="1:20" x14ac:dyDescent="0.25">
      <c r="A1161" t="s">
        <v>14</v>
      </c>
      <c r="B1161" t="s">
        <v>1415</v>
      </c>
      <c r="C1161" t="s">
        <v>4378</v>
      </c>
      <c r="D1161" t="s">
        <v>4379</v>
      </c>
      <c r="E1161">
        <v>47300046977</v>
      </c>
      <c r="F1161" t="s">
        <v>16</v>
      </c>
      <c r="G1161" t="s">
        <v>17</v>
      </c>
      <c r="H1161" t="s">
        <v>175</v>
      </c>
      <c r="K1161" t="s">
        <v>3294</v>
      </c>
      <c r="L1161" t="s">
        <v>19</v>
      </c>
      <c r="M1161" t="s">
        <v>46</v>
      </c>
      <c r="N1161" s="2">
        <v>45474</v>
      </c>
      <c r="O1161" s="2">
        <v>45504</v>
      </c>
      <c r="P1161">
        <v>500</v>
      </c>
      <c r="Q1161">
        <v>500</v>
      </c>
      <c r="R1161" t="s">
        <v>3033</v>
      </c>
    </row>
    <row r="1162" spans="1:20" x14ac:dyDescent="0.25">
      <c r="A1162" t="s">
        <v>14</v>
      </c>
      <c r="B1162" t="s">
        <v>1415</v>
      </c>
      <c r="C1162" t="s">
        <v>4382</v>
      </c>
      <c r="D1162" t="s">
        <v>4383</v>
      </c>
      <c r="E1162">
        <v>47300046977</v>
      </c>
      <c r="F1162" t="s">
        <v>16</v>
      </c>
      <c r="G1162" t="s">
        <v>17</v>
      </c>
      <c r="H1162" t="s">
        <v>175</v>
      </c>
      <c r="K1162" t="s">
        <v>3197</v>
      </c>
      <c r="L1162" t="s">
        <v>19</v>
      </c>
      <c r="M1162" t="s">
        <v>46</v>
      </c>
      <c r="N1162" s="2">
        <v>45474</v>
      </c>
      <c r="O1162" s="2">
        <v>45504</v>
      </c>
      <c r="P1162">
        <v>145500</v>
      </c>
      <c r="Q1162">
        <v>145500</v>
      </c>
      <c r="R1162" t="s">
        <v>3033</v>
      </c>
    </row>
    <row r="1163" spans="1:20" x14ac:dyDescent="0.25">
      <c r="A1163" t="s">
        <v>14</v>
      </c>
      <c r="B1163" t="s">
        <v>1415</v>
      </c>
      <c r="C1163" t="s">
        <v>4376</v>
      </c>
      <c r="D1163" t="s">
        <v>4407</v>
      </c>
      <c r="E1163">
        <v>47300046977</v>
      </c>
      <c r="F1163" t="s">
        <v>16</v>
      </c>
      <c r="G1163" t="s">
        <v>17</v>
      </c>
      <c r="H1163" t="s">
        <v>175</v>
      </c>
      <c r="K1163" t="s">
        <v>2892</v>
      </c>
      <c r="L1163" t="s">
        <v>19</v>
      </c>
      <c r="M1163" t="s">
        <v>46</v>
      </c>
      <c r="N1163" s="2">
        <v>45474</v>
      </c>
      <c r="O1163" s="2">
        <v>45504</v>
      </c>
      <c r="P1163">
        <v>10000</v>
      </c>
      <c r="Q1163">
        <v>10000</v>
      </c>
      <c r="R1163" t="s">
        <v>3033</v>
      </c>
    </row>
    <row r="1164" spans="1:20" x14ac:dyDescent="0.25">
      <c r="A1164" t="s">
        <v>14</v>
      </c>
      <c r="B1164" t="s">
        <v>1413</v>
      </c>
      <c r="C1164" t="s">
        <v>4387</v>
      </c>
      <c r="D1164" t="s">
        <v>4388</v>
      </c>
      <c r="E1164">
        <v>47300046761</v>
      </c>
      <c r="F1164" t="s">
        <v>42</v>
      </c>
      <c r="G1164" t="s">
        <v>28</v>
      </c>
      <c r="H1164" t="s">
        <v>43</v>
      </c>
      <c r="K1164" t="s">
        <v>4266</v>
      </c>
      <c r="L1164" t="s">
        <v>19</v>
      </c>
      <c r="M1164" t="s">
        <v>63</v>
      </c>
      <c r="N1164" s="2">
        <v>45474</v>
      </c>
      <c r="O1164" s="2">
        <v>45504</v>
      </c>
      <c r="P1164">
        <v>50000</v>
      </c>
      <c r="Q1164">
        <v>50000</v>
      </c>
      <c r="R1164" t="s">
        <v>3417</v>
      </c>
      <c r="S1164" t="s">
        <v>1414</v>
      </c>
      <c r="T1164">
        <v>116.9</v>
      </c>
    </row>
    <row r="1165" spans="1:20" x14ac:dyDescent="0.25">
      <c r="A1165" t="s">
        <v>14</v>
      </c>
      <c r="B1165" t="s">
        <v>1413</v>
      </c>
      <c r="C1165" t="s">
        <v>4387</v>
      </c>
      <c r="D1165" t="s">
        <v>4388</v>
      </c>
      <c r="E1165">
        <v>47300046761</v>
      </c>
      <c r="F1165" t="s">
        <v>42</v>
      </c>
      <c r="G1165" t="s">
        <v>28</v>
      </c>
      <c r="H1165" t="s">
        <v>43</v>
      </c>
      <c r="K1165" t="s">
        <v>3294</v>
      </c>
      <c r="L1165" t="s">
        <v>19</v>
      </c>
      <c r="M1165" t="s">
        <v>46</v>
      </c>
      <c r="N1165" s="2">
        <v>45474</v>
      </c>
      <c r="O1165" s="2">
        <v>45504</v>
      </c>
      <c r="P1165">
        <v>500</v>
      </c>
      <c r="Q1165">
        <v>500</v>
      </c>
      <c r="R1165" t="s">
        <v>3417</v>
      </c>
    </row>
    <row r="1166" spans="1:20" x14ac:dyDescent="0.25">
      <c r="A1166" t="s">
        <v>14</v>
      </c>
      <c r="B1166" t="s">
        <v>1411</v>
      </c>
      <c r="C1166" t="s">
        <v>4414</v>
      </c>
      <c r="D1166" t="s">
        <v>4401</v>
      </c>
      <c r="E1166">
        <v>47300025708</v>
      </c>
      <c r="F1166" t="s">
        <v>35</v>
      </c>
      <c r="G1166" t="s">
        <v>36</v>
      </c>
      <c r="H1166" t="s">
        <v>4360</v>
      </c>
      <c r="K1166" t="s">
        <v>4266</v>
      </c>
      <c r="L1166" t="s">
        <v>19</v>
      </c>
      <c r="M1166" t="s">
        <v>63</v>
      </c>
      <c r="N1166" s="2">
        <v>45474</v>
      </c>
      <c r="O1166" s="2">
        <v>45504</v>
      </c>
      <c r="P1166">
        <v>150000</v>
      </c>
      <c r="Q1166">
        <v>150000</v>
      </c>
      <c r="R1166" t="s">
        <v>3418</v>
      </c>
      <c r="S1166" t="s">
        <v>1412</v>
      </c>
      <c r="T1166">
        <v>350.5</v>
      </c>
    </row>
    <row r="1167" spans="1:20" x14ac:dyDescent="0.25">
      <c r="A1167" t="s">
        <v>14</v>
      </c>
      <c r="B1167" t="s">
        <v>1411</v>
      </c>
      <c r="C1167" t="s">
        <v>4419</v>
      </c>
      <c r="D1167" t="s">
        <v>4368</v>
      </c>
      <c r="E1167">
        <v>47300025708</v>
      </c>
      <c r="F1167" t="s">
        <v>35</v>
      </c>
      <c r="G1167" t="s">
        <v>36</v>
      </c>
      <c r="H1167" t="s">
        <v>4360</v>
      </c>
      <c r="K1167" t="s">
        <v>3294</v>
      </c>
      <c r="L1167" t="s">
        <v>19</v>
      </c>
      <c r="M1167" t="s">
        <v>46</v>
      </c>
      <c r="N1167" s="2">
        <v>45474</v>
      </c>
      <c r="O1167" s="2">
        <v>45504</v>
      </c>
      <c r="P1167">
        <v>500</v>
      </c>
      <c r="Q1167">
        <v>500</v>
      </c>
      <c r="R1167" t="s">
        <v>3418</v>
      </c>
    </row>
    <row r="1168" spans="1:20" x14ac:dyDescent="0.25">
      <c r="A1168" t="s">
        <v>14</v>
      </c>
      <c r="B1168" t="s">
        <v>1410</v>
      </c>
      <c r="C1168" t="s">
        <v>4418</v>
      </c>
      <c r="D1168" t="s">
        <v>4368</v>
      </c>
      <c r="E1168">
        <v>47300070654</v>
      </c>
      <c r="F1168" t="s">
        <v>16</v>
      </c>
      <c r="G1168" t="s">
        <v>28</v>
      </c>
      <c r="H1168" t="s">
        <v>217</v>
      </c>
      <c r="K1168" t="s">
        <v>3294</v>
      </c>
      <c r="L1168" t="s">
        <v>19</v>
      </c>
      <c r="M1168" t="s">
        <v>46</v>
      </c>
      <c r="N1168" s="2">
        <v>45474</v>
      </c>
      <c r="O1168" s="2">
        <v>45504</v>
      </c>
      <c r="P1168">
        <v>500</v>
      </c>
      <c r="Q1168">
        <v>500</v>
      </c>
      <c r="R1168" t="s">
        <v>3216</v>
      </c>
    </row>
    <row r="1169" spans="1:20" x14ac:dyDescent="0.25">
      <c r="A1169" t="s">
        <v>14</v>
      </c>
      <c r="B1169" t="s">
        <v>1410</v>
      </c>
      <c r="C1169" t="s">
        <v>4386</v>
      </c>
      <c r="D1169" t="s">
        <v>4368</v>
      </c>
      <c r="E1169">
        <v>47300070654</v>
      </c>
      <c r="F1169" t="s">
        <v>16</v>
      </c>
      <c r="G1169" t="s">
        <v>28</v>
      </c>
      <c r="H1169" t="s">
        <v>217</v>
      </c>
      <c r="K1169" t="s">
        <v>3197</v>
      </c>
      <c r="L1169" t="s">
        <v>19</v>
      </c>
      <c r="M1169" t="s">
        <v>46</v>
      </c>
      <c r="N1169" s="2">
        <v>45474</v>
      </c>
      <c r="O1169" s="2">
        <v>45504</v>
      </c>
      <c r="P1169">
        <v>145500</v>
      </c>
      <c r="Q1169">
        <v>145500</v>
      </c>
      <c r="R1169" t="s">
        <v>3216</v>
      </c>
    </row>
    <row r="1170" spans="1:20" x14ac:dyDescent="0.25">
      <c r="A1170" t="s">
        <v>14</v>
      </c>
      <c r="B1170" t="s">
        <v>1408</v>
      </c>
      <c r="C1170" t="s">
        <v>4384</v>
      </c>
      <c r="D1170" t="s">
        <v>4379</v>
      </c>
      <c r="E1170">
        <v>47300070654</v>
      </c>
      <c r="F1170" t="s">
        <v>16</v>
      </c>
      <c r="G1170" t="s">
        <v>28</v>
      </c>
      <c r="H1170" t="s">
        <v>217</v>
      </c>
      <c r="K1170" t="s">
        <v>4266</v>
      </c>
      <c r="L1170" t="s">
        <v>19</v>
      </c>
      <c r="M1170" t="s">
        <v>63</v>
      </c>
      <c r="N1170" s="2">
        <v>45474</v>
      </c>
      <c r="O1170" s="2">
        <v>45504</v>
      </c>
      <c r="P1170">
        <v>20000</v>
      </c>
      <c r="Q1170">
        <v>20000</v>
      </c>
      <c r="R1170" t="s">
        <v>4278</v>
      </c>
      <c r="S1170" t="s">
        <v>1409</v>
      </c>
      <c r="T1170">
        <v>46.8</v>
      </c>
    </row>
    <row r="1171" spans="1:20" x14ac:dyDescent="0.25">
      <c r="A1171" t="s">
        <v>14</v>
      </c>
      <c r="B1171" t="s">
        <v>1407</v>
      </c>
      <c r="C1171" t="s">
        <v>4365</v>
      </c>
      <c r="D1171" t="s">
        <v>4403</v>
      </c>
      <c r="E1171">
        <v>47300070480</v>
      </c>
      <c r="F1171" t="s">
        <v>16</v>
      </c>
      <c r="G1171" t="s">
        <v>28</v>
      </c>
      <c r="H1171" t="s">
        <v>184</v>
      </c>
      <c r="K1171" t="s">
        <v>3294</v>
      </c>
      <c r="L1171" t="s">
        <v>19</v>
      </c>
      <c r="M1171" t="s">
        <v>46</v>
      </c>
      <c r="N1171" s="2">
        <v>45474</v>
      </c>
      <c r="O1171" s="2">
        <v>45504</v>
      </c>
      <c r="P1171">
        <v>500</v>
      </c>
      <c r="Q1171">
        <v>500</v>
      </c>
      <c r="R1171" t="s">
        <v>3419</v>
      </c>
    </row>
    <row r="1172" spans="1:20" x14ac:dyDescent="0.25">
      <c r="A1172" t="s">
        <v>14</v>
      </c>
      <c r="B1172" t="s">
        <v>1405</v>
      </c>
      <c r="C1172" t="s">
        <v>4371</v>
      </c>
      <c r="D1172" t="s">
        <v>4368</v>
      </c>
      <c r="E1172">
        <v>47300070480</v>
      </c>
      <c r="F1172" t="s">
        <v>16</v>
      </c>
      <c r="G1172" t="s">
        <v>28</v>
      </c>
      <c r="H1172" t="s">
        <v>184</v>
      </c>
      <c r="K1172" t="s">
        <v>4266</v>
      </c>
      <c r="L1172" t="s">
        <v>19</v>
      </c>
      <c r="M1172" t="s">
        <v>63</v>
      </c>
      <c r="N1172" s="2">
        <v>45474</v>
      </c>
      <c r="O1172" s="2">
        <v>45504</v>
      </c>
      <c r="P1172">
        <v>30000</v>
      </c>
      <c r="Q1172">
        <v>30000</v>
      </c>
      <c r="R1172" t="s">
        <v>4279</v>
      </c>
      <c r="S1172" t="s">
        <v>1406</v>
      </c>
      <c r="T1172">
        <v>70.099999999999994</v>
      </c>
    </row>
    <row r="1173" spans="1:20" x14ac:dyDescent="0.25">
      <c r="A1173" t="s">
        <v>14</v>
      </c>
      <c r="B1173" t="s">
        <v>1403</v>
      </c>
      <c r="C1173" t="s">
        <v>2927</v>
      </c>
      <c r="D1173" t="s">
        <v>4375</v>
      </c>
      <c r="E1173">
        <v>47300026094</v>
      </c>
      <c r="F1173" t="s">
        <v>35</v>
      </c>
      <c r="G1173" t="s">
        <v>36</v>
      </c>
      <c r="H1173" t="s">
        <v>4359</v>
      </c>
      <c r="K1173" t="s">
        <v>3795</v>
      </c>
      <c r="L1173" t="s">
        <v>19</v>
      </c>
      <c r="M1173" t="s">
        <v>20</v>
      </c>
      <c r="P1173">
        <v>250000</v>
      </c>
      <c r="Q1173">
        <v>250000</v>
      </c>
      <c r="R1173" t="s">
        <v>3899</v>
      </c>
      <c r="S1173" t="s">
        <v>1404</v>
      </c>
      <c r="T1173">
        <v>584.29999999999995</v>
      </c>
    </row>
    <row r="1174" spans="1:20" x14ac:dyDescent="0.25">
      <c r="A1174" t="s">
        <v>14</v>
      </c>
      <c r="B1174" t="s">
        <v>1401</v>
      </c>
      <c r="C1174" t="s">
        <v>4419</v>
      </c>
      <c r="D1174" t="s">
        <v>4368</v>
      </c>
      <c r="E1174">
        <v>47300025690</v>
      </c>
      <c r="F1174" t="s">
        <v>35</v>
      </c>
      <c r="G1174" t="s">
        <v>36</v>
      </c>
      <c r="H1174" t="s">
        <v>37</v>
      </c>
      <c r="K1174" t="s">
        <v>4266</v>
      </c>
      <c r="L1174" t="s">
        <v>19</v>
      </c>
      <c r="M1174" t="s">
        <v>63</v>
      </c>
      <c r="N1174" s="2">
        <v>45474</v>
      </c>
      <c r="O1174" s="2">
        <v>45504</v>
      </c>
      <c r="P1174">
        <v>150000</v>
      </c>
      <c r="Q1174">
        <v>150000</v>
      </c>
      <c r="R1174" t="s">
        <v>3420</v>
      </c>
      <c r="S1174" t="s">
        <v>1402</v>
      </c>
      <c r="T1174">
        <v>350.5</v>
      </c>
    </row>
    <row r="1175" spans="1:20" x14ac:dyDescent="0.25">
      <c r="A1175" t="s">
        <v>14</v>
      </c>
      <c r="B1175" t="s">
        <v>1401</v>
      </c>
      <c r="C1175" t="s">
        <v>4418</v>
      </c>
      <c r="D1175" t="s">
        <v>4368</v>
      </c>
      <c r="E1175">
        <v>47300025690</v>
      </c>
      <c r="F1175" t="s">
        <v>35</v>
      </c>
      <c r="G1175" t="s">
        <v>36</v>
      </c>
      <c r="H1175" t="s">
        <v>37</v>
      </c>
      <c r="K1175" t="s">
        <v>3294</v>
      </c>
      <c r="L1175" t="s">
        <v>19</v>
      </c>
      <c r="M1175" t="s">
        <v>46</v>
      </c>
      <c r="N1175" s="2">
        <v>45474</v>
      </c>
      <c r="O1175" s="2">
        <v>45504</v>
      </c>
      <c r="P1175">
        <v>500</v>
      </c>
      <c r="Q1175">
        <v>500</v>
      </c>
      <c r="R1175" t="s">
        <v>3420</v>
      </c>
    </row>
    <row r="1176" spans="1:20" x14ac:dyDescent="0.25">
      <c r="A1176" t="s">
        <v>14</v>
      </c>
      <c r="B1176" t="s">
        <v>1399</v>
      </c>
      <c r="C1176" t="s">
        <v>4386</v>
      </c>
      <c r="D1176" t="s">
        <v>4368</v>
      </c>
      <c r="E1176">
        <v>47300012151</v>
      </c>
      <c r="F1176" t="s">
        <v>35</v>
      </c>
      <c r="G1176" t="s">
        <v>36</v>
      </c>
      <c r="H1176" t="s">
        <v>4362</v>
      </c>
      <c r="K1176" t="s">
        <v>4266</v>
      </c>
      <c r="L1176" t="s">
        <v>19</v>
      </c>
      <c r="M1176" t="s">
        <v>63</v>
      </c>
      <c r="N1176" s="2">
        <v>45474</v>
      </c>
      <c r="O1176" s="2">
        <v>45504</v>
      </c>
      <c r="P1176">
        <v>100000</v>
      </c>
      <c r="Q1176">
        <v>100000</v>
      </c>
      <c r="R1176" t="s">
        <v>3421</v>
      </c>
      <c r="S1176" t="s">
        <v>1400</v>
      </c>
      <c r="T1176">
        <v>233.7</v>
      </c>
    </row>
    <row r="1177" spans="1:20" x14ac:dyDescent="0.25">
      <c r="A1177" t="s">
        <v>14</v>
      </c>
      <c r="B1177" t="s">
        <v>1399</v>
      </c>
      <c r="C1177" t="s">
        <v>4367</v>
      </c>
      <c r="D1177" t="s">
        <v>4368</v>
      </c>
      <c r="E1177">
        <v>47300012151</v>
      </c>
      <c r="F1177" t="s">
        <v>35</v>
      </c>
      <c r="G1177" t="s">
        <v>36</v>
      </c>
      <c r="H1177" t="s">
        <v>4362</v>
      </c>
      <c r="K1177" t="s">
        <v>3294</v>
      </c>
      <c r="L1177" t="s">
        <v>19</v>
      </c>
      <c r="M1177" t="s">
        <v>46</v>
      </c>
      <c r="N1177" s="2">
        <v>45474</v>
      </c>
      <c r="O1177" s="2">
        <v>45504</v>
      </c>
      <c r="P1177">
        <v>500</v>
      </c>
      <c r="Q1177">
        <v>500</v>
      </c>
      <c r="R1177" t="s">
        <v>3421</v>
      </c>
    </row>
    <row r="1178" spans="1:20" x14ac:dyDescent="0.25">
      <c r="A1178" t="s">
        <v>14</v>
      </c>
      <c r="B1178" t="s">
        <v>1397</v>
      </c>
      <c r="C1178" t="s">
        <v>4384</v>
      </c>
      <c r="D1178" t="s">
        <v>4379</v>
      </c>
      <c r="E1178">
        <v>47300020147</v>
      </c>
      <c r="F1178" t="s">
        <v>35</v>
      </c>
      <c r="G1178" t="s">
        <v>36</v>
      </c>
      <c r="H1178" t="s">
        <v>4363</v>
      </c>
      <c r="K1178" t="s">
        <v>4266</v>
      </c>
      <c r="L1178" t="s">
        <v>19</v>
      </c>
      <c r="M1178" t="s">
        <v>63</v>
      </c>
      <c r="N1178" s="2">
        <v>45474</v>
      </c>
      <c r="O1178" s="2">
        <v>45504</v>
      </c>
      <c r="P1178">
        <v>100000</v>
      </c>
      <c r="Q1178">
        <v>100000</v>
      </c>
      <c r="R1178" t="s">
        <v>3422</v>
      </c>
      <c r="S1178" t="s">
        <v>1398</v>
      </c>
      <c r="T1178">
        <v>233.8</v>
      </c>
    </row>
    <row r="1179" spans="1:20" x14ac:dyDescent="0.25">
      <c r="A1179" t="s">
        <v>14</v>
      </c>
      <c r="B1179" t="s">
        <v>1397</v>
      </c>
      <c r="C1179" t="s">
        <v>4365</v>
      </c>
      <c r="D1179" t="s">
        <v>4403</v>
      </c>
      <c r="E1179">
        <v>47300020147</v>
      </c>
      <c r="F1179" t="s">
        <v>35</v>
      </c>
      <c r="G1179" t="s">
        <v>36</v>
      </c>
      <c r="H1179" t="s">
        <v>4363</v>
      </c>
      <c r="K1179" t="s">
        <v>3294</v>
      </c>
      <c r="L1179" t="s">
        <v>19</v>
      </c>
      <c r="M1179" t="s">
        <v>46</v>
      </c>
      <c r="N1179" s="2">
        <v>45474</v>
      </c>
      <c r="O1179" s="2">
        <v>45504</v>
      </c>
      <c r="P1179">
        <v>500</v>
      </c>
      <c r="Q1179">
        <v>500</v>
      </c>
      <c r="R1179" t="s">
        <v>3422</v>
      </c>
    </row>
    <row r="1180" spans="1:20" x14ac:dyDescent="0.25">
      <c r="A1180" t="s">
        <v>14</v>
      </c>
      <c r="B1180" t="s">
        <v>1395</v>
      </c>
      <c r="C1180" t="s">
        <v>4371</v>
      </c>
      <c r="D1180" t="s">
        <v>4368</v>
      </c>
      <c r="E1180">
        <v>47300070837</v>
      </c>
      <c r="F1180" t="s">
        <v>16</v>
      </c>
      <c r="G1180" t="s">
        <v>23</v>
      </c>
      <c r="H1180" t="s">
        <v>165</v>
      </c>
      <c r="K1180" t="s">
        <v>4266</v>
      </c>
      <c r="L1180" t="s">
        <v>19</v>
      </c>
      <c r="M1180" t="s">
        <v>63</v>
      </c>
      <c r="N1180" s="2">
        <v>45474</v>
      </c>
      <c r="O1180" s="2">
        <v>45504</v>
      </c>
      <c r="P1180">
        <v>10000</v>
      </c>
      <c r="Q1180">
        <v>10000</v>
      </c>
      <c r="R1180" t="s">
        <v>4280</v>
      </c>
      <c r="S1180" t="s">
        <v>1396</v>
      </c>
      <c r="T1180">
        <v>23.4</v>
      </c>
    </row>
    <row r="1181" spans="1:20" x14ac:dyDescent="0.25">
      <c r="A1181" t="s">
        <v>14</v>
      </c>
      <c r="B1181" t="s">
        <v>1394</v>
      </c>
      <c r="C1181" t="s">
        <v>4365</v>
      </c>
      <c r="D1181" t="s">
        <v>4403</v>
      </c>
      <c r="E1181">
        <v>47300046746</v>
      </c>
      <c r="F1181" t="s">
        <v>16</v>
      </c>
      <c r="G1181" t="s">
        <v>28</v>
      </c>
      <c r="H1181" t="s">
        <v>32</v>
      </c>
      <c r="K1181" t="s">
        <v>3294</v>
      </c>
      <c r="L1181" t="s">
        <v>19</v>
      </c>
      <c r="M1181" t="s">
        <v>46</v>
      </c>
      <c r="N1181" s="2">
        <v>45474</v>
      </c>
      <c r="O1181" s="2">
        <v>45504</v>
      </c>
      <c r="P1181">
        <v>500</v>
      </c>
      <c r="Q1181">
        <v>500</v>
      </c>
      <c r="R1181" t="s">
        <v>3034</v>
      </c>
    </row>
    <row r="1182" spans="1:20" x14ac:dyDescent="0.25">
      <c r="A1182" t="s">
        <v>14</v>
      </c>
      <c r="B1182" t="s">
        <v>1394</v>
      </c>
      <c r="C1182" t="s">
        <v>4414</v>
      </c>
      <c r="D1182" t="s">
        <v>4401</v>
      </c>
      <c r="E1182">
        <v>47300046746</v>
      </c>
      <c r="F1182" t="s">
        <v>16</v>
      </c>
      <c r="G1182" t="s">
        <v>28</v>
      </c>
      <c r="H1182" t="s">
        <v>32</v>
      </c>
      <c r="K1182" t="s">
        <v>2892</v>
      </c>
      <c r="L1182" t="s">
        <v>19</v>
      </c>
      <c r="M1182" t="s">
        <v>46</v>
      </c>
      <c r="N1182" s="2">
        <v>45474</v>
      </c>
      <c r="O1182" s="2">
        <v>45504</v>
      </c>
      <c r="P1182">
        <v>10000</v>
      </c>
      <c r="Q1182">
        <v>10000</v>
      </c>
      <c r="R1182" t="s">
        <v>3034</v>
      </c>
    </row>
    <row r="1183" spans="1:20" x14ac:dyDescent="0.25">
      <c r="A1183" t="s">
        <v>14</v>
      </c>
      <c r="B1183" t="s">
        <v>1392</v>
      </c>
      <c r="C1183" t="s">
        <v>4376</v>
      </c>
      <c r="D1183" t="s">
        <v>4377</v>
      </c>
      <c r="E1183">
        <v>47300046399</v>
      </c>
      <c r="F1183" t="s">
        <v>16</v>
      </c>
      <c r="G1183" t="s">
        <v>28</v>
      </c>
      <c r="H1183" t="s">
        <v>122</v>
      </c>
      <c r="K1183" t="s">
        <v>4266</v>
      </c>
      <c r="L1183" t="s">
        <v>19</v>
      </c>
      <c r="M1183" t="s">
        <v>63</v>
      </c>
      <c r="N1183" s="2">
        <v>45474</v>
      </c>
      <c r="O1183" s="2">
        <v>45504</v>
      </c>
      <c r="P1183">
        <v>250000</v>
      </c>
      <c r="Q1183">
        <v>250000</v>
      </c>
      <c r="R1183" t="s">
        <v>4281</v>
      </c>
      <c r="S1183" t="s">
        <v>1393</v>
      </c>
      <c r="T1183">
        <v>584.29999999999995</v>
      </c>
    </row>
    <row r="1184" spans="1:20" x14ac:dyDescent="0.25">
      <c r="A1184" t="s">
        <v>14</v>
      </c>
      <c r="B1184" t="s">
        <v>1390</v>
      </c>
      <c r="C1184" t="s">
        <v>4406</v>
      </c>
      <c r="D1184" t="s">
        <v>4394</v>
      </c>
      <c r="E1184">
        <v>47300046399</v>
      </c>
      <c r="F1184" t="s">
        <v>16</v>
      </c>
      <c r="G1184" t="s">
        <v>28</v>
      </c>
      <c r="H1184" t="s">
        <v>122</v>
      </c>
      <c r="K1184" t="s">
        <v>3795</v>
      </c>
      <c r="L1184" t="s">
        <v>19</v>
      </c>
      <c r="M1184" t="s">
        <v>20</v>
      </c>
      <c r="P1184">
        <v>250000</v>
      </c>
      <c r="Q1184">
        <v>250000</v>
      </c>
      <c r="R1184" t="s">
        <v>3900</v>
      </c>
      <c r="S1184" t="s">
        <v>1391</v>
      </c>
      <c r="T1184">
        <v>584.29999999999995</v>
      </c>
    </row>
    <row r="1185" spans="1:20" x14ac:dyDescent="0.25">
      <c r="A1185" t="s">
        <v>14</v>
      </c>
      <c r="B1185" t="s">
        <v>1388</v>
      </c>
      <c r="C1185" t="s">
        <v>4392</v>
      </c>
      <c r="D1185" t="s">
        <v>4393</v>
      </c>
      <c r="E1185">
        <v>47300070795</v>
      </c>
      <c r="F1185" t="s">
        <v>16</v>
      </c>
      <c r="G1185" t="s">
        <v>87</v>
      </c>
      <c r="H1185" t="s">
        <v>88</v>
      </c>
      <c r="K1185" t="s">
        <v>4266</v>
      </c>
      <c r="L1185" t="s">
        <v>19</v>
      </c>
      <c r="M1185" t="s">
        <v>63</v>
      </c>
      <c r="N1185" s="2">
        <v>45474</v>
      </c>
      <c r="O1185" s="2">
        <v>45504</v>
      </c>
      <c r="P1185">
        <v>50000</v>
      </c>
      <c r="Q1185">
        <v>50000</v>
      </c>
      <c r="R1185" t="s">
        <v>3423</v>
      </c>
      <c r="S1185" t="s">
        <v>1389</v>
      </c>
      <c r="T1185">
        <v>116.8</v>
      </c>
    </row>
    <row r="1186" spans="1:20" x14ac:dyDescent="0.25">
      <c r="A1186" t="s">
        <v>14</v>
      </c>
      <c r="B1186" t="s">
        <v>1388</v>
      </c>
      <c r="C1186" t="s">
        <v>4365</v>
      </c>
      <c r="D1186" t="s">
        <v>4366</v>
      </c>
      <c r="E1186">
        <v>47300070795</v>
      </c>
      <c r="F1186" t="s">
        <v>16</v>
      </c>
      <c r="G1186" t="s">
        <v>87</v>
      </c>
      <c r="H1186" t="s">
        <v>88</v>
      </c>
      <c r="K1186" t="s">
        <v>3294</v>
      </c>
      <c r="L1186" t="s">
        <v>19</v>
      </c>
      <c r="M1186" t="s">
        <v>46</v>
      </c>
      <c r="N1186" s="2">
        <v>45474</v>
      </c>
      <c r="O1186" s="2">
        <v>45504</v>
      </c>
      <c r="P1186">
        <v>500</v>
      </c>
      <c r="Q1186">
        <v>500</v>
      </c>
      <c r="R1186" t="s">
        <v>3423</v>
      </c>
    </row>
    <row r="1187" spans="1:20" x14ac:dyDescent="0.25">
      <c r="A1187" t="s">
        <v>14</v>
      </c>
      <c r="B1187" t="s">
        <v>1387</v>
      </c>
      <c r="C1187" t="s">
        <v>4372</v>
      </c>
      <c r="D1187" t="s">
        <v>4373</v>
      </c>
      <c r="E1187">
        <v>47300046282</v>
      </c>
      <c r="F1187" t="s">
        <v>16</v>
      </c>
      <c r="G1187" t="s">
        <v>17</v>
      </c>
      <c r="H1187" t="s">
        <v>746</v>
      </c>
      <c r="K1187" t="s">
        <v>3294</v>
      </c>
      <c r="L1187" t="s">
        <v>19</v>
      </c>
      <c r="M1187" t="s">
        <v>46</v>
      </c>
      <c r="N1187" s="2">
        <v>45474</v>
      </c>
      <c r="O1187" s="2">
        <v>45565</v>
      </c>
      <c r="P1187">
        <v>500</v>
      </c>
      <c r="Q1187">
        <v>1500</v>
      </c>
      <c r="R1187" t="s">
        <v>3035</v>
      </c>
    </row>
    <row r="1188" spans="1:20" x14ac:dyDescent="0.25">
      <c r="A1188" t="s">
        <v>14</v>
      </c>
      <c r="B1188" t="s">
        <v>1387</v>
      </c>
      <c r="C1188" t="s">
        <v>4374</v>
      </c>
      <c r="D1188" t="s">
        <v>4375</v>
      </c>
      <c r="E1188">
        <v>47300046282</v>
      </c>
      <c r="F1188" t="s">
        <v>16</v>
      </c>
      <c r="G1188" t="s">
        <v>17</v>
      </c>
      <c r="H1188" t="s">
        <v>746</v>
      </c>
      <c r="K1188" t="s">
        <v>2892</v>
      </c>
      <c r="L1188" t="s">
        <v>19</v>
      </c>
      <c r="M1188" t="s">
        <v>46</v>
      </c>
      <c r="N1188" s="2">
        <v>45474</v>
      </c>
      <c r="O1188" s="2">
        <v>45565</v>
      </c>
      <c r="P1188">
        <v>10000</v>
      </c>
      <c r="Q1188">
        <v>30000</v>
      </c>
      <c r="R1188" t="s">
        <v>3035</v>
      </c>
    </row>
    <row r="1189" spans="1:20" x14ac:dyDescent="0.25">
      <c r="A1189" t="s">
        <v>14</v>
      </c>
      <c r="B1189" t="s">
        <v>1385</v>
      </c>
      <c r="C1189" t="s">
        <v>4376</v>
      </c>
      <c r="D1189" t="s">
        <v>4377</v>
      </c>
      <c r="E1189">
        <v>47300070563</v>
      </c>
      <c r="F1189" t="s">
        <v>16</v>
      </c>
      <c r="G1189" t="s">
        <v>28</v>
      </c>
      <c r="H1189" t="s">
        <v>359</v>
      </c>
      <c r="K1189" t="s">
        <v>4266</v>
      </c>
      <c r="L1189" t="s">
        <v>19</v>
      </c>
      <c r="M1189" t="s">
        <v>63</v>
      </c>
      <c r="N1189" s="2">
        <v>45474</v>
      </c>
      <c r="O1189" s="2">
        <v>45504</v>
      </c>
      <c r="P1189">
        <v>100000</v>
      </c>
      <c r="Q1189">
        <v>100000</v>
      </c>
      <c r="R1189" t="s">
        <v>3036</v>
      </c>
      <c r="S1189" t="s">
        <v>1386</v>
      </c>
      <c r="T1189">
        <v>233.8</v>
      </c>
    </row>
    <row r="1190" spans="1:20" x14ac:dyDescent="0.25">
      <c r="A1190" t="s">
        <v>14</v>
      </c>
      <c r="B1190" t="s">
        <v>1385</v>
      </c>
      <c r="C1190" t="s">
        <v>4414</v>
      </c>
      <c r="D1190" t="s">
        <v>4401</v>
      </c>
      <c r="E1190">
        <v>47300070563</v>
      </c>
      <c r="F1190" t="s">
        <v>16</v>
      </c>
      <c r="G1190" t="s">
        <v>28</v>
      </c>
      <c r="H1190" t="s">
        <v>359</v>
      </c>
      <c r="K1190" t="s">
        <v>3294</v>
      </c>
      <c r="L1190" t="s">
        <v>19</v>
      </c>
      <c r="M1190" t="s">
        <v>46</v>
      </c>
      <c r="N1190" s="2">
        <v>45474</v>
      </c>
      <c r="O1190" s="2">
        <v>45504</v>
      </c>
      <c r="P1190">
        <v>500</v>
      </c>
      <c r="Q1190">
        <v>500</v>
      </c>
      <c r="R1190" t="s">
        <v>3036</v>
      </c>
    </row>
    <row r="1191" spans="1:20" x14ac:dyDescent="0.25">
      <c r="A1191" t="s">
        <v>14</v>
      </c>
      <c r="B1191" t="s">
        <v>1385</v>
      </c>
      <c r="C1191" t="s">
        <v>4406</v>
      </c>
      <c r="D1191" t="s">
        <v>4394</v>
      </c>
      <c r="E1191">
        <v>47300070563</v>
      </c>
      <c r="F1191" t="s">
        <v>16</v>
      </c>
      <c r="G1191" t="s">
        <v>28</v>
      </c>
      <c r="H1191" t="s">
        <v>359</v>
      </c>
      <c r="K1191" t="s">
        <v>3197</v>
      </c>
      <c r="L1191" t="s">
        <v>19</v>
      </c>
      <c r="M1191" t="s">
        <v>46</v>
      </c>
      <c r="N1191" s="2">
        <v>45474</v>
      </c>
      <c r="O1191" s="2">
        <v>45504</v>
      </c>
      <c r="P1191">
        <v>145500</v>
      </c>
      <c r="Q1191">
        <v>145500</v>
      </c>
      <c r="R1191" t="s">
        <v>3036</v>
      </c>
    </row>
    <row r="1192" spans="1:20" x14ac:dyDescent="0.25">
      <c r="A1192" t="s">
        <v>14</v>
      </c>
      <c r="B1192" t="s">
        <v>1385</v>
      </c>
      <c r="C1192" t="s">
        <v>4364</v>
      </c>
      <c r="D1192" t="s">
        <v>4358</v>
      </c>
      <c r="E1192">
        <v>47300070563</v>
      </c>
      <c r="F1192" t="s">
        <v>16</v>
      </c>
      <c r="G1192" t="s">
        <v>28</v>
      </c>
      <c r="H1192" t="s">
        <v>359</v>
      </c>
      <c r="K1192" t="s">
        <v>2892</v>
      </c>
      <c r="L1192" t="s">
        <v>19</v>
      </c>
      <c r="M1192" t="s">
        <v>46</v>
      </c>
      <c r="N1192" s="2">
        <v>45474</v>
      </c>
      <c r="O1192" s="2">
        <v>45504</v>
      </c>
      <c r="P1192">
        <v>10000</v>
      </c>
      <c r="Q1192">
        <v>10000</v>
      </c>
      <c r="R1192" t="s">
        <v>3036</v>
      </c>
    </row>
    <row r="1193" spans="1:20" x14ac:dyDescent="0.25">
      <c r="A1193" t="s">
        <v>14</v>
      </c>
      <c r="B1193" t="s">
        <v>1383</v>
      </c>
      <c r="C1193" t="s">
        <v>4392</v>
      </c>
      <c r="D1193" t="s">
        <v>4393</v>
      </c>
      <c r="E1193">
        <v>47300070688</v>
      </c>
      <c r="F1193" t="s">
        <v>16</v>
      </c>
      <c r="G1193" t="s">
        <v>17</v>
      </c>
      <c r="H1193" t="s">
        <v>149</v>
      </c>
      <c r="K1193" t="s">
        <v>4266</v>
      </c>
      <c r="L1193" t="s">
        <v>19</v>
      </c>
      <c r="M1193" t="s">
        <v>63</v>
      </c>
      <c r="N1193" s="2">
        <v>45474</v>
      </c>
      <c r="O1193" s="2">
        <v>45504</v>
      </c>
      <c r="P1193">
        <v>30000</v>
      </c>
      <c r="Q1193">
        <v>30000</v>
      </c>
      <c r="R1193" t="s">
        <v>3037</v>
      </c>
      <c r="S1193" t="s">
        <v>1384</v>
      </c>
      <c r="T1193">
        <v>70.099999999999994</v>
      </c>
    </row>
    <row r="1194" spans="1:20" x14ac:dyDescent="0.25">
      <c r="A1194" t="s">
        <v>14</v>
      </c>
      <c r="B1194" t="s">
        <v>1383</v>
      </c>
      <c r="C1194" t="s">
        <v>4365</v>
      </c>
      <c r="D1194" t="s">
        <v>4366</v>
      </c>
      <c r="E1194">
        <v>47300070688</v>
      </c>
      <c r="F1194" t="s">
        <v>16</v>
      </c>
      <c r="G1194" t="s">
        <v>17</v>
      </c>
      <c r="H1194" t="s">
        <v>149</v>
      </c>
      <c r="K1194" t="s">
        <v>3294</v>
      </c>
      <c r="L1194" t="s">
        <v>19</v>
      </c>
      <c r="M1194" t="s">
        <v>46</v>
      </c>
      <c r="N1194" s="2">
        <v>45474</v>
      </c>
      <c r="O1194" s="2">
        <v>45504</v>
      </c>
      <c r="P1194">
        <v>500</v>
      </c>
      <c r="Q1194">
        <v>500</v>
      </c>
      <c r="R1194" t="s">
        <v>3037</v>
      </c>
    </row>
    <row r="1195" spans="1:20" x14ac:dyDescent="0.25">
      <c r="A1195" t="s">
        <v>14</v>
      </c>
      <c r="B1195" t="s">
        <v>1383</v>
      </c>
      <c r="C1195" t="s">
        <v>4374</v>
      </c>
      <c r="D1195" t="s">
        <v>4375</v>
      </c>
      <c r="E1195">
        <v>47300070688</v>
      </c>
      <c r="F1195" t="s">
        <v>16</v>
      </c>
      <c r="G1195" t="s">
        <v>17</v>
      </c>
      <c r="H1195" t="s">
        <v>149</v>
      </c>
      <c r="K1195" t="s">
        <v>2892</v>
      </c>
      <c r="L1195" t="s">
        <v>19</v>
      </c>
      <c r="M1195" t="s">
        <v>46</v>
      </c>
      <c r="N1195" s="2">
        <v>45474</v>
      </c>
      <c r="O1195" s="2">
        <v>45504</v>
      </c>
      <c r="P1195">
        <v>10000</v>
      </c>
      <c r="Q1195">
        <v>10000</v>
      </c>
      <c r="R1195" t="s">
        <v>3037</v>
      </c>
    </row>
    <row r="1196" spans="1:20" x14ac:dyDescent="0.25">
      <c r="A1196" t="s">
        <v>14</v>
      </c>
      <c r="B1196" t="s">
        <v>1381</v>
      </c>
      <c r="C1196" t="s">
        <v>4378</v>
      </c>
      <c r="D1196" t="s">
        <v>4379</v>
      </c>
      <c r="E1196">
        <v>47300070704</v>
      </c>
      <c r="F1196" t="s">
        <v>16</v>
      </c>
      <c r="G1196" t="s">
        <v>28</v>
      </c>
      <c r="H1196" t="s">
        <v>146</v>
      </c>
      <c r="K1196" t="s">
        <v>4266</v>
      </c>
      <c r="L1196" t="s">
        <v>19</v>
      </c>
      <c r="M1196" t="s">
        <v>63</v>
      </c>
      <c r="N1196" s="2">
        <v>45474</v>
      </c>
      <c r="O1196" s="2">
        <v>45504</v>
      </c>
      <c r="P1196">
        <v>250000</v>
      </c>
      <c r="Q1196">
        <v>250000</v>
      </c>
      <c r="R1196" t="s">
        <v>4282</v>
      </c>
      <c r="S1196" t="s">
        <v>1382</v>
      </c>
      <c r="T1196">
        <v>584.29999999999995</v>
      </c>
    </row>
    <row r="1197" spans="1:20" x14ac:dyDescent="0.25">
      <c r="A1197" t="s">
        <v>14</v>
      </c>
      <c r="B1197" t="s">
        <v>1379</v>
      </c>
      <c r="C1197" t="s">
        <v>4378</v>
      </c>
      <c r="D1197" t="s">
        <v>4379</v>
      </c>
      <c r="E1197">
        <v>47300046688</v>
      </c>
      <c r="F1197" t="s">
        <v>16</v>
      </c>
      <c r="G1197" t="s">
        <v>17</v>
      </c>
      <c r="H1197" t="s">
        <v>154</v>
      </c>
      <c r="K1197" t="s">
        <v>4266</v>
      </c>
      <c r="L1197" t="s">
        <v>19</v>
      </c>
      <c r="M1197" t="s">
        <v>63</v>
      </c>
      <c r="N1197" s="2">
        <v>45474</v>
      </c>
      <c r="O1197" s="2">
        <v>45504</v>
      </c>
      <c r="P1197">
        <v>50000</v>
      </c>
      <c r="Q1197">
        <v>50000</v>
      </c>
      <c r="R1197" t="s">
        <v>3038</v>
      </c>
      <c r="S1197" t="s">
        <v>1380</v>
      </c>
      <c r="T1197">
        <v>116.9</v>
      </c>
    </row>
    <row r="1198" spans="1:20" x14ac:dyDescent="0.25">
      <c r="A1198" t="s">
        <v>14</v>
      </c>
      <c r="B1198" t="s">
        <v>1379</v>
      </c>
      <c r="C1198" t="s">
        <v>4414</v>
      </c>
      <c r="D1198" t="s">
        <v>4401</v>
      </c>
      <c r="E1198">
        <v>47300046688</v>
      </c>
      <c r="F1198" t="s">
        <v>16</v>
      </c>
      <c r="G1198" t="s">
        <v>17</v>
      </c>
      <c r="H1198" t="s">
        <v>154</v>
      </c>
      <c r="K1198" t="s">
        <v>3294</v>
      </c>
      <c r="L1198" t="s">
        <v>19</v>
      </c>
      <c r="M1198" t="s">
        <v>46</v>
      </c>
      <c r="N1198" s="2">
        <v>45474</v>
      </c>
      <c r="O1198" s="2">
        <v>45504</v>
      </c>
      <c r="P1198">
        <v>500</v>
      </c>
      <c r="Q1198">
        <v>500</v>
      </c>
      <c r="R1198" t="s">
        <v>3038</v>
      </c>
    </row>
    <row r="1199" spans="1:20" x14ac:dyDescent="0.25">
      <c r="A1199" t="s">
        <v>14</v>
      </c>
      <c r="B1199" t="s">
        <v>1379</v>
      </c>
      <c r="C1199" t="s">
        <v>4406</v>
      </c>
      <c r="D1199" t="s">
        <v>4394</v>
      </c>
      <c r="E1199">
        <v>47300046688</v>
      </c>
      <c r="F1199" t="s">
        <v>16</v>
      </c>
      <c r="G1199" t="s">
        <v>17</v>
      </c>
      <c r="H1199" t="s">
        <v>154</v>
      </c>
      <c r="K1199" t="s">
        <v>3197</v>
      </c>
      <c r="L1199" t="s">
        <v>19</v>
      </c>
      <c r="M1199" t="s">
        <v>46</v>
      </c>
      <c r="N1199" s="2">
        <v>45474</v>
      </c>
      <c r="O1199" s="2">
        <v>45504</v>
      </c>
      <c r="P1199">
        <v>145500</v>
      </c>
      <c r="Q1199">
        <v>145500</v>
      </c>
      <c r="R1199" t="s">
        <v>3038</v>
      </c>
    </row>
    <row r="1200" spans="1:20" x14ac:dyDescent="0.25">
      <c r="A1200" t="s">
        <v>14</v>
      </c>
      <c r="B1200" t="s">
        <v>1379</v>
      </c>
      <c r="C1200" t="s">
        <v>4365</v>
      </c>
      <c r="D1200" t="s">
        <v>4366</v>
      </c>
      <c r="E1200">
        <v>47300046688</v>
      </c>
      <c r="F1200" t="s">
        <v>16</v>
      </c>
      <c r="G1200" t="s">
        <v>17</v>
      </c>
      <c r="H1200" t="s">
        <v>154</v>
      </c>
      <c r="K1200" t="s">
        <v>2892</v>
      </c>
      <c r="L1200" t="s">
        <v>19</v>
      </c>
      <c r="M1200" t="s">
        <v>46</v>
      </c>
      <c r="N1200" s="2">
        <v>45474</v>
      </c>
      <c r="O1200" s="2">
        <v>45504</v>
      </c>
      <c r="P1200">
        <v>10000</v>
      </c>
      <c r="Q1200">
        <v>10000</v>
      </c>
      <c r="R1200" t="s">
        <v>3038</v>
      </c>
    </row>
    <row r="1201" spans="1:25" x14ac:dyDescent="0.25">
      <c r="A1201" t="s">
        <v>14</v>
      </c>
      <c r="B1201" t="s">
        <v>1377</v>
      </c>
      <c r="C1201" t="s">
        <v>4376</v>
      </c>
      <c r="D1201" t="s">
        <v>4377</v>
      </c>
      <c r="E1201">
        <v>47300046746</v>
      </c>
      <c r="F1201" t="s">
        <v>16</v>
      </c>
      <c r="G1201" t="s">
        <v>28</v>
      </c>
      <c r="H1201" t="s">
        <v>32</v>
      </c>
      <c r="K1201" t="s">
        <v>4266</v>
      </c>
      <c r="L1201" t="s">
        <v>19</v>
      </c>
      <c r="M1201" t="s">
        <v>63</v>
      </c>
      <c r="N1201" s="2">
        <v>45474</v>
      </c>
      <c r="O1201" s="2">
        <v>45504</v>
      </c>
      <c r="P1201">
        <v>10000</v>
      </c>
      <c r="Q1201">
        <v>10000</v>
      </c>
      <c r="R1201" t="s">
        <v>3217</v>
      </c>
      <c r="S1201" t="s">
        <v>1378</v>
      </c>
      <c r="T1201">
        <v>23.3</v>
      </c>
    </row>
    <row r="1202" spans="1:25" x14ac:dyDescent="0.25">
      <c r="A1202" t="s">
        <v>14</v>
      </c>
      <c r="B1202" t="s">
        <v>1377</v>
      </c>
      <c r="C1202" t="s">
        <v>4406</v>
      </c>
      <c r="D1202" t="s">
        <v>4394</v>
      </c>
      <c r="E1202">
        <v>47300046746</v>
      </c>
      <c r="F1202" t="s">
        <v>16</v>
      </c>
      <c r="G1202" t="s">
        <v>28</v>
      </c>
      <c r="H1202" t="s">
        <v>32</v>
      </c>
      <c r="K1202" t="s">
        <v>3197</v>
      </c>
      <c r="L1202" t="s">
        <v>19</v>
      </c>
      <c r="M1202" t="s">
        <v>46</v>
      </c>
      <c r="N1202" s="2">
        <v>45474</v>
      </c>
      <c r="O1202" s="2">
        <v>45504</v>
      </c>
      <c r="P1202">
        <v>145500</v>
      </c>
      <c r="Q1202">
        <v>145500</v>
      </c>
      <c r="R1202" t="s">
        <v>3217</v>
      </c>
    </row>
    <row r="1203" spans="1:25" x14ac:dyDescent="0.25">
      <c r="A1203" t="s">
        <v>14</v>
      </c>
      <c r="B1203" t="s">
        <v>1375</v>
      </c>
      <c r="C1203" t="s">
        <v>4392</v>
      </c>
      <c r="D1203" t="s">
        <v>4393</v>
      </c>
      <c r="E1203">
        <v>47300046720</v>
      </c>
      <c r="F1203" t="s">
        <v>16</v>
      </c>
      <c r="G1203" t="s">
        <v>28</v>
      </c>
      <c r="H1203" t="s">
        <v>143</v>
      </c>
      <c r="K1203" t="s">
        <v>4266</v>
      </c>
      <c r="L1203" t="s">
        <v>19</v>
      </c>
      <c r="M1203" t="s">
        <v>63</v>
      </c>
      <c r="N1203" s="2">
        <v>45474</v>
      </c>
      <c r="O1203" s="2">
        <v>45504</v>
      </c>
      <c r="P1203">
        <v>50000</v>
      </c>
      <c r="Q1203">
        <v>50000</v>
      </c>
      <c r="R1203" t="s">
        <v>3039</v>
      </c>
      <c r="S1203" t="s">
        <v>1376</v>
      </c>
      <c r="T1203">
        <v>116.8</v>
      </c>
    </row>
    <row r="1204" spans="1:25" x14ac:dyDescent="0.25">
      <c r="A1204" t="s">
        <v>14</v>
      </c>
      <c r="B1204" t="s">
        <v>1375</v>
      </c>
      <c r="C1204" t="s">
        <v>4365</v>
      </c>
      <c r="D1204" t="s">
        <v>4366</v>
      </c>
      <c r="E1204">
        <v>47300046720</v>
      </c>
      <c r="F1204" t="s">
        <v>16</v>
      </c>
      <c r="G1204" t="s">
        <v>28</v>
      </c>
      <c r="H1204" t="s">
        <v>143</v>
      </c>
      <c r="K1204" t="s">
        <v>3294</v>
      </c>
      <c r="L1204" t="s">
        <v>19</v>
      </c>
      <c r="M1204" t="s">
        <v>46</v>
      </c>
      <c r="N1204" s="2">
        <v>45474</v>
      </c>
      <c r="O1204" s="2">
        <v>45504</v>
      </c>
      <c r="P1204">
        <v>500</v>
      </c>
      <c r="Q1204">
        <v>500</v>
      </c>
      <c r="R1204" t="s">
        <v>3039</v>
      </c>
    </row>
    <row r="1205" spans="1:25" x14ac:dyDescent="0.25">
      <c r="A1205" t="s">
        <v>14</v>
      </c>
      <c r="B1205" t="s">
        <v>1375</v>
      </c>
      <c r="C1205" t="s">
        <v>4372</v>
      </c>
      <c r="D1205" t="s">
        <v>4373</v>
      </c>
      <c r="E1205">
        <v>47300046720</v>
      </c>
      <c r="F1205" t="s">
        <v>16</v>
      </c>
      <c r="G1205" t="s">
        <v>28</v>
      </c>
      <c r="H1205" t="s">
        <v>143</v>
      </c>
      <c r="K1205" t="s">
        <v>2892</v>
      </c>
      <c r="L1205" t="s">
        <v>19</v>
      </c>
      <c r="M1205" t="s">
        <v>46</v>
      </c>
      <c r="N1205" s="2">
        <v>45474</v>
      </c>
      <c r="O1205" s="2">
        <v>45504</v>
      </c>
      <c r="P1205">
        <v>10000</v>
      </c>
      <c r="Q1205">
        <v>10000</v>
      </c>
      <c r="R1205" t="s">
        <v>3039</v>
      </c>
    </row>
    <row r="1206" spans="1:25" x14ac:dyDescent="0.25">
      <c r="A1206" t="s">
        <v>14</v>
      </c>
      <c r="B1206" t="s">
        <v>1373</v>
      </c>
      <c r="C1206" t="s">
        <v>4412</v>
      </c>
      <c r="D1206" t="s">
        <v>4377</v>
      </c>
      <c r="E1206">
        <v>47300046662</v>
      </c>
      <c r="F1206" t="s">
        <v>16</v>
      </c>
      <c r="G1206" t="s">
        <v>28</v>
      </c>
      <c r="H1206" t="s">
        <v>129</v>
      </c>
      <c r="K1206" t="s">
        <v>4266</v>
      </c>
      <c r="L1206" t="s">
        <v>19</v>
      </c>
      <c r="M1206" t="s">
        <v>63</v>
      </c>
      <c r="N1206" s="2">
        <v>45474</v>
      </c>
      <c r="O1206" s="2">
        <v>45504</v>
      </c>
      <c r="P1206">
        <v>50000</v>
      </c>
      <c r="Q1206">
        <v>50000</v>
      </c>
      <c r="R1206" t="s">
        <v>3040</v>
      </c>
      <c r="S1206" t="s">
        <v>1374</v>
      </c>
      <c r="T1206">
        <v>116.8</v>
      </c>
    </row>
    <row r="1207" spans="1:25" x14ac:dyDescent="0.25">
      <c r="A1207" t="s">
        <v>14</v>
      </c>
      <c r="B1207" t="s">
        <v>1373</v>
      </c>
      <c r="C1207" t="s">
        <v>4394</v>
      </c>
      <c r="D1207" t="s">
        <v>4421</v>
      </c>
      <c r="E1207">
        <v>47300046662</v>
      </c>
      <c r="F1207" t="s">
        <v>16</v>
      </c>
      <c r="G1207" t="s">
        <v>28</v>
      </c>
      <c r="H1207" t="s">
        <v>129</v>
      </c>
      <c r="K1207" t="s">
        <v>3294</v>
      </c>
      <c r="L1207" t="s">
        <v>19</v>
      </c>
      <c r="M1207" t="s">
        <v>46</v>
      </c>
      <c r="N1207" s="2">
        <v>45474</v>
      </c>
      <c r="O1207" s="2">
        <v>45504</v>
      </c>
      <c r="P1207">
        <v>500</v>
      </c>
      <c r="Q1207">
        <v>500</v>
      </c>
      <c r="R1207" t="s">
        <v>3040</v>
      </c>
      <c r="X1207" t="s">
        <v>4422</v>
      </c>
      <c r="Y1207" t="s">
        <v>4423</v>
      </c>
    </row>
    <row r="1208" spans="1:25" x14ac:dyDescent="0.25">
      <c r="A1208" t="s">
        <v>14</v>
      </c>
      <c r="B1208" t="s">
        <v>1373</v>
      </c>
      <c r="C1208" t="s">
        <v>4396</v>
      </c>
      <c r="D1208" t="s">
        <v>4397</v>
      </c>
      <c r="E1208">
        <v>47300046662</v>
      </c>
      <c r="F1208" t="s">
        <v>16</v>
      </c>
      <c r="G1208" t="s">
        <v>28</v>
      </c>
      <c r="H1208" t="s">
        <v>129</v>
      </c>
      <c r="K1208" t="s">
        <v>3197</v>
      </c>
      <c r="L1208" t="s">
        <v>19</v>
      </c>
      <c r="M1208" t="s">
        <v>46</v>
      </c>
      <c r="N1208" s="2">
        <v>45474</v>
      </c>
      <c r="O1208" s="2">
        <v>45504</v>
      </c>
      <c r="P1208">
        <v>145500</v>
      </c>
      <c r="Q1208">
        <v>145500</v>
      </c>
      <c r="R1208" t="s">
        <v>3040</v>
      </c>
    </row>
    <row r="1209" spans="1:25" x14ac:dyDescent="0.25">
      <c r="A1209" t="s">
        <v>14</v>
      </c>
      <c r="B1209" t="s">
        <v>1373</v>
      </c>
      <c r="C1209" t="s">
        <v>4412</v>
      </c>
      <c r="D1209" t="s">
        <v>4377</v>
      </c>
      <c r="E1209">
        <v>47300046662</v>
      </c>
      <c r="F1209" t="s">
        <v>16</v>
      </c>
      <c r="G1209" t="s">
        <v>28</v>
      </c>
      <c r="H1209" t="s">
        <v>129</v>
      </c>
      <c r="K1209" t="s">
        <v>2892</v>
      </c>
      <c r="L1209" t="s">
        <v>19</v>
      </c>
      <c r="M1209" t="s">
        <v>46</v>
      </c>
      <c r="N1209" s="2">
        <v>45474</v>
      </c>
      <c r="O1209" s="2">
        <v>45504</v>
      </c>
      <c r="P1209">
        <v>10000</v>
      </c>
      <c r="Q1209">
        <v>10000</v>
      </c>
      <c r="R1209" t="s">
        <v>3040</v>
      </c>
    </row>
    <row r="1210" spans="1:25" x14ac:dyDescent="0.25">
      <c r="A1210" t="s">
        <v>14</v>
      </c>
      <c r="B1210" t="s">
        <v>1371</v>
      </c>
      <c r="C1210" t="s">
        <v>4394</v>
      </c>
      <c r="D1210" t="s">
        <v>4421</v>
      </c>
      <c r="E1210">
        <v>47300070498</v>
      </c>
      <c r="F1210" t="s">
        <v>16</v>
      </c>
      <c r="G1210" t="s">
        <v>28</v>
      </c>
      <c r="H1210" t="s">
        <v>794</v>
      </c>
      <c r="I1210" t="s">
        <v>2853</v>
      </c>
      <c r="J1210" t="s">
        <v>2852</v>
      </c>
      <c r="K1210" t="s">
        <v>4266</v>
      </c>
      <c r="L1210" t="s">
        <v>19</v>
      </c>
      <c r="M1210" t="s">
        <v>63</v>
      </c>
      <c r="N1210" s="2">
        <v>45474</v>
      </c>
      <c r="O1210" s="2">
        <v>45504</v>
      </c>
      <c r="P1210">
        <v>30000</v>
      </c>
      <c r="Q1210">
        <v>30000</v>
      </c>
      <c r="R1210" t="s">
        <v>3041</v>
      </c>
      <c r="S1210" t="s">
        <v>1372</v>
      </c>
      <c r="T1210">
        <v>70.099999999999994</v>
      </c>
      <c r="X1210" t="s">
        <v>4422</v>
      </c>
      <c r="Y1210" t="s">
        <v>4423</v>
      </c>
    </row>
    <row r="1211" spans="1:25" x14ac:dyDescent="0.25">
      <c r="A1211" t="s">
        <v>14</v>
      </c>
      <c r="B1211" t="s">
        <v>1371</v>
      </c>
      <c r="C1211" t="s">
        <v>4396</v>
      </c>
      <c r="D1211" t="s">
        <v>4397</v>
      </c>
      <c r="E1211">
        <v>47300070498</v>
      </c>
      <c r="F1211" t="s">
        <v>16</v>
      </c>
      <c r="G1211" t="s">
        <v>28</v>
      </c>
      <c r="H1211" t="s">
        <v>794</v>
      </c>
      <c r="I1211" t="s">
        <v>2853</v>
      </c>
      <c r="J1211" t="s">
        <v>2852</v>
      </c>
      <c r="K1211" t="s">
        <v>3294</v>
      </c>
      <c r="L1211" t="s">
        <v>19</v>
      </c>
      <c r="M1211" t="s">
        <v>46</v>
      </c>
      <c r="N1211" s="2">
        <v>45474</v>
      </c>
      <c r="O1211" s="2">
        <v>45504</v>
      </c>
      <c r="P1211">
        <v>500</v>
      </c>
      <c r="Q1211">
        <v>500</v>
      </c>
      <c r="R1211" t="s">
        <v>3041</v>
      </c>
    </row>
    <row r="1212" spans="1:25" x14ac:dyDescent="0.25">
      <c r="A1212" t="s">
        <v>14</v>
      </c>
      <c r="B1212" t="s">
        <v>1371</v>
      </c>
      <c r="C1212" t="s">
        <v>4394</v>
      </c>
      <c r="D1212" t="s">
        <v>4421</v>
      </c>
      <c r="E1212">
        <v>47300070498</v>
      </c>
      <c r="F1212" t="s">
        <v>16</v>
      </c>
      <c r="G1212" t="s">
        <v>28</v>
      </c>
      <c r="H1212" t="s">
        <v>794</v>
      </c>
      <c r="I1212" t="s">
        <v>2853</v>
      </c>
      <c r="J1212" t="s">
        <v>2852</v>
      </c>
      <c r="K1212" t="s">
        <v>3197</v>
      </c>
      <c r="L1212" t="s">
        <v>19</v>
      </c>
      <c r="M1212" t="s">
        <v>46</v>
      </c>
      <c r="N1212" s="2">
        <v>45474</v>
      </c>
      <c r="O1212" s="2">
        <v>45504</v>
      </c>
      <c r="P1212">
        <v>145500</v>
      </c>
      <c r="Q1212">
        <v>145500</v>
      </c>
      <c r="R1212" t="s">
        <v>3041</v>
      </c>
      <c r="X1212" t="s">
        <v>4422</v>
      </c>
      <c r="Y1212" t="s">
        <v>4423</v>
      </c>
    </row>
    <row r="1213" spans="1:25" x14ac:dyDescent="0.25">
      <c r="A1213" t="s">
        <v>14</v>
      </c>
      <c r="B1213" t="s">
        <v>1371</v>
      </c>
      <c r="C1213" t="s">
        <v>4396</v>
      </c>
      <c r="D1213" t="s">
        <v>4397</v>
      </c>
      <c r="E1213">
        <v>47300070498</v>
      </c>
      <c r="F1213" t="s">
        <v>16</v>
      </c>
      <c r="G1213" t="s">
        <v>28</v>
      </c>
      <c r="H1213" t="s">
        <v>794</v>
      </c>
      <c r="I1213" t="s">
        <v>2853</v>
      </c>
      <c r="J1213" t="s">
        <v>2852</v>
      </c>
      <c r="K1213" t="s">
        <v>2892</v>
      </c>
      <c r="L1213" t="s">
        <v>19</v>
      </c>
      <c r="M1213" t="s">
        <v>46</v>
      </c>
      <c r="N1213" s="2">
        <v>45474</v>
      </c>
      <c r="O1213" s="2">
        <v>45504</v>
      </c>
      <c r="P1213">
        <v>10000</v>
      </c>
      <c r="Q1213">
        <v>10000</v>
      </c>
      <c r="R1213" t="s">
        <v>3041</v>
      </c>
    </row>
    <row r="1214" spans="1:25" x14ac:dyDescent="0.25">
      <c r="A1214" t="s">
        <v>14</v>
      </c>
      <c r="B1214" t="s">
        <v>1370</v>
      </c>
      <c r="C1214" t="s">
        <v>4412</v>
      </c>
      <c r="D1214" t="s">
        <v>4377</v>
      </c>
      <c r="E1214">
        <v>47300047280</v>
      </c>
      <c r="F1214" t="s">
        <v>16</v>
      </c>
      <c r="G1214" t="s">
        <v>28</v>
      </c>
      <c r="H1214" t="s">
        <v>274</v>
      </c>
      <c r="K1214" t="s">
        <v>2885</v>
      </c>
      <c r="L1214" t="s">
        <v>47</v>
      </c>
      <c r="N1214" s="2">
        <v>45444</v>
      </c>
      <c r="O1214" s="2">
        <v>45473</v>
      </c>
      <c r="P1214">
        <v>10000</v>
      </c>
      <c r="Q1214">
        <v>10000</v>
      </c>
      <c r="R1214" t="s">
        <v>2884</v>
      </c>
    </row>
    <row r="1215" spans="1:25" x14ac:dyDescent="0.25">
      <c r="A1215" t="s">
        <v>14</v>
      </c>
      <c r="B1215" t="s">
        <v>1368</v>
      </c>
      <c r="C1215" t="s">
        <v>4394</v>
      </c>
      <c r="D1215" t="s">
        <v>4421</v>
      </c>
      <c r="E1215">
        <v>47300046258</v>
      </c>
      <c r="F1215" t="s">
        <v>16</v>
      </c>
      <c r="G1215" t="s">
        <v>28</v>
      </c>
      <c r="H1215" t="s">
        <v>160</v>
      </c>
      <c r="K1215" t="s">
        <v>4266</v>
      </c>
      <c r="L1215" t="s">
        <v>19</v>
      </c>
      <c r="M1215" t="s">
        <v>63</v>
      </c>
      <c r="N1215" s="2">
        <v>45474</v>
      </c>
      <c r="O1215" s="2">
        <v>45504</v>
      </c>
      <c r="P1215">
        <v>40000</v>
      </c>
      <c r="Q1215">
        <v>40000</v>
      </c>
      <c r="R1215" t="s">
        <v>3042</v>
      </c>
      <c r="S1215" t="s">
        <v>1369</v>
      </c>
      <c r="T1215">
        <v>93.5</v>
      </c>
      <c r="X1215" t="s">
        <v>4422</v>
      </c>
      <c r="Y1215" t="s">
        <v>4423</v>
      </c>
    </row>
    <row r="1216" spans="1:25" x14ac:dyDescent="0.25">
      <c r="A1216" t="s">
        <v>14</v>
      </c>
      <c r="B1216" t="s">
        <v>1368</v>
      </c>
      <c r="C1216" t="s">
        <v>4396</v>
      </c>
      <c r="D1216" t="s">
        <v>4397</v>
      </c>
      <c r="E1216">
        <v>47300046258</v>
      </c>
      <c r="F1216" t="s">
        <v>16</v>
      </c>
      <c r="G1216" t="s">
        <v>28</v>
      </c>
      <c r="H1216" t="s">
        <v>160</v>
      </c>
      <c r="K1216" t="s">
        <v>3294</v>
      </c>
      <c r="L1216" t="s">
        <v>19</v>
      </c>
      <c r="M1216" t="s">
        <v>46</v>
      </c>
      <c r="N1216" s="2">
        <v>45474</v>
      </c>
      <c r="O1216" s="2">
        <v>45504</v>
      </c>
      <c r="P1216">
        <v>500</v>
      </c>
      <c r="Q1216">
        <v>500</v>
      </c>
      <c r="R1216" t="s">
        <v>3042</v>
      </c>
    </row>
    <row r="1217" spans="1:20" x14ac:dyDescent="0.25">
      <c r="A1217" t="s">
        <v>14</v>
      </c>
      <c r="B1217" t="s">
        <v>1368</v>
      </c>
      <c r="C1217" t="s">
        <v>4417</v>
      </c>
      <c r="D1217" t="s">
        <v>4397</v>
      </c>
      <c r="E1217">
        <v>47300046258</v>
      </c>
      <c r="F1217" t="s">
        <v>16</v>
      </c>
      <c r="G1217" t="s">
        <v>28</v>
      </c>
      <c r="H1217" t="s">
        <v>160</v>
      </c>
      <c r="K1217" t="s">
        <v>2892</v>
      </c>
      <c r="L1217" t="s">
        <v>19</v>
      </c>
      <c r="M1217" t="s">
        <v>46</v>
      </c>
      <c r="N1217" s="2">
        <v>45474</v>
      </c>
      <c r="O1217" s="2">
        <v>45504</v>
      </c>
      <c r="P1217">
        <v>10000</v>
      </c>
      <c r="Q1217">
        <v>10000</v>
      </c>
      <c r="R1217" t="s">
        <v>3042</v>
      </c>
    </row>
    <row r="1218" spans="1:20" x14ac:dyDescent="0.25">
      <c r="A1218" t="s">
        <v>14</v>
      </c>
      <c r="B1218" t="s">
        <v>1366</v>
      </c>
      <c r="C1218" t="s">
        <v>4400</v>
      </c>
      <c r="D1218" t="s">
        <v>4401</v>
      </c>
      <c r="E1218">
        <v>47300046746</v>
      </c>
      <c r="F1218" t="s">
        <v>16</v>
      </c>
      <c r="G1218" t="s">
        <v>28</v>
      </c>
      <c r="H1218" t="s">
        <v>32</v>
      </c>
      <c r="K1218" t="s">
        <v>3795</v>
      </c>
      <c r="L1218" t="s">
        <v>19</v>
      </c>
      <c r="M1218" t="s">
        <v>20</v>
      </c>
      <c r="P1218">
        <v>12000</v>
      </c>
      <c r="Q1218">
        <v>12000</v>
      </c>
      <c r="R1218" t="s">
        <v>3901</v>
      </c>
      <c r="S1218" t="s">
        <v>1367</v>
      </c>
      <c r="T1218">
        <v>28.1</v>
      </c>
    </row>
    <row r="1219" spans="1:20" x14ac:dyDescent="0.25">
      <c r="A1219" t="s">
        <v>14</v>
      </c>
      <c r="B1219" t="s">
        <v>1364</v>
      </c>
      <c r="C1219" t="s">
        <v>4414</v>
      </c>
      <c r="D1219" t="s">
        <v>4401</v>
      </c>
      <c r="E1219">
        <v>47300070522</v>
      </c>
      <c r="F1219" t="s">
        <v>16</v>
      </c>
      <c r="G1219" t="s">
        <v>17</v>
      </c>
      <c r="H1219" t="s">
        <v>18</v>
      </c>
      <c r="K1219" t="s">
        <v>3795</v>
      </c>
      <c r="L1219" t="s">
        <v>19</v>
      </c>
      <c r="M1219" t="s">
        <v>20</v>
      </c>
      <c r="P1219">
        <v>20000</v>
      </c>
      <c r="Q1219">
        <v>20000</v>
      </c>
      <c r="R1219" t="s">
        <v>3902</v>
      </c>
      <c r="S1219" t="s">
        <v>1365</v>
      </c>
      <c r="T1219">
        <v>46.8</v>
      </c>
    </row>
    <row r="1220" spans="1:20" x14ac:dyDescent="0.25">
      <c r="A1220" t="s">
        <v>14</v>
      </c>
      <c r="B1220" t="s">
        <v>1362</v>
      </c>
      <c r="C1220" t="s">
        <v>4408</v>
      </c>
      <c r="D1220" t="s">
        <v>4407</v>
      </c>
      <c r="E1220">
        <v>47300046761</v>
      </c>
      <c r="F1220" t="s">
        <v>42</v>
      </c>
      <c r="G1220" t="s">
        <v>28</v>
      </c>
      <c r="H1220" t="s">
        <v>43</v>
      </c>
      <c r="K1220" t="s">
        <v>3795</v>
      </c>
      <c r="L1220" t="s">
        <v>19</v>
      </c>
      <c r="M1220" t="s">
        <v>20</v>
      </c>
      <c r="P1220">
        <v>50000</v>
      </c>
      <c r="Q1220">
        <v>50000</v>
      </c>
      <c r="R1220" t="s">
        <v>3903</v>
      </c>
      <c r="S1220" t="s">
        <v>1363</v>
      </c>
      <c r="T1220">
        <v>116.8</v>
      </c>
    </row>
    <row r="1221" spans="1:20" x14ac:dyDescent="0.25">
      <c r="A1221" t="s">
        <v>14</v>
      </c>
      <c r="B1221" t="s">
        <v>1361</v>
      </c>
      <c r="C1221" t="s">
        <v>4387</v>
      </c>
      <c r="D1221" t="s">
        <v>4388</v>
      </c>
      <c r="E1221">
        <v>47300070753</v>
      </c>
      <c r="F1221" t="s">
        <v>16</v>
      </c>
      <c r="G1221" t="s">
        <v>17</v>
      </c>
      <c r="H1221" t="s">
        <v>82</v>
      </c>
      <c r="K1221" t="s">
        <v>3294</v>
      </c>
      <c r="L1221" t="s">
        <v>19</v>
      </c>
      <c r="M1221" t="s">
        <v>46</v>
      </c>
      <c r="N1221" s="2">
        <v>45474</v>
      </c>
      <c r="O1221" s="2">
        <v>45504</v>
      </c>
      <c r="P1221">
        <v>500</v>
      </c>
      <c r="Q1221">
        <v>500</v>
      </c>
      <c r="R1221" t="s">
        <v>3043</v>
      </c>
    </row>
    <row r="1222" spans="1:20" x14ac:dyDescent="0.25">
      <c r="A1222" t="s">
        <v>14</v>
      </c>
      <c r="B1222" t="s">
        <v>1361</v>
      </c>
      <c r="C1222" t="s">
        <v>4408</v>
      </c>
      <c r="D1222" t="s">
        <v>4407</v>
      </c>
      <c r="E1222">
        <v>47300070753</v>
      </c>
      <c r="F1222" t="s">
        <v>16</v>
      </c>
      <c r="G1222" t="s">
        <v>17</v>
      </c>
      <c r="H1222" t="s">
        <v>82</v>
      </c>
      <c r="K1222" t="s">
        <v>2892</v>
      </c>
      <c r="L1222" t="s">
        <v>19</v>
      </c>
      <c r="M1222" t="s">
        <v>46</v>
      </c>
      <c r="N1222" s="2">
        <v>45474</v>
      </c>
      <c r="O1222" s="2">
        <v>45504</v>
      </c>
      <c r="P1222">
        <v>10000</v>
      </c>
      <c r="Q1222">
        <v>10000</v>
      </c>
      <c r="R1222" t="s">
        <v>3043</v>
      </c>
    </row>
    <row r="1223" spans="1:20" x14ac:dyDescent="0.25">
      <c r="A1223" t="s">
        <v>14</v>
      </c>
      <c r="B1223" t="s">
        <v>1359</v>
      </c>
      <c r="C1223" t="s">
        <v>4371</v>
      </c>
      <c r="D1223" t="s">
        <v>4368</v>
      </c>
      <c r="E1223">
        <v>47300025708</v>
      </c>
      <c r="F1223" t="s">
        <v>35</v>
      </c>
      <c r="G1223" t="s">
        <v>36</v>
      </c>
      <c r="H1223" t="s">
        <v>4360</v>
      </c>
      <c r="K1223" t="s">
        <v>3795</v>
      </c>
      <c r="L1223" t="s">
        <v>19</v>
      </c>
      <c r="M1223" t="s">
        <v>20</v>
      </c>
      <c r="P1223">
        <v>98000</v>
      </c>
      <c r="Q1223">
        <v>98000</v>
      </c>
      <c r="R1223" t="s">
        <v>3904</v>
      </c>
      <c r="S1223" t="s">
        <v>1360</v>
      </c>
      <c r="T1223">
        <v>229.1</v>
      </c>
    </row>
    <row r="1224" spans="1:20" x14ac:dyDescent="0.25">
      <c r="A1224" t="s">
        <v>14</v>
      </c>
      <c r="B1224" t="s">
        <v>1357</v>
      </c>
      <c r="C1224" t="s">
        <v>4413</v>
      </c>
      <c r="D1224" t="s">
        <v>4395</v>
      </c>
      <c r="E1224">
        <v>47300047066</v>
      </c>
      <c r="F1224" t="s">
        <v>16</v>
      </c>
      <c r="G1224" t="s">
        <v>28</v>
      </c>
      <c r="H1224" t="s">
        <v>57</v>
      </c>
      <c r="K1224" t="s">
        <v>4266</v>
      </c>
      <c r="L1224" t="s">
        <v>19</v>
      </c>
      <c r="M1224" t="s">
        <v>63</v>
      </c>
      <c r="N1224" s="2">
        <v>45474</v>
      </c>
      <c r="O1224" s="2">
        <v>45504</v>
      </c>
      <c r="P1224">
        <v>70000</v>
      </c>
      <c r="Q1224">
        <v>70000</v>
      </c>
      <c r="R1224" t="s">
        <v>4283</v>
      </c>
      <c r="S1224" t="s">
        <v>1358</v>
      </c>
      <c r="T1224">
        <v>163.6</v>
      </c>
    </row>
    <row r="1225" spans="1:20" x14ac:dyDescent="0.25">
      <c r="A1225" t="s">
        <v>14</v>
      </c>
      <c r="B1225" t="s">
        <v>1356</v>
      </c>
      <c r="C1225" t="s">
        <v>4409</v>
      </c>
      <c r="D1225" t="s">
        <v>4410</v>
      </c>
      <c r="E1225">
        <v>47300046605</v>
      </c>
      <c r="F1225" t="s">
        <v>16</v>
      </c>
      <c r="G1225" t="s">
        <v>17</v>
      </c>
      <c r="H1225" t="s">
        <v>49</v>
      </c>
      <c r="K1225" t="s">
        <v>3197</v>
      </c>
      <c r="L1225" t="s">
        <v>19</v>
      </c>
      <c r="M1225" t="s">
        <v>46</v>
      </c>
      <c r="N1225" s="2">
        <v>45474</v>
      </c>
      <c r="O1225" s="2">
        <v>45504</v>
      </c>
      <c r="P1225">
        <v>145500</v>
      </c>
      <c r="Q1225">
        <v>145500</v>
      </c>
      <c r="R1225" t="s">
        <v>3218</v>
      </c>
    </row>
    <row r="1226" spans="1:20" x14ac:dyDescent="0.25">
      <c r="A1226" t="s">
        <v>14</v>
      </c>
      <c r="B1226" t="s">
        <v>1354</v>
      </c>
      <c r="C1226" t="s">
        <v>4413</v>
      </c>
      <c r="D1226" t="s">
        <v>4395</v>
      </c>
      <c r="E1226">
        <v>47300026185</v>
      </c>
      <c r="F1226" t="s">
        <v>35</v>
      </c>
      <c r="G1226" t="s">
        <v>36</v>
      </c>
      <c r="H1226" t="s">
        <v>4361</v>
      </c>
      <c r="K1226" t="s">
        <v>4266</v>
      </c>
      <c r="L1226" t="s">
        <v>19</v>
      </c>
      <c r="M1226" t="s">
        <v>63</v>
      </c>
      <c r="N1226" s="2">
        <v>45474</v>
      </c>
      <c r="O1226" s="2">
        <v>45504</v>
      </c>
      <c r="P1226">
        <v>100000</v>
      </c>
      <c r="Q1226">
        <v>100000</v>
      </c>
      <c r="R1226" t="s">
        <v>3424</v>
      </c>
      <c r="S1226" t="s">
        <v>1355</v>
      </c>
      <c r="T1226">
        <v>233.7</v>
      </c>
    </row>
    <row r="1227" spans="1:20" x14ac:dyDescent="0.25">
      <c r="A1227" t="s">
        <v>14</v>
      </c>
      <c r="B1227" t="s">
        <v>1354</v>
      </c>
      <c r="C1227" t="s">
        <v>4409</v>
      </c>
      <c r="D1227" t="s">
        <v>4410</v>
      </c>
      <c r="E1227">
        <v>47300026185</v>
      </c>
      <c r="F1227" t="s">
        <v>35</v>
      </c>
      <c r="G1227" t="s">
        <v>36</v>
      </c>
      <c r="H1227" t="s">
        <v>4361</v>
      </c>
      <c r="K1227" t="s">
        <v>3294</v>
      </c>
      <c r="L1227" t="s">
        <v>19</v>
      </c>
      <c r="M1227" t="s">
        <v>46</v>
      </c>
      <c r="N1227" s="2">
        <v>45474</v>
      </c>
      <c r="O1227" s="2">
        <v>45504</v>
      </c>
      <c r="P1227">
        <v>500</v>
      </c>
      <c r="Q1227">
        <v>500</v>
      </c>
      <c r="R1227" t="s">
        <v>3424</v>
      </c>
    </row>
    <row r="1228" spans="1:20" x14ac:dyDescent="0.25">
      <c r="A1228" t="s">
        <v>14</v>
      </c>
      <c r="B1228" t="s">
        <v>1353</v>
      </c>
      <c r="C1228" t="s">
        <v>4382</v>
      </c>
      <c r="D1228" t="s">
        <v>4383</v>
      </c>
      <c r="E1228">
        <v>47300070548</v>
      </c>
      <c r="F1228" t="s">
        <v>27</v>
      </c>
      <c r="G1228" t="s">
        <v>17</v>
      </c>
      <c r="H1228" t="s">
        <v>51</v>
      </c>
      <c r="K1228" t="s">
        <v>3294</v>
      </c>
      <c r="L1228" t="s">
        <v>19</v>
      </c>
      <c r="M1228" t="s">
        <v>46</v>
      </c>
      <c r="N1228" s="2">
        <v>45474</v>
      </c>
      <c r="O1228" s="2">
        <v>45504</v>
      </c>
      <c r="P1228">
        <v>500</v>
      </c>
      <c r="Q1228">
        <v>500</v>
      </c>
      <c r="R1228" t="s">
        <v>3219</v>
      </c>
    </row>
    <row r="1229" spans="1:20" x14ac:dyDescent="0.25">
      <c r="A1229" t="s">
        <v>14</v>
      </c>
      <c r="B1229" t="s">
        <v>1353</v>
      </c>
      <c r="C1229" t="s">
        <v>4413</v>
      </c>
      <c r="D1229" t="s">
        <v>4395</v>
      </c>
      <c r="E1229">
        <v>47300070548</v>
      </c>
      <c r="F1229" t="s">
        <v>27</v>
      </c>
      <c r="G1229" t="s">
        <v>17</v>
      </c>
      <c r="H1229" t="s">
        <v>51</v>
      </c>
      <c r="K1229" t="s">
        <v>3197</v>
      </c>
      <c r="L1229" t="s">
        <v>19</v>
      </c>
      <c r="M1229" t="s">
        <v>46</v>
      </c>
      <c r="N1229" s="2">
        <v>45474</v>
      </c>
      <c r="O1229" s="2">
        <v>45504</v>
      </c>
      <c r="P1229">
        <v>145500</v>
      </c>
      <c r="Q1229">
        <v>145500</v>
      </c>
      <c r="R1229" t="s">
        <v>3219</v>
      </c>
    </row>
    <row r="1230" spans="1:20" x14ac:dyDescent="0.25">
      <c r="A1230" t="s">
        <v>14</v>
      </c>
      <c r="B1230" t="s">
        <v>1351</v>
      </c>
      <c r="C1230" t="s">
        <v>4380</v>
      </c>
      <c r="D1230" t="s">
        <v>4381</v>
      </c>
      <c r="E1230">
        <v>47300070548</v>
      </c>
      <c r="F1230" t="s">
        <v>27</v>
      </c>
      <c r="G1230" t="s">
        <v>17</v>
      </c>
      <c r="H1230" t="s">
        <v>51</v>
      </c>
      <c r="K1230" t="s">
        <v>4266</v>
      </c>
      <c r="L1230" t="s">
        <v>19</v>
      </c>
      <c r="M1230" t="s">
        <v>63</v>
      </c>
      <c r="N1230" s="2">
        <v>45474</v>
      </c>
      <c r="O1230" s="2">
        <v>45504</v>
      </c>
      <c r="P1230">
        <v>50000</v>
      </c>
      <c r="Q1230">
        <v>50000</v>
      </c>
      <c r="R1230" t="s">
        <v>4284</v>
      </c>
      <c r="S1230" t="s">
        <v>1352</v>
      </c>
      <c r="T1230">
        <v>116.9</v>
      </c>
    </row>
    <row r="1231" spans="1:20" x14ac:dyDescent="0.25">
      <c r="A1231" t="s">
        <v>14</v>
      </c>
      <c r="B1231" t="s">
        <v>1349</v>
      </c>
      <c r="C1231" t="s">
        <v>3300</v>
      </c>
      <c r="D1231" t="s">
        <v>3299</v>
      </c>
      <c r="E1231">
        <v>47300070555</v>
      </c>
      <c r="F1231" t="s">
        <v>35</v>
      </c>
      <c r="G1231" t="s">
        <v>35</v>
      </c>
      <c r="H1231" t="s">
        <v>116</v>
      </c>
      <c r="K1231" t="s">
        <v>4266</v>
      </c>
      <c r="L1231" t="s">
        <v>19</v>
      </c>
      <c r="M1231" t="s">
        <v>63</v>
      </c>
      <c r="N1231" s="2">
        <v>45474</v>
      </c>
      <c r="O1231" s="2">
        <v>45504</v>
      </c>
      <c r="P1231">
        <v>100000</v>
      </c>
      <c r="Q1231">
        <v>100000</v>
      </c>
      <c r="R1231" t="s">
        <v>3425</v>
      </c>
      <c r="S1231" t="s">
        <v>1350</v>
      </c>
      <c r="T1231">
        <v>233.7</v>
      </c>
    </row>
    <row r="1232" spans="1:20" x14ac:dyDescent="0.25">
      <c r="A1232" t="s">
        <v>14</v>
      </c>
      <c r="B1232" t="s">
        <v>1349</v>
      </c>
      <c r="C1232" t="s">
        <v>4406</v>
      </c>
      <c r="D1232" t="s">
        <v>4394</v>
      </c>
      <c r="E1232">
        <v>47300070555</v>
      </c>
      <c r="F1232" t="s">
        <v>35</v>
      </c>
      <c r="G1232" t="s">
        <v>35</v>
      </c>
      <c r="H1232" t="s">
        <v>116</v>
      </c>
      <c r="K1232" t="s">
        <v>3294</v>
      </c>
      <c r="L1232" t="s">
        <v>19</v>
      </c>
      <c r="M1232" t="s">
        <v>46</v>
      </c>
      <c r="N1232" s="2">
        <v>45474</v>
      </c>
      <c r="O1232" s="2">
        <v>45504</v>
      </c>
      <c r="P1232">
        <v>500</v>
      </c>
      <c r="Q1232">
        <v>500</v>
      </c>
      <c r="R1232" t="s">
        <v>3425</v>
      </c>
    </row>
    <row r="1233" spans="1:20" x14ac:dyDescent="0.25">
      <c r="A1233" t="s">
        <v>14</v>
      </c>
      <c r="B1233" t="s">
        <v>1347</v>
      </c>
      <c r="C1233" t="s">
        <v>4367</v>
      </c>
      <c r="D1233" t="s">
        <v>4368</v>
      </c>
      <c r="E1233">
        <v>47300070795</v>
      </c>
      <c r="F1233" t="s">
        <v>16</v>
      </c>
      <c r="G1233" t="s">
        <v>87</v>
      </c>
      <c r="H1233" t="s">
        <v>88</v>
      </c>
      <c r="K1233" t="s">
        <v>3795</v>
      </c>
      <c r="L1233" t="s">
        <v>19</v>
      </c>
      <c r="M1233" t="s">
        <v>20</v>
      </c>
      <c r="P1233">
        <v>50000</v>
      </c>
      <c r="Q1233">
        <v>50000</v>
      </c>
      <c r="R1233" t="s">
        <v>3905</v>
      </c>
      <c r="S1233" t="s">
        <v>1348</v>
      </c>
      <c r="T1233">
        <v>116.9</v>
      </c>
    </row>
    <row r="1234" spans="1:20" x14ac:dyDescent="0.25">
      <c r="A1234" t="s">
        <v>14</v>
      </c>
      <c r="B1234" t="s">
        <v>1345</v>
      </c>
      <c r="C1234" t="s">
        <v>4374</v>
      </c>
      <c r="D1234" t="s">
        <v>4375</v>
      </c>
      <c r="E1234">
        <v>47300026094</v>
      </c>
      <c r="F1234" t="s">
        <v>35</v>
      </c>
      <c r="G1234" t="s">
        <v>36</v>
      </c>
      <c r="H1234" t="s">
        <v>4359</v>
      </c>
      <c r="K1234" t="s">
        <v>3795</v>
      </c>
      <c r="L1234" t="s">
        <v>19</v>
      </c>
      <c r="M1234" t="s">
        <v>20</v>
      </c>
      <c r="P1234">
        <v>250000</v>
      </c>
      <c r="Q1234">
        <v>250000</v>
      </c>
      <c r="R1234" t="s">
        <v>3906</v>
      </c>
      <c r="S1234" t="s">
        <v>1346</v>
      </c>
      <c r="T1234">
        <v>584.29999999999995</v>
      </c>
    </row>
    <row r="1235" spans="1:20" x14ac:dyDescent="0.25">
      <c r="A1235" t="s">
        <v>14</v>
      </c>
      <c r="B1235" t="s">
        <v>1343</v>
      </c>
      <c r="C1235" t="s">
        <v>3300</v>
      </c>
      <c r="D1235" t="s">
        <v>3299</v>
      </c>
      <c r="E1235">
        <v>47300046688</v>
      </c>
      <c r="F1235" t="s">
        <v>16</v>
      </c>
      <c r="G1235" t="s">
        <v>17</v>
      </c>
      <c r="H1235" t="s">
        <v>154</v>
      </c>
      <c r="K1235" t="s">
        <v>3795</v>
      </c>
      <c r="L1235" t="s">
        <v>19</v>
      </c>
      <c r="M1235" t="s">
        <v>20</v>
      </c>
      <c r="P1235">
        <v>50000</v>
      </c>
      <c r="Q1235">
        <v>50000</v>
      </c>
      <c r="R1235" t="s">
        <v>3907</v>
      </c>
      <c r="S1235" t="s">
        <v>1344</v>
      </c>
      <c r="T1235">
        <v>116.8</v>
      </c>
    </row>
    <row r="1236" spans="1:20" x14ac:dyDescent="0.25">
      <c r="A1236" t="s">
        <v>14</v>
      </c>
      <c r="B1236" t="s">
        <v>1341</v>
      </c>
      <c r="C1236" t="s">
        <v>4414</v>
      </c>
      <c r="D1236" t="s">
        <v>4401</v>
      </c>
      <c r="E1236">
        <v>47300046720</v>
      </c>
      <c r="F1236" t="s">
        <v>16</v>
      </c>
      <c r="G1236" t="s">
        <v>28</v>
      </c>
      <c r="H1236" t="s">
        <v>143</v>
      </c>
      <c r="K1236" t="s">
        <v>3795</v>
      </c>
      <c r="L1236" t="s">
        <v>19</v>
      </c>
      <c r="M1236" t="s">
        <v>20</v>
      </c>
      <c r="P1236">
        <v>10000</v>
      </c>
      <c r="Q1236">
        <v>10000</v>
      </c>
      <c r="R1236" t="s">
        <v>3908</v>
      </c>
      <c r="S1236" t="s">
        <v>1342</v>
      </c>
      <c r="T1236">
        <v>23.4</v>
      </c>
    </row>
    <row r="1237" spans="1:20" x14ac:dyDescent="0.25">
      <c r="A1237" t="s">
        <v>14</v>
      </c>
      <c r="B1237" t="s">
        <v>1339</v>
      </c>
      <c r="C1237" t="s">
        <v>4387</v>
      </c>
      <c r="D1237" t="s">
        <v>4388</v>
      </c>
      <c r="E1237">
        <v>47300046720</v>
      </c>
      <c r="F1237" t="s">
        <v>16</v>
      </c>
      <c r="G1237" t="s">
        <v>28</v>
      </c>
      <c r="H1237" t="s">
        <v>143</v>
      </c>
      <c r="K1237" t="s">
        <v>3795</v>
      </c>
      <c r="L1237" t="s">
        <v>19</v>
      </c>
      <c r="M1237" t="s">
        <v>20</v>
      </c>
      <c r="P1237">
        <v>90000</v>
      </c>
      <c r="Q1237">
        <v>90000</v>
      </c>
      <c r="R1237" t="s">
        <v>3909</v>
      </c>
      <c r="S1237" t="s">
        <v>1340</v>
      </c>
      <c r="T1237">
        <v>210.3</v>
      </c>
    </row>
    <row r="1238" spans="1:20" x14ac:dyDescent="0.25">
      <c r="A1238" t="s">
        <v>14</v>
      </c>
      <c r="B1238" t="s">
        <v>1337</v>
      </c>
      <c r="C1238" t="s">
        <v>4371</v>
      </c>
      <c r="D1238" t="s">
        <v>4368</v>
      </c>
      <c r="E1238">
        <v>47300025708</v>
      </c>
      <c r="F1238" t="s">
        <v>35</v>
      </c>
      <c r="G1238" t="s">
        <v>36</v>
      </c>
      <c r="H1238" t="s">
        <v>4360</v>
      </c>
      <c r="K1238" t="s">
        <v>3795</v>
      </c>
      <c r="L1238" t="s">
        <v>19</v>
      </c>
      <c r="M1238" t="s">
        <v>20</v>
      </c>
      <c r="P1238">
        <v>150000</v>
      </c>
      <c r="Q1238">
        <v>150000</v>
      </c>
      <c r="R1238" t="s">
        <v>3910</v>
      </c>
      <c r="S1238" t="s">
        <v>1338</v>
      </c>
      <c r="T1238">
        <v>350.5</v>
      </c>
    </row>
    <row r="1239" spans="1:20" x14ac:dyDescent="0.25">
      <c r="A1239" t="s">
        <v>14</v>
      </c>
      <c r="B1239" t="s">
        <v>1335</v>
      </c>
      <c r="C1239" t="s">
        <v>4376</v>
      </c>
      <c r="D1239" t="s">
        <v>4377</v>
      </c>
      <c r="E1239">
        <v>47300046761</v>
      </c>
      <c r="F1239" t="s">
        <v>42</v>
      </c>
      <c r="G1239" t="s">
        <v>28</v>
      </c>
      <c r="H1239" t="s">
        <v>43</v>
      </c>
      <c r="K1239" t="s">
        <v>3795</v>
      </c>
      <c r="L1239" t="s">
        <v>19</v>
      </c>
      <c r="M1239" t="s">
        <v>20</v>
      </c>
      <c r="P1239">
        <v>25000</v>
      </c>
      <c r="Q1239">
        <v>25000</v>
      </c>
      <c r="R1239" t="s">
        <v>3911</v>
      </c>
      <c r="S1239" t="s">
        <v>1336</v>
      </c>
      <c r="T1239">
        <v>58.4</v>
      </c>
    </row>
    <row r="1240" spans="1:20" x14ac:dyDescent="0.25">
      <c r="A1240" t="s">
        <v>14</v>
      </c>
      <c r="B1240" t="s">
        <v>1333</v>
      </c>
      <c r="C1240" t="s">
        <v>4376</v>
      </c>
      <c r="D1240" t="s">
        <v>4377</v>
      </c>
      <c r="E1240">
        <v>47300046746</v>
      </c>
      <c r="F1240" t="s">
        <v>16</v>
      </c>
      <c r="G1240" t="s">
        <v>28</v>
      </c>
      <c r="H1240" t="s">
        <v>32</v>
      </c>
      <c r="K1240" t="s">
        <v>3795</v>
      </c>
      <c r="L1240" t="s">
        <v>19</v>
      </c>
      <c r="M1240" t="s">
        <v>20</v>
      </c>
      <c r="P1240">
        <v>12000</v>
      </c>
      <c r="Q1240">
        <v>12000</v>
      </c>
      <c r="R1240" t="s">
        <v>3912</v>
      </c>
      <c r="S1240" t="s">
        <v>1334</v>
      </c>
      <c r="T1240">
        <v>28.1</v>
      </c>
    </row>
    <row r="1241" spans="1:20" x14ac:dyDescent="0.25">
      <c r="A1241" t="s">
        <v>14</v>
      </c>
      <c r="B1241" t="s">
        <v>1331</v>
      </c>
      <c r="C1241" t="s">
        <v>4413</v>
      </c>
      <c r="D1241" t="s">
        <v>4395</v>
      </c>
      <c r="E1241">
        <v>47300070522</v>
      </c>
      <c r="F1241" t="s">
        <v>16</v>
      </c>
      <c r="G1241" t="s">
        <v>17</v>
      </c>
      <c r="H1241" t="s">
        <v>18</v>
      </c>
      <c r="K1241" t="s">
        <v>3795</v>
      </c>
      <c r="L1241" t="s">
        <v>19</v>
      </c>
      <c r="M1241" t="s">
        <v>20</v>
      </c>
      <c r="P1241">
        <v>20000</v>
      </c>
      <c r="Q1241">
        <v>20000</v>
      </c>
      <c r="R1241" t="s">
        <v>3913</v>
      </c>
      <c r="S1241" t="s">
        <v>1332</v>
      </c>
      <c r="T1241">
        <v>46.7</v>
      </c>
    </row>
    <row r="1242" spans="1:20" x14ac:dyDescent="0.25">
      <c r="A1242" t="s">
        <v>14</v>
      </c>
      <c r="B1242" t="s">
        <v>1329</v>
      </c>
      <c r="C1242" t="s">
        <v>4400</v>
      </c>
      <c r="D1242" t="s">
        <v>4401</v>
      </c>
      <c r="E1242">
        <v>47300070548</v>
      </c>
      <c r="F1242" t="s">
        <v>27</v>
      </c>
      <c r="G1242" t="s">
        <v>17</v>
      </c>
      <c r="H1242" t="s">
        <v>51</v>
      </c>
      <c r="K1242" t="s">
        <v>3795</v>
      </c>
      <c r="L1242" t="s">
        <v>19</v>
      </c>
      <c r="M1242" t="s">
        <v>20</v>
      </c>
      <c r="P1242">
        <v>200000</v>
      </c>
      <c r="Q1242">
        <v>200000</v>
      </c>
      <c r="R1242" t="s">
        <v>3914</v>
      </c>
      <c r="S1242" t="s">
        <v>1330</v>
      </c>
      <c r="T1242">
        <v>467.4</v>
      </c>
    </row>
    <row r="1243" spans="1:20" x14ac:dyDescent="0.25">
      <c r="A1243" t="s">
        <v>14</v>
      </c>
      <c r="B1243" t="s">
        <v>1328</v>
      </c>
      <c r="C1243" t="s">
        <v>4412</v>
      </c>
      <c r="D1243" t="s">
        <v>4424</v>
      </c>
      <c r="E1243">
        <v>47300046738</v>
      </c>
      <c r="F1243" t="s">
        <v>16</v>
      </c>
      <c r="G1243" t="s">
        <v>28</v>
      </c>
      <c r="H1243" t="s">
        <v>202</v>
      </c>
      <c r="K1243" t="s">
        <v>3294</v>
      </c>
      <c r="L1243" t="s">
        <v>19</v>
      </c>
      <c r="M1243" t="s">
        <v>46</v>
      </c>
      <c r="N1243" s="2">
        <v>45474</v>
      </c>
      <c r="O1243" s="2">
        <v>45504</v>
      </c>
      <c r="P1243">
        <v>500</v>
      </c>
      <c r="Q1243">
        <v>500</v>
      </c>
      <c r="R1243" t="s">
        <v>3044</v>
      </c>
    </row>
    <row r="1244" spans="1:20" x14ac:dyDescent="0.25">
      <c r="A1244" t="s">
        <v>14</v>
      </c>
      <c r="B1244" t="s">
        <v>1328</v>
      </c>
      <c r="C1244" t="s">
        <v>4387</v>
      </c>
      <c r="D1244" t="s">
        <v>4388</v>
      </c>
      <c r="E1244">
        <v>47300046738</v>
      </c>
      <c r="F1244" t="s">
        <v>16</v>
      </c>
      <c r="G1244" t="s">
        <v>28</v>
      </c>
      <c r="H1244" t="s">
        <v>202</v>
      </c>
      <c r="K1244" t="s">
        <v>2892</v>
      </c>
      <c r="L1244" t="s">
        <v>19</v>
      </c>
      <c r="M1244" t="s">
        <v>46</v>
      </c>
      <c r="N1244" s="2">
        <v>45474</v>
      </c>
      <c r="O1244" s="2">
        <v>45504</v>
      </c>
      <c r="P1244">
        <v>10000</v>
      </c>
      <c r="Q1244">
        <v>10000</v>
      </c>
      <c r="R1244" t="s">
        <v>3044</v>
      </c>
    </row>
    <row r="1245" spans="1:20" x14ac:dyDescent="0.25">
      <c r="A1245" t="s">
        <v>14</v>
      </c>
      <c r="B1245" t="s">
        <v>1326</v>
      </c>
      <c r="C1245" t="s">
        <v>4412</v>
      </c>
      <c r="D1245" t="s">
        <v>4424</v>
      </c>
      <c r="E1245">
        <v>47300046761</v>
      </c>
      <c r="F1245" t="s">
        <v>42</v>
      </c>
      <c r="G1245" t="s">
        <v>28</v>
      </c>
      <c r="H1245" t="s">
        <v>43</v>
      </c>
      <c r="K1245" t="s">
        <v>3795</v>
      </c>
      <c r="L1245" t="s">
        <v>19</v>
      </c>
      <c r="M1245" t="s">
        <v>20</v>
      </c>
      <c r="P1245">
        <v>25000</v>
      </c>
      <c r="Q1245">
        <v>25000</v>
      </c>
      <c r="R1245" t="s">
        <v>3915</v>
      </c>
      <c r="S1245" t="s">
        <v>1327</v>
      </c>
      <c r="T1245">
        <v>58.5</v>
      </c>
    </row>
    <row r="1246" spans="1:20" x14ac:dyDescent="0.25">
      <c r="A1246" t="s">
        <v>14</v>
      </c>
      <c r="B1246" t="s">
        <v>1325</v>
      </c>
      <c r="C1246" t="s">
        <v>4394</v>
      </c>
      <c r="D1246" t="s">
        <v>4395</v>
      </c>
      <c r="E1246">
        <v>47300086445</v>
      </c>
      <c r="F1246" t="s">
        <v>16</v>
      </c>
      <c r="G1246" t="s">
        <v>28</v>
      </c>
      <c r="H1246" t="s">
        <v>187</v>
      </c>
      <c r="I1246" t="s">
        <v>2777</v>
      </c>
      <c r="J1246" t="s">
        <v>2776</v>
      </c>
      <c r="K1246" t="s">
        <v>3294</v>
      </c>
      <c r="L1246" t="s">
        <v>19</v>
      </c>
      <c r="M1246" t="s">
        <v>46</v>
      </c>
      <c r="N1246" s="2">
        <v>45474</v>
      </c>
      <c r="O1246" s="2">
        <v>45504</v>
      </c>
      <c r="P1246">
        <v>500</v>
      </c>
      <c r="Q1246">
        <v>500</v>
      </c>
      <c r="R1246" t="s">
        <v>2812</v>
      </c>
    </row>
    <row r="1247" spans="1:20" x14ac:dyDescent="0.25">
      <c r="A1247" t="s">
        <v>14</v>
      </c>
      <c r="B1247" t="s">
        <v>1325</v>
      </c>
      <c r="C1247" t="s">
        <v>4369</v>
      </c>
      <c r="D1247" t="s">
        <v>4370</v>
      </c>
      <c r="E1247">
        <v>47300086445</v>
      </c>
      <c r="F1247" t="s">
        <v>16</v>
      </c>
      <c r="G1247" t="s">
        <v>28</v>
      </c>
      <c r="H1247" t="s">
        <v>187</v>
      </c>
      <c r="I1247" t="s">
        <v>2777</v>
      </c>
      <c r="J1247" t="s">
        <v>2776</v>
      </c>
      <c r="K1247" t="s">
        <v>3197</v>
      </c>
      <c r="L1247" t="s">
        <v>19</v>
      </c>
      <c r="M1247" t="s">
        <v>46</v>
      </c>
      <c r="N1247" s="2">
        <v>45474</v>
      </c>
      <c r="O1247" s="2">
        <v>45504</v>
      </c>
      <c r="P1247">
        <v>145500</v>
      </c>
      <c r="Q1247">
        <v>145500</v>
      </c>
      <c r="R1247" t="s">
        <v>2812</v>
      </c>
    </row>
    <row r="1248" spans="1:20" x14ac:dyDescent="0.25">
      <c r="A1248" t="s">
        <v>14</v>
      </c>
      <c r="B1248" t="s">
        <v>1325</v>
      </c>
      <c r="C1248" t="s">
        <v>4414</v>
      </c>
      <c r="D1248" t="s">
        <v>4401</v>
      </c>
      <c r="E1248">
        <v>47300086445</v>
      </c>
      <c r="F1248" t="s">
        <v>16</v>
      </c>
      <c r="G1248" t="s">
        <v>28</v>
      </c>
      <c r="H1248" t="s">
        <v>187</v>
      </c>
      <c r="I1248" t="s">
        <v>2777</v>
      </c>
      <c r="J1248" t="s">
        <v>2776</v>
      </c>
      <c r="K1248" t="s">
        <v>2892</v>
      </c>
      <c r="L1248" t="s">
        <v>19</v>
      </c>
      <c r="M1248" t="s">
        <v>46</v>
      </c>
      <c r="N1248" s="2">
        <v>45474</v>
      </c>
      <c r="O1248" s="2">
        <v>45504</v>
      </c>
      <c r="P1248">
        <v>10000</v>
      </c>
      <c r="Q1248">
        <v>10000</v>
      </c>
      <c r="R1248" t="s">
        <v>2812</v>
      </c>
    </row>
    <row r="1249" spans="1:20" x14ac:dyDescent="0.25">
      <c r="A1249" t="s">
        <v>14</v>
      </c>
      <c r="B1249" t="s">
        <v>1325</v>
      </c>
      <c r="C1249" t="s">
        <v>4394</v>
      </c>
      <c r="D1249" t="s">
        <v>4395</v>
      </c>
      <c r="E1249">
        <v>47300086445</v>
      </c>
      <c r="F1249" t="s">
        <v>16</v>
      </c>
      <c r="G1249" t="s">
        <v>28</v>
      </c>
      <c r="H1249" t="s">
        <v>187</v>
      </c>
      <c r="I1249" t="s">
        <v>2777</v>
      </c>
      <c r="J1249" t="s">
        <v>2776</v>
      </c>
      <c r="K1249" t="s">
        <v>2810</v>
      </c>
      <c r="L1249" t="s">
        <v>47</v>
      </c>
      <c r="N1249" s="2">
        <v>45473</v>
      </c>
      <c r="O1249" s="2">
        <v>45481</v>
      </c>
      <c r="P1249">
        <v>242421.53</v>
      </c>
      <c r="Q1249">
        <v>242421.53</v>
      </c>
      <c r="R1249" t="s">
        <v>2812</v>
      </c>
    </row>
    <row r="1250" spans="1:20" x14ac:dyDescent="0.25">
      <c r="A1250" t="s">
        <v>14</v>
      </c>
      <c r="B1250" t="s">
        <v>1323</v>
      </c>
      <c r="C1250" t="s">
        <v>4394</v>
      </c>
      <c r="D1250" t="s">
        <v>4395</v>
      </c>
      <c r="E1250">
        <v>47300046241</v>
      </c>
      <c r="F1250" t="s">
        <v>16</v>
      </c>
      <c r="G1250" t="s">
        <v>23</v>
      </c>
      <c r="H1250" t="s">
        <v>24</v>
      </c>
      <c r="I1250" t="s">
        <v>2754</v>
      </c>
      <c r="J1250">
        <v>0</v>
      </c>
      <c r="K1250" t="s">
        <v>4266</v>
      </c>
      <c r="L1250" t="s">
        <v>19</v>
      </c>
      <c r="M1250" t="s">
        <v>63</v>
      </c>
      <c r="N1250" s="2">
        <v>45474</v>
      </c>
      <c r="O1250" s="2">
        <v>45504</v>
      </c>
      <c r="P1250">
        <v>35000</v>
      </c>
      <c r="Q1250">
        <v>35000</v>
      </c>
      <c r="R1250" t="s">
        <v>3045</v>
      </c>
      <c r="S1250" t="s">
        <v>1324</v>
      </c>
      <c r="T1250">
        <v>81.8</v>
      </c>
    </row>
    <row r="1251" spans="1:20" x14ac:dyDescent="0.25">
      <c r="A1251" t="s">
        <v>14</v>
      </c>
      <c r="B1251" t="s">
        <v>1323</v>
      </c>
      <c r="C1251" t="s">
        <v>4369</v>
      </c>
      <c r="D1251" t="s">
        <v>4370</v>
      </c>
      <c r="E1251">
        <v>47300046241</v>
      </c>
      <c r="F1251" t="s">
        <v>16</v>
      </c>
      <c r="G1251" t="s">
        <v>23</v>
      </c>
      <c r="H1251" t="s">
        <v>24</v>
      </c>
      <c r="I1251" t="s">
        <v>2754</v>
      </c>
      <c r="J1251">
        <v>0</v>
      </c>
      <c r="K1251" t="s">
        <v>3294</v>
      </c>
      <c r="L1251" t="s">
        <v>19</v>
      </c>
      <c r="M1251" t="s">
        <v>46</v>
      </c>
      <c r="N1251" s="2">
        <v>45474</v>
      </c>
      <c r="O1251" s="2">
        <v>45504</v>
      </c>
      <c r="P1251">
        <v>500</v>
      </c>
      <c r="Q1251">
        <v>500</v>
      </c>
      <c r="R1251" t="s">
        <v>3045</v>
      </c>
    </row>
    <row r="1252" spans="1:20" x14ac:dyDescent="0.25">
      <c r="A1252" t="s">
        <v>14</v>
      </c>
      <c r="B1252" t="s">
        <v>1323</v>
      </c>
      <c r="C1252" t="s">
        <v>4369</v>
      </c>
      <c r="D1252" t="s">
        <v>4370</v>
      </c>
      <c r="E1252">
        <v>47300046241</v>
      </c>
      <c r="F1252" t="s">
        <v>16</v>
      </c>
      <c r="G1252" t="s">
        <v>23</v>
      </c>
      <c r="H1252" t="s">
        <v>24</v>
      </c>
      <c r="I1252" t="s">
        <v>2754</v>
      </c>
      <c r="J1252">
        <v>0</v>
      </c>
      <c r="K1252" t="s">
        <v>3197</v>
      </c>
      <c r="L1252" t="s">
        <v>19</v>
      </c>
      <c r="M1252" t="s">
        <v>46</v>
      </c>
      <c r="N1252" s="2">
        <v>45474</v>
      </c>
      <c r="O1252" s="2">
        <v>45504</v>
      </c>
      <c r="P1252">
        <v>145500</v>
      </c>
      <c r="Q1252">
        <v>145500</v>
      </c>
      <c r="R1252" t="s">
        <v>3045</v>
      </c>
    </row>
    <row r="1253" spans="1:20" x14ac:dyDescent="0.25">
      <c r="A1253" t="s">
        <v>14</v>
      </c>
      <c r="B1253" t="s">
        <v>1323</v>
      </c>
      <c r="C1253" t="s">
        <v>4394</v>
      </c>
      <c r="D1253" t="s">
        <v>4395</v>
      </c>
      <c r="E1253">
        <v>47300046241</v>
      </c>
      <c r="F1253" t="s">
        <v>16</v>
      </c>
      <c r="G1253" t="s">
        <v>23</v>
      </c>
      <c r="H1253" t="s">
        <v>24</v>
      </c>
      <c r="I1253" t="s">
        <v>2754</v>
      </c>
      <c r="J1253">
        <v>0</v>
      </c>
      <c r="K1253" t="s">
        <v>2892</v>
      </c>
      <c r="L1253" t="s">
        <v>19</v>
      </c>
      <c r="M1253" t="s">
        <v>46</v>
      </c>
      <c r="N1253" s="2">
        <v>45474</v>
      </c>
      <c r="O1253" s="2">
        <v>45504</v>
      </c>
      <c r="P1253">
        <v>10000</v>
      </c>
      <c r="Q1253">
        <v>10000</v>
      </c>
      <c r="R1253" t="s">
        <v>3045</v>
      </c>
    </row>
    <row r="1254" spans="1:20" x14ac:dyDescent="0.25">
      <c r="A1254" t="s">
        <v>14</v>
      </c>
      <c r="B1254" t="s">
        <v>1321</v>
      </c>
      <c r="C1254" t="s">
        <v>4369</v>
      </c>
      <c r="D1254" t="s">
        <v>4370</v>
      </c>
      <c r="E1254">
        <v>47300046746</v>
      </c>
      <c r="F1254" t="s">
        <v>16</v>
      </c>
      <c r="G1254" t="s">
        <v>28</v>
      </c>
      <c r="H1254" t="s">
        <v>32</v>
      </c>
      <c r="K1254" t="s">
        <v>3795</v>
      </c>
      <c r="L1254" t="s">
        <v>19</v>
      </c>
      <c r="M1254" t="s">
        <v>20</v>
      </c>
      <c r="P1254">
        <v>10000</v>
      </c>
      <c r="Q1254">
        <v>10000</v>
      </c>
      <c r="R1254" t="s">
        <v>3916</v>
      </c>
      <c r="S1254" t="s">
        <v>1322</v>
      </c>
      <c r="T1254">
        <v>23.4</v>
      </c>
    </row>
    <row r="1255" spans="1:20" x14ac:dyDescent="0.25">
      <c r="A1255" t="s">
        <v>14</v>
      </c>
      <c r="B1255" t="s">
        <v>1319</v>
      </c>
      <c r="C1255" t="s">
        <v>4389</v>
      </c>
      <c r="D1255" t="s">
        <v>4390</v>
      </c>
      <c r="E1255">
        <v>47300046779</v>
      </c>
      <c r="F1255" t="s">
        <v>42</v>
      </c>
      <c r="G1255" t="s">
        <v>28</v>
      </c>
      <c r="H1255" t="s">
        <v>199</v>
      </c>
      <c r="K1255" t="s">
        <v>4266</v>
      </c>
      <c r="L1255" t="s">
        <v>19</v>
      </c>
      <c r="M1255" t="s">
        <v>63</v>
      </c>
      <c r="N1255" s="2">
        <v>45474</v>
      </c>
      <c r="O1255" s="2">
        <v>45504</v>
      </c>
      <c r="P1255">
        <v>50000</v>
      </c>
      <c r="Q1255">
        <v>50000</v>
      </c>
      <c r="R1255" t="s">
        <v>4285</v>
      </c>
      <c r="S1255" t="s">
        <v>1320</v>
      </c>
      <c r="T1255">
        <v>116.8</v>
      </c>
    </row>
    <row r="1256" spans="1:20" x14ac:dyDescent="0.25">
      <c r="A1256" t="s">
        <v>14</v>
      </c>
      <c r="B1256" t="s">
        <v>1317</v>
      </c>
      <c r="C1256" t="s">
        <v>4387</v>
      </c>
      <c r="D1256" t="s">
        <v>4388</v>
      </c>
      <c r="E1256">
        <v>47300025708</v>
      </c>
      <c r="F1256" t="s">
        <v>35</v>
      </c>
      <c r="G1256" t="s">
        <v>36</v>
      </c>
      <c r="H1256" t="s">
        <v>4360</v>
      </c>
      <c r="K1256" t="s">
        <v>3795</v>
      </c>
      <c r="L1256" t="s">
        <v>19</v>
      </c>
      <c r="M1256" t="s">
        <v>20</v>
      </c>
      <c r="P1256">
        <v>150000</v>
      </c>
      <c r="Q1256">
        <v>150000</v>
      </c>
      <c r="R1256" t="s">
        <v>3917</v>
      </c>
      <c r="S1256" t="s">
        <v>1318</v>
      </c>
      <c r="T1256">
        <v>350.6</v>
      </c>
    </row>
    <row r="1257" spans="1:20" x14ac:dyDescent="0.25">
      <c r="A1257" t="s">
        <v>14</v>
      </c>
      <c r="B1257" t="s">
        <v>1315</v>
      </c>
      <c r="C1257" t="s">
        <v>4389</v>
      </c>
      <c r="D1257" t="s">
        <v>4390</v>
      </c>
      <c r="E1257">
        <v>47300070571</v>
      </c>
      <c r="F1257" t="s">
        <v>42</v>
      </c>
      <c r="G1257" t="s">
        <v>28</v>
      </c>
      <c r="H1257" t="s">
        <v>72</v>
      </c>
      <c r="K1257" t="s">
        <v>4266</v>
      </c>
      <c r="L1257" t="s">
        <v>19</v>
      </c>
      <c r="M1257" t="s">
        <v>63</v>
      </c>
      <c r="N1257" s="2">
        <v>45474</v>
      </c>
      <c r="O1257" s="2">
        <v>45504</v>
      </c>
      <c r="P1257">
        <v>215000</v>
      </c>
      <c r="Q1257">
        <v>215000</v>
      </c>
      <c r="R1257" t="s">
        <v>3426</v>
      </c>
      <c r="S1257" t="s">
        <v>1316</v>
      </c>
      <c r="T1257">
        <v>502.5</v>
      </c>
    </row>
    <row r="1258" spans="1:20" x14ac:dyDescent="0.25">
      <c r="A1258" t="s">
        <v>14</v>
      </c>
      <c r="B1258" t="s">
        <v>1315</v>
      </c>
      <c r="C1258" t="s">
        <v>4371</v>
      </c>
      <c r="D1258" t="s">
        <v>4368</v>
      </c>
      <c r="E1258">
        <v>47300070571</v>
      </c>
      <c r="F1258" t="s">
        <v>42</v>
      </c>
      <c r="G1258" t="s">
        <v>28</v>
      </c>
      <c r="H1258" t="s">
        <v>72</v>
      </c>
      <c r="K1258" t="s">
        <v>3294</v>
      </c>
      <c r="L1258" t="s">
        <v>19</v>
      </c>
      <c r="M1258" t="s">
        <v>46</v>
      </c>
      <c r="N1258" s="2">
        <v>45474</v>
      </c>
      <c r="O1258" s="2">
        <v>45504</v>
      </c>
      <c r="P1258">
        <v>500</v>
      </c>
      <c r="Q1258">
        <v>500</v>
      </c>
      <c r="R1258" t="s">
        <v>3426</v>
      </c>
    </row>
    <row r="1259" spans="1:20" x14ac:dyDescent="0.25">
      <c r="A1259" t="s">
        <v>14</v>
      </c>
      <c r="B1259" t="s">
        <v>1313</v>
      </c>
      <c r="C1259" t="s">
        <v>4398</v>
      </c>
      <c r="D1259" t="s">
        <v>4399</v>
      </c>
      <c r="E1259">
        <v>47300046761</v>
      </c>
      <c r="F1259" t="s">
        <v>42</v>
      </c>
      <c r="G1259" t="s">
        <v>28</v>
      </c>
      <c r="H1259" t="s">
        <v>43</v>
      </c>
      <c r="K1259" t="s">
        <v>3795</v>
      </c>
      <c r="L1259" t="s">
        <v>19</v>
      </c>
      <c r="M1259" t="s">
        <v>20</v>
      </c>
      <c r="P1259">
        <v>10000</v>
      </c>
      <c r="Q1259">
        <v>10000</v>
      </c>
      <c r="R1259" t="s">
        <v>3918</v>
      </c>
      <c r="S1259" t="s">
        <v>1314</v>
      </c>
      <c r="T1259">
        <v>23.3</v>
      </c>
    </row>
    <row r="1260" spans="1:20" x14ac:dyDescent="0.25">
      <c r="A1260" t="s">
        <v>14</v>
      </c>
      <c r="B1260" t="s">
        <v>1312</v>
      </c>
      <c r="C1260" t="s">
        <v>2927</v>
      </c>
      <c r="D1260" t="s">
        <v>4375</v>
      </c>
      <c r="E1260">
        <v>47300070845</v>
      </c>
      <c r="F1260" t="s">
        <v>16</v>
      </c>
      <c r="G1260" t="s">
        <v>23</v>
      </c>
      <c r="H1260" t="s">
        <v>157</v>
      </c>
      <c r="K1260" t="s">
        <v>2892</v>
      </c>
      <c r="L1260" t="s">
        <v>19</v>
      </c>
      <c r="M1260" t="s">
        <v>46</v>
      </c>
      <c r="N1260" s="2">
        <v>45474</v>
      </c>
      <c r="O1260" s="2">
        <v>45504</v>
      </c>
      <c r="P1260">
        <v>10000</v>
      </c>
      <c r="Q1260">
        <v>10000</v>
      </c>
      <c r="R1260" t="s">
        <v>3046</v>
      </c>
    </row>
    <row r="1261" spans="1:20" x14ac:dyDescent="0.25">
      <c r="A1261" t="s">
        <v>14</v>
      </c>
      <c r="B1261" t="s">
        <v>1310</v>
      </c>
      <c r="C1261" t="s">
        <v>4387</v>
      </c>
      <c r="D1261" t="s">
        <v>4388</v>
      </c>
      <c r="E1261">
        <v>47300046761</v>
      </c>
      <c r="F1261" t="s">
        <v>42</v>
      </c>
      <c r="G1261" t="s">
        <v>28</v>
      </c>
      <c r="H1261" t="s">
        <v>43</v>
      </c>
      <c r="K1261" t="s">
        <v>3795</v>
      </c>
      <c r="L1261" t="s">
        <v>19</v>
      </c>
      <c r="M1261" t="s">
        <v>20</v>
      </c>
      <c r="P1261">
        <v>25000</v>
      </c>
      <c r="Q1261">
        <v>25000</v>
      </c>
      <c r="R1261" t="s">
        <v>3919</v>
      </c>
      <c r="S1261" t="s">
        <v>1311</v>
      </c>
      <c r="T1261">
        <v>58.5</v>
      </c>
    </row>
    <row r="1262" spans="1:20" x14ac:dyDescent="0.25">
      <c r="A1262" t="s">
        <v>14</v>
      </c>
      <c r="B1262" t="s">
        <v>1308</v>
      </c>
      <c r="C1262" t="s">
        <v>4402</v>
      </c>
      <c r="D1262" t="s">
        <v>4403</v>
      </c>
      <c r="E1262">
        <v>47300070837</v>
      </c>
      <c r="F1262" t="s">
        <v>16</v>
      </c>
      <c r="G1262" t="s">
        <v>23</v>
      </c>
      <c r="H1262" t="s">
        <v>165</v>
      </c>
      <c r="K1262" t="s">
        <v>3795</v>
      </c>
      <c r="L1262" t="s">
        <v>19</v>
      </c>
      <c r="M1262" t="s">
        <v>20</v>
      </c>
      <c r="P1262">
        <v>120000</v>
      </c>
      <c r="Q1262">
        <v>120000</v>
      </c>
      <c r="R1262" t="s">
        <v>3920</v>
      </c>
      <c r="S1262" t="s">
        <v>1309</v>
      </c>
      <c r="T1262">
        <v>280.5</v>
      </c>
    </row>
    <row r="1263" spans="1:20" x14ac:dyDescent="0.25">
      <c r="A1263" t="s">
        <v>14</v>
      </c>
      <c r="B1263" t="s">
        <v>1306</v>
      </c>
      <c r="C1263" t="s">
        <v>4406</v>
      </c>
      <c r="D1263" t="s">
        <v>4394</v>
      </c>
      <c r="E1263">
        <v>47300046761</v>
      </c>
      <c r="F1263" t="s">
        <v>42</v>
      </c>
      <c r="G1263" t="s">
        <v>28</v>
      </c>
      <c r="H1263" t="s">
        <v>43</v>
      </c>
      <c r="K1263" t="s">
        <v>3795</v>
      </c>
      <c r="L1263" t="s">
        <v>19</v>
      </c>
      <c r="M1263" t="s">
        <v>20</v>
      </c>
      <c r="P1263">
        <v>100000</v>
      </c>
      <c r="Q1263">
        <v>100000</v>
      </c>
      <c r="R1263" t="s">
        <v>3921</v>
      </c>
      <c r="S1263" t="s">
        <v>1307</v>
      </c>
      <c r="T1263">
        <v>233.7</v>
      </c>
    </row>
    <row r="1264" spans="1:20" x14ac:dyDescent="0.25">
      <c r="A1264" t="s">
        <v>14</v>
      </c>
      <c r="B1264" t="s">
        <v>1304</v>
      </c>
      <c r="C1264" t="s">
        <v>4389</v>
      </c>
      <c r="D1264" t="s">
        <v>4375</v>
      </c>
      <c r="E1264">
        <v>47300070522</v>
      </c>
      <c r="F1264" t="s">
        <v>16</v>
      </c>
      <c r="G1264" t="s">
        <v>17</v>
      </c>
      <c r="H1264" t="s">
        <v>18</v>
      </c>
      <c r="K1264" t="s">
        <v>3795</v>
      </c>
      <c r="L1264" t="s">
        <v>19</v>
      </c>
      <c r="M1264" t="s">
        <v>20</v>
      </c>
      <c r="P1264">
        <v>50000</v>
      </c>
      <c r="Q1264">
        <v>50000</v>
      </c>
      <c r="R1264" t="s">
        <v>3922</v>
      </c>
      <c r="S1264" t="s">
        <v>1305</v>
      </c>
      <c r="T1264">
        <v>116.9</v>
      </c>
    </row>
    <row r="1265" spans="1:25" x14ac:dyDescent="0.25">
      <c r="A1265" t="s">
        <v>14</v>
      </c>
      <c r="B1265" t="s">
        <v>1302</v>
      </c>
      <c r="C1265" t="s">
        <v>4394</v>
      </c>
      <c r="D1265" t="s">
        <v>4421</v>
      </c>
      <c r="E1265">
        <v>47300026094</v>
      </c>
      <c r="F1265" t="s">
        <v>35</v>
      </c>
      <c r="G1265" t="s">
        <v>36</v>
      </c>
      <c r="H1265" t="s">
        <v>4359</v>
      </c>
      <c r="K1265" t="s">
        <v>3795</v>
      </c>
      <c r="L1265" t="s">
        <v>19</v>
      </c>
      <c r="M1265" t="s">
        <v>20</v>
      </c>
      <c r="P1265">
        <v>100000</v>
      </c>
      <c r="Q1265">
        <v>100000</v>
      </c>
      <c r="R1265" t="s">
        <v>3923</v>
      </c>
      <c r="S1265" t="s">
        <v>1303</v>
      </c>
      <c r="T1265">
        <v>233.7</v>
      </c>
      <c r="X1265" t="s">
        <v>4422</v>
      </c>
      <c r="Y1265" t="s">
        <v>4423</v>
      </c>
    </row>
    <row r="1266" spans="1:25" x14ac:dyDescent="0.25">
      <c r="A1266" t="s">
        <v>14</v>
      </c>
      <c r="B1266" t="s">
        <v>1300</v>
      </c>
      <c r="C1266" t="s">
        <v>4369</v>
      </c>
      <c r="D1266" t="s">
        <v>4370</v>
      </c>
      <c r="E1266">
        <v>47300086445</v>
      </c>
      <c r="F1266" t="s">
        <v>16</v>
      </c>
      <c r="G1266" t="s">
        <v>28</v>
      </c>
      <c r="H1266" t="s">
        <v>187</v>
      </c>
      <c r="I1266" t="s">
        <v>2777</v>
      </c>
      <c r="J1266" t="s">
        <v>2776</v>
      </c>
      <c r="K1266" t="s">
        <v>4266</v>
      </c>
      <c r="L1266" t="s">
        <v>19</v>
      </c>
      <c r="M1266" t="s">
        <v>63</v>
      </c>
      <c r="N1266" s="2">
        <v>45474</v>
      </c>
      <c r="O1266" s="2">
        <v>45504</v>
      </c>
      <c r="P1266">
        <v>50000</v>
      </c>
      <c r="Q1266">
        <v>50000</v>
      </c>
      <c r="R1266" t="s">
        <v>4286</v>
      </c>
      <c r="S1266" t="s">
        <v>1301</v>
      </c>
      <c r="T1266">
        <v>116.8</v>
      </c>
    </row>
    <row r="1267" spans="1:25" x14ac:dyDescent="0.25">
      <c r="A1267" t="s">
        <v>14</v>
      </c>
      <c r="B1267" t="s">
        <v>1298</v>
      </c>
      <c r="C1267" t="s">
        <v>4367</v>
      </c>
      <c r="D1267" t="s">
        <v>4368</v>
      </c>
      <c r="E1267">
        <v>47300070498</v>
      </c>
      <c r="F1267" t="s">
        <v>16</v>
      </c>
      <c r="G1267" t="s">
        <v>28</v>
      </c>
      <c r="H1267" t="s">
        <v>794</v>
      </c>
      <c r="I1267" t="s">
        <v>2853</v>
      </c>
      <c r="J1267" t="s">
        <v>2852</v>
      </c>
      <c r="K1267" t="s">
        <v>3795</v>
      </c>
      <c r="L1267" t="s">
        <v>19</v>
      </c>
      <c r="M1267" t="s">
        <v>20</v>
      </c>
      <c r="P1267">
        <v>100000</v>
      </c>
      <c r="Q1267">
        <v>100000</v>
      </c>
      <c r="R1267" t="s">
        <v>3924</v>
      </c>
      <c r="S1267" t="s">
        <v>1299</v>
      </c>
      <c r="T1267">
        <v>233.7</v>
      </c>
    </row>
    <row r="1268" spans="1:25" x14ac:dyDescent="0.25">
      <c r="A1268" t="s">
        <v>14</v>
      </c>
      <c r="B1268" t="s">
        <v>1296</v>
      </c>
      <c r="C1268" t="s">
        <v>4400</v>
      </c>
      <c r="D1268" t="s">
        <v>4401</v>
      </c>
      <c r="E1268">
        <v>47300070514</v>
      </c>
      <c r="F1268" t="s">
        <v>27</v>
      </c>
      <c r="G1268" t="s">
        <v>28</v>
      </c>
      <c r="H1268" t="s">
        <v>29</v>
      </c>
      <c r="K1268" t="s">
        <v>3795</v>
      </c>
      <c r="L1268" t="s">
        <v>19</v>
      </c>
      <c r="M1268" t="s">
        <v>20</v>
      </c>
      <c r="P1268">
        <v>50000</v>
      </c>
      <c r="Q1268">
        <v>50000</v>
      </c>
      <c r="R1268" t="s">
        <v>3925</v>
      </c>
      <c r="S1268" t="s">
        <v>1297</v>
      </c>
      <c r="T1268">
        <v>116.8</v>
      </c>
    </row>
    <row r="1269" spans="1:25" x14ac:dyDescent="0.25">
      <c r="A1269" t="s">
        <v>14</v>
      </c>
      <c r="B1269" t="s">
        <v>1294</v>
      </c>
      <c r="C1269" t="s">
        <v>4387</v>
      </c>
      <c r="D1269" t="s">
        <v>4388</v>
      </c>
      <c r="E1269">
        <v>47300046688</v>
      </c>
      <c r="F1269" t="s">
        <v>16</v>
      </c>
      <c r="G1269" t="s">
        <v>17</v>
      </c>
      <c r="H1269" t="s">
        <v>154</v>
      </c>
      <c r="K1269" t="s">
        <v>3795</v>
      </c>
      <c r="L1269" t="s">
        <v>19</v>
      </c>
      <c r="M1269" t="s">
        <v>20</v>
      </c>
      <c r="P1269">
        <v>20000</v>
      </c>
      <c r="Q1269">
        <v>20000</v>
      </c>
      <c r="R1269" t="s">
        <v>3926</v>
      </c>
      <c r="S1269" t="s">
        <v>1295</v>
      </c>
      <c r="T1269">
        <v>46.8</v>
      </c>
    </row>
    <row r="1270" spans="1:25" x14ac:dyDescent="0.25">
      <c r="A1270" t="s">
        <v>14</v>
      </c>
      <c r="B1270" t="s">
        <v>1292</v>
      </c>
      <c r="C1270" t="s">
        <v>4411</v>
      </c>
      <c r="D1270" t="s">
        <v>3275</v>
      </c>
      <c r="E1270">
        <v>47300046605</v>
      </c>
      <c r="F1270" t="s">
        <v>16</v>
      </c>
      <c r="G1270" t="s">
        <v>17</v>
      </c>
      <c r="H1270" t="s">
        <v>49</v>
      </c>
      <c r="K1270" t="s">
        <v>4266</v>
      </c>
      <c r="L1270" t="s">
        <v>19</v>
      </c>
      <c r="M1270" t="s">
        <v>63</v>
      </c>
      <c r="N1270" s="2">
        <v>45474</v>
      </c>
      <c r="O1270" s="2">
        <v>45504</v>
      </c>
      <c r="P1270">
        <v>90000</v>
      </c>
      <c r="Q1270">
        <v>90000</v>
      </c>
      <c r="R1270" t="s">
        <v>4287</v>
      </c>
      <c r="S1270" t="s">
        <v>1293</v>
      </c>
      <c r="T1270">
        <v>210.4</v>
      </c>
    </row>
    <row r="1271" spans="1:25" x14ac:dyDescent="0.25">
      <c r="A1271" t="s">
        <v>14</v>
      </c>
      <c r="B1271" t="s">
        <v>1290</v>
      </c>
      <c r="C1271" t="s">
        <v>4404</v>
      </c>
      <c r="D1271" t="s">
        <v>2893</v>
      </c>
      <c r="E1271">
        <v>47300088367</v>
      </c>
      <c r="F1271" t="s">
        <v>35</v>
      </c>
      <c r="G1271" t="s">
        <v>36</v>
      </c>
      <c r="H1271" t="s">
        <v>654</v>
      </c>
      <c r="K1271" t="s">
        <v>4266</v>
      </c>
      <c r="L1271" t="s">
        <v>19</v>
      </c>
      <c r="M1271" t="s">
        <v>63</v>
      </c>
      <c r="N1271" s="2">
        <v>45474</v>
      </c>
      <c r="O1271" s="2">
        <v>45504</v>
      </c>
      <c r="P1271">
        <v>100000</v>
      </c>
      <c r="Q1271">
        <v>100000</v>
      </c>
      <c r="R1271" t="s">
        <v>3283</v>
      </c>
      <c r="S1271" t="s">
        <v>1291</v>
      </c>
      <c r="T1271">
        <v>233.7</v>
      </c>
      <c r="X1271" t="s">
        <v>3275</v>
      </c>
    </row>
    <row r="1272" spans="1:25" x14ac:dyDescent="0.25">
      <c r="A1272" t="s">
        <v>14</v>
      </c>
      <c r="B1272" t="s">
        <v>1290</v>
      </c>
      <c r="C1272" t="s">
        <v>4411</v>
      </c>
      <c r="D1272" t="s">
        <v>3275</v>
      </c>
      <c r="E1272">
        <v>47300088367</v>
      </c>
      <c r="F1272" t="s">
        <v>35</v>
      </c>
      <c r="G1272" t="s">
        <v>36</v>
      </c>
      <c r="H1272" t="s">
        <v>654</v>
      </c>
      <c r="K1272" t="s">
        <v>3294</v>
      </c>
      <c r="L1272" t="s">
        <v>19</v>
      </c>
      <c r="M1272" t="s">
        <v>46</v>
      </c>
      <c r="N1272" s="2">
        <v>45474</v>
      </c>
      <c r="O1272" s="2">
        <v>45504</v>
      </c>
      <c r="P1272">
        <v>500</v>
      </c>
      <c r="Q1272">
        <v>500</v>
      </c>
      <c r="R1272" t="s">
        <v>3283</v>
      </c>
    </row>
    <row r="1273" spans="1:25" x14ac:dyDescent="0.25">
      <c r="A1273" t="s">
        <v>14</v>
      </c>
      <c r="B1273" t="s">
        <v>1290</v>
      </c>
      <c r="C1273" t="s">
        <v>4404</v>
      </c>
      <c r="D1273" t="s">
        <v>2893</v>
      </c>
      <c r="E1273">
        <v>47300088367</v>
      </c>
      <c r="F1273" t="s">
        <v>35</v>
      </c>
      <c r="G1273" t="s">
        <v>36</v>
      </c>
      <c r="H1273" t="s">
        <v>654</v>
      </c>
      <c r="K1273" t="s">
        <v>3284</v>
      </c>
      <c r="L1273" t="s">
        <v>47</v>
      </c>
      <c r="N1273" s="2">
        <v>45444</v>
      </c>
      <c r="O1273" s="2">
        <v>45473</v>
      </c>
      <c r="P1273">
        <v>500</v>
      </c>
      <c r="Q1273">
        <v>500</v>
      </c>
      <c r="R1273" t="s">
        <v>3283</v>
      </c>
      <c r="X1273" t="s">
        <v>3275</v>
      </c>
    </row>
    <row r="1274" spans="1:25" x14ac:dyDescent="0.25">
      <c r="A1274" t="s">
        <v>14</v>
      </c>
      <c r="B1274" t="s">
        <v>1288</v>
      </c>
      <c r="C1274" t="s">
        <v>4414</v>
      </c>
      <c r="D1274" t="s">
        <v>4401</v>
      </c>
      <c r="E1274">
        <v>47300088318</v>
      </c>
      <c r="F1274" t="s">
        <v>35</v>
      </c>
      <c r="G1274" t="s">
        <v>36</v>
      </c>
      <c r="H1274" t="s">
        <v>1126</v>
      </c>
      <c r="K1274" t="s">
        <v>4266</v>
      </c>
      <c r="L1274" t="s">
        <v>19</v>
      </c>
      <c r="M1274" t="s">
        <v>63</v>
      </c>
      <c r="N1274" s="2">
        <v>45474</v>
      </c>
      <c r="O1274" s="2">
        <v>45504</v>
      </c>
      <c r="P1274">
        <v>55000</v>
      </c>
      <c r="Q1274">
        <v>55000</v>
      </c>
      <c r="R1274" t="s">
        <v>3285</v>
      </c>
      <c r="S1274" t="s">
        <v>1289</v>
      </c>
      <c r="T1274">
        <v>128.5</v>
      </c>
    </row>
    <row r="1275" spans="1:25" x14ac:dyDescent="0.25">
      <c r="A1275" t="s">
        <v>14</v>
      </c>
      <c r="B1275" t="s">
        <v>1288</v>
      </c>
      <c r="C1275" t="s">
        <v>4376</v>
      </c>
      <c r="D1275" t="s">
        <v>4407</v>
      </c>
      <c r="E1275">
        <v>47300088318</v>
      </c>
      <c r="F1275" t="s">
        <v>35</v>
      </c>
      <c r="G1275" t="s">
        <v>36</v>
      </c>
      <c r="H1275" t="s">
        <v>1126</v>
      </c>
      <c r="K1275" t="s">
        <v>3294</v>
      </c>
      <c r="L1275" t="s">
        <v>19</v>
      </c>
      <c r="M1275" t="s">
        <v>46</v>
      </c>
      <c r="N1275" s="2">
        <v>45474</v>
      </c>
      <c r="O1275" s="2">
        <v>45504</v>
      </c>
      <c r="P1275">
        <v>500</v>
      </c>
      <c r="Q1275">
        <v>500</v>
      </c>
      <c r="R1275" t="s">
        <v>3285</v>
      </c>
    </row>
    <row r="1276" spans="1:25" x14ac:dyDescent="0.25">
      <c r="A1276" t="s">
        <v>14</v>
      </c>
      <c r="B1276" t="s">
        <v>1288</v>
      </c>
      <c r="C1276" t="s">
        <v>4411</v>
      </c>
      <c r="D1276" t="s">
        <v>3275</v>
      </c>
      <c r="E1276">
        <v>47300088318</v>
      </c>
      <c r="F1276" t="s">
        <v>35</v>
      </c>
      <c r="G1276" t="s">
        <v>36</v>
      </c>
      <c r="H1276" t="s">
        <v>1126</v>
      </c>
      <c r="K1276" t="s">
        <v>3284</v>
      </c>
      <c r="L1276" t="s">
        <v>47</v>
      </c>
      <c r="N1276" s="2">
        <v>45444</v>
      </c>
      <c r="O1276" s="2">
        <v>45473</v>
      </c>
      <c r="P1276">
        <v>500</v>
      </c>
      <c r="Q1276">
        <v>500</v>
      </c>
      <c r="R1276" t="s">
        <v>3285</v>
      </c>
    </row>
    <row r="1277" spans="1:25" x14ac:dyDescent="0.25">
      <c r="A1277" t="s">
        <v>14</v>
      </c>
      <c r="B1277" t="s">
        <v>1286</v>
      </c>
      <c r="C1277" t="s">
        <v>4404</v>
      </c>
      <c r="D1277" t="s">
        <v>2893</v>
      </c>
      <c r="E1277">
        <v>47300070589</v>
      </c>
      <c r="F1277" t="s">
        <v>16</v>
      </c>
      <c r="G1277" t="s">
        <v>28</v>
      </c>
      <c r="H1277" t="s">
        <v>221</v>
      </c>
      <c r="K1277" t="s">
        <v>3795</v>
      </c>
      <c r="L1277" t="s">
        <v>19</v>
      </c>
      <c r="M1277" t="s">
        <v>20</v>
      </c>
      <c r="P1277">
        <v>48500</v>
      </c>
      <c r="Q1277">
        <v>48500</v>
      </c>
      <c r="R1277" t="s">
        <v>3927</v>
      </c>
      <c r="S1277" t="s">
        <v>1287</v>
      </c>
      <c r="T1277">
        <v>113.4</v>
      </c>
      <c r="X1277" t="s">
        <v>3275</v>
      </c>
    </row>
    <row r="1278" spans="1:25" x14ac:dyDescent="0.25">
      <c r="A1278" t="s">
        <v>14</v>
      </c>
      <c r="B1278" t="s">
        <v>1284</v>
      </c>
      <c r="C1278" t="s">
        <v>4380</v>
      </c>
      <c r="D1278" t="s">
        <v>4381</v>
      </c>
      <c r="E1278">
        <v>47300046746</v>
      </c>
      <c r="F1278" t="s">
        <v>16</v>
      </c>
      <c r="G1278" t="s">
        <v>28</v>
      </c>
      <c r="H1278" t="s">
        <v>32</v>
      </c>
      <c r="K1278" t="s">
        <v>3795</v>
      </c>
      <c r="L1278" t="s">
        <v>19</v>
      </c>
      <c r="M1278" t="s">
        <v>20</v>
      </c>
      <c r="P1278">
        <v>12000</v>
      </c>
      <c r="Q1278">
        <v>12000</v>
      </c>
      <c r="R1278" t="s">
        <v>3928</v>
      </c>
      <c r="S1278" t="s">
        <v>1285</v>
      </c>
      <c r="T1278">
        <v>28</v>
      </c>
    </row>
    <row r="1279" spans="1:25" x14ac:dyDescent="0.25">
      <c r="A1279" t="s">
        <v>14</v>
      </c>
      <c r="B1279" t="s">
        <v>1282</v>
      </c>
      <c r="C1279" t="s">
        <v>4374</v>
      </c>
      <c r="D1279" t="s">
        <v>4375</v>
      </c>
      <c r="E1279">
        <v>47300046738</v>
      </c>
      <c r="F1279" t="s">
        <v>16</v>
      </c>
      <c r="G1279" t="s">
        <v>28</v>
      </c>
      <c r="H1279" t="s">
        <v>202</v>
      </c>
      <c r="K1279" t="s">
        <v>4266</v>
      </c>
      <c r="L1279" t="s">
        <v>19</v>
      </c>
      <c r="M1279" t="s">
        <v>63</v>
      </c>
      <c r="N1279" s="2">
        <v>45474</v>
      </c>
      <c r="O1279" s="2">
        <v>45504</v>
      </c>
      <c r="P1279">
        <v>250000</v>
      </c>
      <c r="Q1279">
        <v>250000</v>
      </c>
      <c r="R1279" t="s">
        <v>4288</v>
      </c>
      <c r="S1279" t="s">
        <v>1283</v>
      </c>
      <c r="T1279">
        <v>584.29999999999995</v>
      </c>
    </row>
    <row r="1280" spans="1:25" x14ac:dyDescent="0.25">
      <c r="A1280" t="s">
        <v>14</v>
      </c>
      <c r="B1280" t="s">
        <v>1280</v>
      </c>
      <c r="C1280" t="s">
        <v>4408</v>
      </c>
      <c r="D1280" t="s">
        <v>4407</v>
      </c>
      <c r="E1280">
        <v>47300026094</v>
      </c>
      <c r="F1280" t="s">
        <v>35</v>
      </c>
      <c r="G1280" t="s">
        <v>36</v>
      </c>
      <c r="H1280" t="s">
        <v>4359</v>
      </c>
      <c r="K1280" t="s">
        <v>3795</v>
      </c>
      <c r="L1280" t="s">
        <v>19</v>
      </c>
      <c r="M1280" t="s">
        <v>20</v>
      </c>
      <c r="P1280">
        <v>250000</v>
      </c>
      <c r="Q1280">
        <v>250000</v>
      </c>
      <c r="R1280" t="s">
        <v>3929</v>
      </c>
      <c r="S1280" t="s">
        <v>1281</v>
      </c>
      <c r="T1280">
        <v>584.29999999999995</v>
      </c>
    </row>
    <row r="1281" spans="1:20" x14ac:dyDescent="0.25">
      <c r="A1281" t="s">
        <v>14</v>
      </c>
      <c r="B1281" t="s">
        <v>1278</v>
      </c>
      <c r="C1281" t="s">
        <v>4396</v>
      </c>
      <c r="D1281" t="s">
        <v>4397</v>
      </c>
      <c r="E1281">
        <v>47300025690</v>
      </c>
      <c r="F1281" t="s">
        <v>35</v>
      </c>
      <c r="G1281" t="s">
        <v>36</v>
      </c>
      <c r="H1281" t="s">
        <v>37</v>
      </c>
      <c r="K1281" t="s">
        <v>3795</v>
      </c>
      <c r="L1281" t="s">
        <v>19</v>
      </c>
      <c r="M1281" t="s">
        <v>20</v>
      </c>
      <c r="P1281">
        <v>150000</v>
      </c>
      <c r="Q1281">
        <v>150000</v>
      </c>
      <c r="R1281" t="s">
        <v>3930</v>
      </c>
      <c r="S1281" t="s">
        <v>1279</v>
      </c>
      <c r="T1281">
        <v>350.6</v>
      </c>
    </row>
    <row r="1282" spans="1:20" x14ac:dyDescent="0.25">
      <c r="A1282" t="s">
        <v>14</v>
      </c>
      <c r="B1282" t="s">
        <v>1276</v>
      </c>
      <c r="C1282" t="s">
        <v>4386</v>
      </c>
      <c r="D1282" t="s">
        <v>4368</v>
      </c>
      <c r="E1282">
        <v>47300046662</v>
      </c>
      <c r="F1282" t="s">
        <v>16</v>
      </c>
      <c r="G1282" t="s">
        <v>28</v>
      </c>
      <c r="H1282" t="s">
        <v>129</v>
      </c>
      <c r="K1282" t="s">
        <v>3795</v>
      </c>
      <c r="L1282" t="s">
        <v>19</v>
      </c>
      <c r="M1282" t="s">
        <v>20</v>
      </c>
      <c r="P1282">
        <v>49300</v>
      </c>
      <c r="Q1282">
        <v>49300</v>
      </c>
      <c r="R1282" t="s">
        <v>3931</v>
      </c>
      <c r="S1282" t="s">
        <v>1277</v>
      </c>
      <c r="T1282">
        <v>115.2</v>
      </c>
    </row>
    <row r="1283" spans="1:20" x14ac:dyDescent="0.25">
      <c r="A1283" t="s">
        <v>14</v>
      </c>
      <c r="B1283" t="s">
        <v>1274</v>
      </c>
      <c r="C1283" t="s">
        <v>4367</v>
      </c>
      <c r="D1283" t="s">
        <v>4368</v>
      </c>
      <c r="E1283">
        <v>47300070753</v>
      </c>
      <c r="F1283" t="s">
        <v>16</v>
      </c>
      <c r="G1283" t="s">
        <v>17</v>
      </c>
      <c r="H1283" t="s">
        <v>82</v>
      </c>
      <c r="K1283" t="s">
        <v>4266</v>
      </c>
      <c r="L1283" t="s">
        <v>19</v>
      </c>
      <c r="M1283" t="s">
        <v>63</v>
      </c>
      <c r="N1283" s="2">
        <v>45474</v>
      </c>
      <c r="O1283" s="2">
        <v>45504</v>
      </c>
      <c r="P1283">
        <v>30000</v>
      </c>
      <c r="Q1283">
        <v>30000</v>
      </c>
      <c r="R1283" t="s">
        <v>4289</v>
      </c>
      <c r="S1283" t="s">
        <v>1275</v>
      </c>
      <c r="T1283">
        <v>70.2</v>
      </c>
    </row>
    <row r="1284" spans="1:20" x14ac:dyDescent="0.25">
      <c r="A1284" t="s">
        <v>14</v>
      </c>
      <c r="B1284" t="s">
        <v>1272</v>
      </c>
      <c r="C1284" t="s">
        <v>4412</v>
      </c>
      <c r="D1284" t="s">
        <v>4424</v>
      </c>
      <c r="E1284">
        <v>47300070795</v>
      </c>
      <c r="F1284" t="s">
        <v>16</v>
      </c>
      <c r="G1284" t="s">
        <v>87</v>
      </c>
      <c r="H1284" t="s">
        <v>88</v>
      </c>
      <c r="K1284" t="s">
        <v>3795</v>
      </c>
      <c r="L1284" t="s">
        <v>19</v>
      </c>
      <c r="M1284" t="s">
        <v>20</v>
      </c>
      <c r="N1284" s="2">
        <v>45493</v>
      </c>
      <c r="O1284" s="2">
        <v>45493</v>
      </c>
      <c r="P1284">
        <v>50000</v>
      </c>
      <c r="Q1284">
        <v>50000</v>
      </c>
      <c r="R1284" t="s">
        <v>3932</v>
      </c>
      <c r="S1284" t="s">
        <v>1273</v>
      </c>
      <c r="T1284">
        <v>116.9</v>
      </c>
    </row>
    <row r="1285" spans="1:20" x14ac:dyDescent="0.25">
      <c r="A1285" t="s">
        <v>14</v>
      </c>
      <c r="B1285" t="s">
        <v>1270</v>
      </c>
      <c r="C1285" t="s">
        <v>4406</v>
      </c>
      <c r="D1285" t="s">
        <v>4394</v>
      </c>
      <c r="E1285">
        <v>47300046779</v>
      </c>
      <c r="F1285" t="s">
        <v>42</v>
      </c>
      <c r="G1285" t="s">
        <v>28</v>
      </c>
      <c r="H1285" t="s">
        <v>199</v>
      </c>
      <c r="K1285" t="s">
        <v>3795</v>
      </c>
      <c r="L1285" t="s">
        <v>19</v>
      </c>
      <c r="M1285" t="s">
        <v>20</v>
      </c>
      <c r="P1285">
        <v>10000</v>
      </c>
      <c r="Q1285">
        <v>10000</v>
      </c>
      <c r="R1285" t="s">
        <v>3933</v>
      </c>
      <c r="S1285" t="s">
        <v>1271</v>
      </c>
      <c r="T1285">
        <v>23.4</v>
      </c>
    </row>
    <row r="1286" spans="1:20" x14ac:dyDescent="0.25">
      <c r="A1286" t="s">
        <v>14</v>
      </c>
      <c r="B1286" t="s">
        <v>1268</v>
      </c>
      <c r="C1286" t="s">
        <v>4398</v>
      </c>
      <c r="D1286" t="s">
        <v>4399</v>
      </c>
      <c r="E1286">
        <v>47300046779</v>
      </c>
      <c r="F1286" t="s">
        <v>42</v>
      </c>
      <c r="G1286" t="s">
        <v>28</v>
      </c>
      <c r="H1286" t="s">
        <v>199</v>
      </c>
      <c r="K1286" t="s">
        <v>3795</v>
      </c>
      <c r="L1286" t="s">
        <v>19</v>
      </c>
      <c r="M1286" t="s">
        <v>20</v>
      </c>
      <c r="P1286">
        <v>40000</v>
      </c>
      <c r="Q1286">
        <v>40000</v>
      </c>
      <c r="R1286" t="s">
        <v>3934</v>
      </c>
      <c r="S1286" t="s">
        <v>1269</v>
      </c>
      <c r="T1286">
        <v>93.5</v>
      </c>
    </row>
    <row r="1287" spans="1:20" x14ac:dyDescent="0.25">
      <c r="A1287" t="s">
        <v>14</v>
      </c>
      <c r="B1287" t="s">
        <v>1266</v>
      </c>
      <c r="C1287" t="s">
        <v>4398</v>
      </c>
      <c r="D1287" t="s">
        <v>4399</v>
      </c>
      <c r="E1287">
        <v>47300046688</v>
      </c>
      <c r="F1287" t="s">
        <v>16</v>
      </c>
      <c r="G1287" t="s">
        <v>17</v>
      </c>
      <c r="H1287" t="s">
        <v>154</v>
      </c>
      <c r="K1287" t="s">
        <v>3795</v>
      </c>
      <c r="L1287" t="s">
        <v>19</v>
      </c>
      <c r="M1287" t="s">
        <v>20</v>
      </c>
      <c r="P1287">
        <v>20000</v>
      </c>
      <c r="Q1287">
        <v>20000</v>
      </c>
      <c r="R1287" t="s">
        <v>3935</v>
      </c>
      <c r="S1287" t="s">
        <v>1267</v>
      </c>
      <c r="T1287">
        <v>46.7</v>
      </c>
    </row>
    <row r="1288" spans="1:20" x14ac:dyDescent="0.25">
      <c r="A1288" t="s">
        <v>14</v>
      </c>
      <c r="B1288" t="s">
        <v>1264</v>
      </c>
      <c r="C1288" t="s">
        <v>4402</v>
      </c>
      <c r="D1288" t="s">
        <v>4379</v>
      </c>
      <c r="E1288">
        <v>47300070563</v>
      </c>
      <c r="F1288" t="s">
        <v>16</v>
      </c>
      <c r="G1288" t="s">
        <v>28</v>
      </c>
      <c r="H1288" t="s">
        <v>359</v>
      </c>
      <c r="K1288" t="s">
        <v>3795</v>
      </c>
      <c r="L1288" t="s">
        <v>19</v>
      </c>
      <c r="M1288" t="s">
        <v>20</v>
      </c>
      <c r="P1288">
        <v>44200</v>
      </c>
      <c r="Q1288">
        <v>44200</v>
      </c>
      <c r="R1288" t="s">
        <v>3936</v>
      </c>
      <c r="S1288" t="s">
        <v>1265</v>
      </c>
      <c r="T1288">
        <v>103.3</v>
      </c>
    </row>
    <row r="1289" spans="1:20" x14ac:dyDescent="0.25">
      <c r="A1289" t="s">
        <v>14</v>
      </c>
      <c r="B1289" t="s">
        <v>1262</v>
      </c>
      <c r="C1289" t="s">
        <v>4420</v>
      </c>
      <c r="D1289" t="s">
        <v>4394</v>
      </c>
      <c r="E1289">
        <v>47300025708</v>
      </c>
      <c r="F1289" t="s">
        <v>35</v>
      </c>
      <c r="G1289" t="s">
        <v>36</v>
      </c>
      <c r="H1289" t="s">
        <v>4360</v>
      </c>
      <c r="K1289" t="s">
        <v>3795</v>
      </c>
      <c r="L1289" t="s">
        <v>19</v>
      </c>
      <c r="M1289" t="s">
        <v>20</v>
      </c>
      <c r="P1289">
        <v>150000</v>
      </c>
      <c r="Q1289">
        <v>150000</v>
      </c>
      <c r="R1289" t="s">
        <v>3937</v>
      </c>
      <c r="S1289" t="s">
        <v>1263</v>
      </c>
      <c r="T1289">
        <v>350.6</v>
      </c>
    </row>
    <row r="1290" spans="1:20" x14ac:dyDescent="0.25">
      <c r="A1290" t="s">
        <v>14</v>
      </c>
      <c r="B1290" t="s">
        <v>1260</v>
      </c>
      <c r="C1290" t="s">
        <v>4402</v>
      </c>
      <c r="D1290" t="s">
        <v>4379</v>
      </c>
      <c r="E1290">
        <v>47300046191</v>
      </c>
      <c r="F1290" t="s">
        <v>16</v>
      </c>
      <c r="G1290" t="s">
        <v>28</v>
      </c>
      <c r="H1290" t="s">
        <v>119</v>
      </c>
      <c r="I1290" t="s">
        <v>2799</v>
      </c>
      <c r="J1290">
        <v>8033011626</v>
      </c>
      <c r="K1290" t="s">
        <v>4266</v>
      </c>
      <c r="L1290" t="s">
        <v>19</v>
      </c>
      <c r="M1290" t="s">
        <v>63</v>
      </c>
      <c r="N1290" s="2">
        <v>45474</v>
      </c>
      <c r="O1290" s="2">
        <v>45504</v>
      </c>
      <c r="P1290">
        <v>20000</v>
      </c>
      <c r="Q1290">
        <v>20000</v>
      </c>
      <c r="R1290" t="s">
        <v>3427</v>
      </c>
      <c r="S1290" t="s">
        <v>1261</v>
      </c>
      <c r="T1290">
        <v>46.8</v>
      </c>
    </row>
    <row r="1291" spans="1:20" x14ac:dyDescent="0.25">
      <c r="A1291" t="s">
        <v>14</v>
      </c>
      <c r="B1291" t="s">
        <v>1260</v>
      </c>
      <c r="C1291" t="s">
        <v>4420</v>
      </c>
      <c r="D1291" t="s">
        <v>4394</v>
      </c>
      <c r="E1291">
        <v>47300046191</v>
      </c>
      <c r="F1291" t="s">
        <v>16</v>
      </c>
      <c r="G1291" t="s">
        <v>28</v>
      </c>
      <c r="H1291" t="s">
        <v>119</v>
      </c>
      <c r="I1291" t="s">
        <v>2799</v>
      </c>
      <c r="J1291">
        <v>8033011626</v>
      </c>
      <c r="K1291" t="s">
        <v>3294</v>
      </c>
      <c r="L1291" t="s">
        <v>19</v>
      </c>
      <c r="M1291" t="s">
        <v>46</v>
      </c>
      <c r="N1291" s="2">
        <v>45474</v>
      </c>
      <c r="O1291" s="2">
        <v>45504</v>
      </c>
      <c r="P1291">
        <v>500</v>
      </c>
      <c r="Q1291">
        <v>500</v>
      </c>
      <c r="R1291" t="s">
        <v>3427</v>
      </c>
    </row>
    <row r="1292" spans="1:20" x14ac:dyDescent="0.25">
      <c r="A1292" t="s">
        <v>14</v>
      </c>
      <c r="B1292" t="s">
        <v>1258</v>
      </c>
      <c r="C1292" t="s">
        <v>4371</v>
      </c>
      <c r="D1292" t="s">
        <v>4368</v>
      </c>
      <c r="E1292">
        <v>47300070597</v>
      </c>
      <c r="F1292" t="s">
        <v>16</v>
      </c>
      <c r="G1292" t="s">
        <v>28</v>
      </c>
      <c r="H1292" t="s">
        <v>77</v>
      </c>
      <c r="K1292" t="s">
        <v>4266</v>
      </c>
      <c r="L1292" t="s">
        <v>19</v>
      </c>
      <c r="M1292" t="s">
        <v>63</v>
      </c>
      <c r="N1292" s="2">
        <v>45474</v>
      </c>
      <c r="O1292" s="2">
        <v>45504</v>
      </c>
      <c r="P1292">
        <v>50000</v>
      </c>
      <c r="Q1292">
        <v>50000</v>
      </c>
      <c r="R1292" t="s">
        <v>3047</v>
      </c>
      <c r="S1292" t="s">
        <v>1259</v>
      </c>
      <c r="T1292">
        <v>116.9</v>
      </c>
    </row>
    <row r="1293" spans="1:20" x14ac:dyDescent="0.25">
      <c r="A1293" t="s">
        <v>14</v>
      </c>
      <c r="B1293" t="s">
        <v>1258</v>
      </c>
      <c r="C1293" t="s">
        <v>4365</v>
      </c>
      <c r="D1293" t="s">
        <v>4366</v>
      </c>
      <c r="E1293">
        <v>47300070597</v>
      </c>
      <c r="F1293" t="s">
        <v>16</v>
      </c>
      <c r="G1293" t="s">
        <v>28</v>
      </c>
      <c r="H1293" t="s">
        <v>77</v>
      </c>
      <c r="K1293" t="s">
        <v>3294</v>
      </c>
      <c r="L1293" t="s">
        <v>19</v>
      </c>
      <c r="M1293" t="s">
        <v>46</v>
      </c>
      <c r="N1293" s="2">
        <v>45474</v>
      </c>
      <c r="O1293" s="2">
        <v>45504</v>
      </c>
      <c r="P1293">
        <v>500</v>
      </c>
      <c r="Q1293">
        <v>500</v>
      </c>
      <c r="R1293" t="s">
        <v>3047</v>
      </c>
    </row>
    <row r="1294" spans="1:20" x14ac:dyDescent="0.25">
      <c r="A1294" t="s">
        <v>14</v>
      </c>
      <c r="B1294" t="s">
        <v>1258</v>
      </c>
      <c r="C1294" t="s">
        <v>4402</v>
      </c>
      <c r="D1294" t="s">
        <v>4379</v>
      </c>
      <c r="E1294">
        <v>47300070597</v>
      </c>
      <c r="F1294" t="s">
        <v>16</v>
      </c>
      <c r="G1294" t="s">
        <v>28</v>
      </c>
      <c r="H1294" t="s">
        <v>77</v>
      </c>
      <c r="K1294" t="s">
        <v>3197</v>
      </c>
      <c r="L1294" t="s">
        <v>19</v>
      </c>
      <c r="M1294" t="s">
        <v>46</v>
      </c>
      <c r="N1294" s="2">
        <v>45474</v>
      </c>
      <c r="O1294" s="2">
        <v>45504</v>
      </c>
      <c r="P1294">
        <v>145500</v>
      </c>
      <c r="Q1294">
        <v>145500</v>
      </c>
      <c r="R1294" t="s">
        <v>3047</v>
      </c>
    </row>
    <row r="1295" spans="1:20" x14ac:dyDescent="0.25">
      <c r="A1295" t="s">
        <v>14</v>
      </c>
      <c r="B1295" t="s">
        <v>1258</v>
      </c>
      <c r="C1295" t="s">
        <v>4402</v>
      </c>
      <c r="D1295" t="s">
        <v>4379</v>
      </c>
      <c r="E1295">
        <v>47300070597</v>
      </c>
      <c r="F1295" t="s">
        <v>16</v>
      </c>
      <c r="G1295" t="s">
        <v>28</v>
      </c>
      <c r="H1295" t="s">
        <v>77</v>
      </c>
      <c r="K1295" t="s">
        <v>2892</v>
      </c>
      <c r="L1295" t="s">
        <v>19</v>
      </c>
      <c r="M1295" t="s">
        <v>46</v>
      </c>
      <c r="N1295" s="2">
        <v>45474</v>
      </c>
      <c r="O1295" s="2">
        <v>45504</v>
      </c>
      <c r="P1295">
        <v>10000</v>
      </c>
      <c r="Q1295">
        <v>10000</v>
      </c>
      <c r="R1295" t="s">
        <v>3047</v>
      </c>
    </row>
    <row r="1296" spans="1:20" x14ac:dyDescent="0.25">
      <c r="A1296" t="s">
        <v>14</v>
      </c>
      <c r="B1296" t="s">
        <v>1256</v>
      </c>
      <c r="C1296" t="s">
        <v>4414</v>
      </c>
      <c r="D1296" t="s">
        <v>4401</v>
      </c>
      <c r="E1296">
        <v>47300070654</v>
      </c>
      <c r="F1296" t="s">
        <v>16</v>
      </c>
      <c r="G1296" t="s">
        <v>28</v>
      </c>
      <c r="H1296" t="s">
        <v>217</v>
      </c>
      <c r="K1296" t="s">
        <v>3795</v>
      </c>
      <c r="L1296" t="s">
        <v>19</v>
      </c>
      <c r="M1296" t="s">
        <v>20</v>
      </c>
      <c r="P1296">
        <v>30000</v>
      </c>
      <c r="Q1296">
        <v>30000</v>
      </c>
      <c r="R1296" t="s">
        <v>3938</v>
      </c>
      <c r="S1296" t="s">
        <v>1257</v>
      </c>
      <c r="T1296">
        <v>70.099999999999994</v>
      </c>
    </row>
    <row r="1297" spans="1:20" x14ac:dyDescent="0.25">
      <c r="A1297" t="s">
        <v>14</v>
      </c>
      <c r="B1297" t="s">
        <v>1254</v>
      </c>
      <c r="C1297" t="s">
        <v>4365</v>
      </c>
      <c r="D1297" t="s">
        <v>4403</v>
      </c>
      <c r="E1297">
        <v>47300046746</v>
      </c>
      <c r="F1297" t="s">
        <v>16</v>
      </c>
      <c r="G1297" t="s">
        <v>28</v>
      </c>
      <c r="H1297" t="s">
        <v>32</v>
      </c>
      <c r="K1297" t="s">
        <v>3795</v>
      </c>
      <c r="L1297" t="s">
        <v>19</v>
      </c>
      <c r="M1297" t="s">
        <v>20</v>
      </c>
      <c r="P1297">
        <v>19900</v>
      </c>
      <c r="Q1297">
        <v>19900</v>
      </c>
      <c r="R1297" t="s">
        <v>3939</v>
      </c>
      <c r="S1297" t="s">
        <v>1255</v>
      </c>
      <c r="T1297">
        <v>46.5</v>
      </c>
    </row>
    <row r="1298" spans="1:20" x14ac:dyDescent="0.25">
      <c r="A1298" t="s">
        <v>14</v>
      </c>
      <c r="B1298" t="s">
        <v>1252</v>
      </c>
      <c r="C1298" t="s">
        <v>4389</v>
      </c>
      <c r="D1298" t="s">
        <v>4375</v>
      </c>
      <c r="E1298">
        <v>47300046241</v>
      </c>
      <c r="F1298" t="s">
        <v>16</v>
      </c>
      <c r="G1298" t="s">
        <v>23</v>
      </c>
      <c r="H1298" t="s">
        <v>24</v>
      </c>
      <c r="I1298" t="s">
        <v>2754</v>
      </c>
      <c r="J1298">
        <v>0</v>
      </c>
      <c r="K1298" t="s">
        <v>3795</v>
      </c>
      <c r="L1298" t="s">
        <v>19</v>
      </c>
      <c r="M1298" t="s">
        <v>20</v>
      </c>
      <c r="P1298">
        <v>35000</v>
      </c>
      <c r="Q1298">
        <v>35000</v>
      </c>
      <c r="R1298" t="s">
        <v>3940</v>
      </c>
      <c r="S1298" t="s">
        <v>1253</v>
      </c>
      <c r="T1298">
        <v>81.8</v>
      </c>
    </row>
    <row r="1299" spans="1:20" x14ac:dyDescent="0.25">
      <c r="A1299" t="s">
        <v>14</v>
      </c>
      <c r="B1299" t="s">
        <v>1250</v>
      </c>
      <c r="C1299" t="s">
        <v>4394</v>
      </c>
      <c r="D1299" t="s">
        <v>4395</v>
      </c>
      <c r="E1299">
        <v>47300070514</v>
      </c>
      <c r="F1299" t="s">
        <v>27</v>
      </c>
      <c r="G1299" t="s">
        <v>28</v>
      </c>
      <c r="H1299" t="s">
        <v>29</v>
      </c>
      <c r="K1299" t="s">
        <v>3795</v>
      </c>
      <c r="L1299" t="s">
        <v>19</v>
      </c>
      <c r="M1299" t="s">
        <v>20</v>
      </c>
      <c r="P1299">
        <v>100000</v>
      </c>
      <c r="Q1299">
        <v>100000</v>
      </c>
      <c r="R1299" t="s">
        <v>3941</v>
      </c>
      <c r="S1299" t="s">
        <v>1251</v>
      </c>
      <c r="T1299">
        <v>233.8</v>
      </c>
    </row>
    <row r="1300" spans="1:20" x14ac:dyDescent="0.25">
      <c r="A1300" t="s">
        <v>14</v>
      </c>
      <c r="B1300" t="s">
        <v>1248</v>
      </c>
      <c r="C1300" t="s">
        <v>4398</v>
      </c>
      <c r="D1300" t="s">
        <v>4377</v>
      </c>
      <c r="E1300">
        <v>47300046688</v>
      </c>
      <c r="F1300" t="s">
        <v>16</v>
      </c>
      <c r="G1300" t="s">
        <v>17</v>
      </c>
      <c r="H1300" t="s">
        <v>154</v>
      </c>
      <c r="K1300" t="s">
        <v>3795</v>
      </c>
      <c r="L1300" t="s">
        <v>19</v>
      </c>
      <c r="M1300" t="s">
        <v>20</v>
      </c>
      <c r="P1300">
        <v>50000</v>
      </c>
      <c r="Q1300">
        <v>50000</v>
      </c>
      <c r="R1300" t="s">
        <v>3942</v>
      </c>
      <c r="S1300" t="s">
        <v>1249</v>
      </c>
      <c r="T1300">
        <v>116.9</v>
      </c>
    </row>
    <row r="1301" spans="1:20" x14ac:dyDescent="0.25">
      <c r="A1301" t="s">
        <v>14</v>
      </c>
      <c r="B1301" t="s">
        <v>1246</v>
      </c>
      <c r="C1301" t="s">
        <v>4398</v>
      </c>
      <c r="D1301" t="s">
        <v>4377</v>
      </c>
      <c r="E1301">
        <v>47300046316</v>
      </c>
      <c r="F1301" t="s">
        <v>42</v>
      </c>
      <c r="G1301" t="s">
        <v>28</v>
      </c>
      <c r="H1301" t="s">
        <v>69</v>
      </c>
      <c r="K1301" t="s">
        <v>4266</v>
      </c>
      <c r="L1301" t="s">
        <v>19</v>
      </c>
      <c r="M1301" t="s">
        <v>63</v>
      </c>
      <c r="N1301" s="2">
        <v>45474</v>
      </c>
      <c r="O1301" s="2">
        <v>45504</v>
      </c>
      <c r="P1301">
        <v>35000</v>
      </c>
      <c r="Q1301">
        <v>35000</v>
      </c>
      <c r="R1301" t="s">
        <v>3428</v>
      </c>
      <c r="S1301" t="s">
        <v>1247</v>
      </c>
      <c r="T1301">
        <v>81.8</v>
      </c>
    </row>
    <row r="1302" spans="1:20" x14ac:dyDescent="0.25">
      <c r="A1302" t="s">
        <v>14</v>
      </c>
      <c r="B1302" t="s">
        <v>1246</v>
      </c>
      <c r="C1302" t="s">
        <v>4406</v>
      </c>
      <c r="D1302" t="s">
        <v>4394</v>
      </c>
      <c r="E1302">
        <v>47300046316</v>
      </c>
      <c r="F1302" t="s">
        <v>42</v>
      </c>
      <c r="G1302" t="s">
        <v>28</v>
      </c>
      <c r="H1302" t="s">
        <v>69</v>
      </c>
      <c r="K1302" t="s">
        <v>3294</v>
      </c>
      <c r="L1302" t="s">
        <v>19</v>
      </c>
      <c r="M1302" t="s">
        <v>46</v>
      </c>
      <c r="N1302" s="2">
        <v>45474</v>
      </c>
      <c r="O1302" s="2">
        <v>45504</v>
      </c>
      <c r="P1302">
        <v>500</v>
      </c>
      <c r="Q1302">
        <v>500</v>
      </c>
      <c r="R1302" t="s">
        <v>3428</v>
      </c>
    </row>
    <row r="1303" spans="1:20" x14ac:dyDescent="0.25">
      <c r="A1303" t="s">
        <v>14</v>
      </c>
      <c r="B1303" t="s">
        <v>1244</v>
      </c>
      <c r="C1303" t="s">
        <v>2927</v>
      </c>
      <c r="D1303" t="s">
        <v>4385</v>
      </c>
      <c r="E1303">
        <v>47300046761</v>
      </c>
      <c r="F1303" t="s">
        <v>42</v>
      </c>
      <c r="G1303" t="s">
        <v>28</v>
      </c>
      <c r="H1303" t="s">
        <v>43</v>
      </c>
      <c r="K1303" t="s">
        <v>3795</v>
      </c>
      <c r="L1303" t="s">
        <v>19</v>
      </c>
      <c r="M1303" t="s">
        <v>20</v>
      </c>
      <c r="P1303">
        <v>100000</v>
      </c>
      <c r="Q1303">
        <v>100000</v>
      </c>
      <c r="R1303" t="s">
        <v>3943</v>
      </c>
      <c r="S1303" t="s">
        <v>1245</v>
      </c>
      <c r="T1303">
        <v>233.7</v>
      </c>
    </row>
    <row r="1304" spans="1:20" x14ac:dyDescent="0.25">
      <c r="A1304" t="s">
        <v>14</v>
      </c>
      <c r="B1304" t="s">
        <v>1242</v>
      </c>
      <c r="C1304" t="s">
        <v>4398</v>
      </c>
      <c r="D1304" t="s">
        <v>4399</v>
      </c>
      <c r="E1304">
        <v>47300046720</v>
      </c>
      <c r="F1304" t="s">
        <v>16</v>
      </c>
      <c r="G1304" t="s">
        <v>28</v>
      </c>
      <c r="H1304" t="s">
        <v>143</v>
      </c>
      <c r="K1304" t="s">
        <v>3795</v>
      </c>
      <c r="L1304" t="s">
        <v>19</v>
      </c>
      <c r="M1304" t="s">
        <v>20</v>
      </c>
      <c r="P1304">
        <v>50000</v>
      </c>
      <c r="Q1304">
        <v>50000</v>
      </c>
      <c r="R1304" t="s">
        <v>3944</v>
      </c>
      <c r="S1304" t="s">
        <v>1243</v>
      </c>
      <c r="T1304">
        <v>116.9</v>
      </c>
    </row>
    <row r="1305" spans="1:20" x14ac:dyDescent="0.25">
      <c r="A1305" t="s">
        <v>14</v>
      </c>
      <c r="B1305" t="s">
        <v>1240</v>
      </c>
      <c r="C1305" t="s">
        <v>2927</v>
      </c>
      <c r="D1305" t="s">
        <v>4385</v>
      </c>
      <c r="E1305">
        <v>47300046365</v>
      </c>
      <c r="F1305" t="s">
        <v>16</v>
      </c>
      <c r="G1305" t="s">
        <v>28</v>
      </c>
      <c r="H1305" t="s">
        <v>62</v>
      </c>
      <c r="K1305" t="s">
        <v>4266</v>
      </c>
      <c r="L1305" t="s">
        <v>19</v>
      </c>
      <c r="M1305" t="s">
        <v>63</v>
      </c>
      <c r="N1305" s="2">
        <v>45474</v>
      </c>
      <c r="O1305" s="2">
        <v>45504</v>
      </c>
      <c r="P1305">
        <v>50000</v>
      </c>
      <c r="Q1305">
        <v>50000</v>
      </c>
      <c r="R1305" t="s">
        <v>3048</v>
      </c>
      <c r="S1305" t="s">
        <v>1241</v>
      </c>
      <c r="T1305">
        <v>116.9</v>
      </c>
    </row>
    <row r="1306" spans="1:20" x14ac:dyDescent="0.25">
      <c r="A1306" t="s">
        <v>14</v>
      </c>
      <c r="B1306" t="s">
        <v>1240</v>
      </c>
      <c r="C1306" t="s">
        <v>4376</v>
      </c>
      <c r="D1306" t="s">
        <v>4377</v>
      </c>
      <c r="E1306">
        <v>47300046365</v>
      </c>
      <c r="F1306" t="s">
        <v>16</v>
      </c>
      <c r="G1306" t="s">
        <v>28</v>
      </c>
      <c r="H1306" t="s">
        <v>62</v>
      </c>
      <c r="K1306" t="s">
        <v>3294</v>
      </c>
      <c r="L1306" t="s">
        <v>19</v>
      </c>
      <c r="M1306" t="s">
        <v>46</v>
      </c>
      <c r="N1306" s="2">
        <v>45474</v>
      </c>
      <c r="O1306" s="2">
        <v>45504</v>
      </c>
      <c r="P1306">
        <v>500</v>
      </c>
      <c r="Q1306">
        <v>500</v>
      </c>
      <c r="R1306" t="s">
        <v>3048</v>
      </c>
    </row>
    <row r="1307" spans="1:20" x14ac:dyDescent="0.25">
      <c r="A1307" t="s">
        <v>14</v>
      </c>
      <c r="B1307" t="s">
        <v>1240</v>
      </c>
      <c r="C1307" t="s">
        <v>4387</v>
      </c>
      <c r="D1307" t="s">
        <v>4388</v>
      </c>
      <c r="E1307">
        <v>47300046365</v>
      </c>
      <c r="F1307" t="s">
        <v>16</v>
      </c>
      <c r="G1307" t="s">
        <v>28</v>
      </c>
      <c r="H1307" t="s">
        <v>62</v>
      </c>
      <c r="K1307" t="s">
        <v>3197</v>
      </c>
      <c r="L1307" t="s">
        <v>19</v>
      </c>
      <c r="M1307" t="s">
        <v>46</v>
      </c>
      <c r="N1307" s="2">
        <v>45474</v>
      </c>
      <c r="O1307" s="2">
        <v>45504</v>
      </c>
      <c r="P1307">
        <v>145500</v>
      </c>
      <c r="Q1307">
        <v>145500</v>
      </c>
      <c r="R1307" t="s">
        <v>3048</v>
      </c>
    </row>
    <row r="1308" spans="1:20" x14ac:dyDescent="0.25">
      <c r="A1308" t="s">
        <v>14</v>
      </c>
      <c r="B1308" t="s">
        <v>1240</v>
      </c>
      <c r="C1308" t="s">
        <v>2927</v>
      </c>
      <c r="D1308" t="s">
        <v>4385</v>
      </c>
      <c r="E1308">
        <v>47300046365</v>
      </c>
      <c r="F1308" t="s">
        <v>16</v>
      </c>
      <c r="G1308" t="s">
        <v>28</v>
      </c>
      <c r="H1308" t="s">
        <v>62</v>
      </c>
      <c r="K1308" t="s">
        <v>2892</v>
      </c>
      <c r="L1308" t="s">
        <v>19</v>
      </c>
      <c r="M1308" t="s">
        <v>46</v>
      </c>
      <c r="N1308" s="2">
        <v>45474</v>
      </c>
      <c r="O1308" s="2">
        <v>45504</v>
      </c>
      <c r="P1308">
        <v>10000</v>
      </c>
      <c r="Q1308">
        <v>10000</v>
      </c>
      <c r="R1308" t="s">
        <v>3048</v>
      </c>
    </row>
    <row r="1309" spans="1:20" x14ac:dyDescent="0.25">
      <c r="A1309" t="s">
        <v>14</v>
      </c>
      <c r="B1309" t="s">
        <v>1238</v>
      </c>
      <c r="C1309" t="s">
        <v>2927</v>
      </c>
      <c r="D1309" t="s">
        <v>4385</v>
      </c>
      <c r="E1309">
        <v>47300046779</v>
      </c>
      <c r="F1309" t="s">
        <v>42</v>
      </c>
      <c r="G1309" t="s">
        <v>28</v>
      </c>
      <c r="H1309" t="s">
        <v>199</v>
      </c>
      <c r="K1309" t="s">
        <v>3795</v>
      </c>
      <c r="L1309" t="s">
        <v>19</v>
      </c>
      <c r="M1309" t="s">
        <v>20</v>
      </c>
      <c r="P1309">
        <v>100000</v>
      </c>
      <c r="Q1309">
        <v>100000</v>
      </c>
      <c r="R1309" t="s">
        <v>3945</v>
      </c>
      <c r="S1309" t="s">
        <v>1239</v>
      </c>
      <c r="T1309">
        <v>233.7</v>
      </c>
    </row>
    <row r="1310" spans="1:20" x14ac:dyDescent="0.25">
      <c r="A1310" t="s">
        <v>14</v>
      </c>
      <c r="B1310" t="s">
        <v>1236</v>
      </c>
      <c r="C1310" t="s">
        <v>4405</v>
      </c>
      <c r="D1310" t="s">
        <v>4390</v>
      </c>
      <c r="E1310">
        <v>47300046258</v>
      </c>
      <c r="F1310" t="s">
        <v>16</v>
      </c>
      <c r="G1310" t="s">
        <v>28</v>
      </c>
      <c r="H1310" t="s">
        <v>160</v>
      </c>
      <c r="K1310" t="s">
        <v>3795</v>
      </c>
      <c r="L1310" t="s">
        <v>19</v>
      </c>
      <c r="M1310" t="s">
        <v>20</v>
      </c>
      <c r="P1310">
        <v>20000</v>
      </c>
      <c r="Q1310">
        <v>20000</v>
      </c>
      <c r="R1310" t="s">
        <v>3946</v>
      </c>
      <c r="S1310" t="s">
        <v>1237</v>
      </c>
      <c r="T1310">
        <v>46.7</v>
      </c>
    </row>
    <row r="1311" spans="1:20" x14ac:dyDescent="0.25">
      <c r="A1311" t="s">
        <v>14</v>
      </c>
      <c r="B1311" t="s">
        <v>1234</v>
      </c>
      <c r="C1311" t="s">
        <v>4400</v>
      </c>
      <c r="D1311" t="s">
        <v>4401</v>
      </c>
      <c r="E1311">
        <v>47300070654</v>
      </c>
      <c r="F1311" t="s">
        <v>16</v>
      </c>
      <c r="G1311" t="s">
        <v>28</v>
      </c>
      <c r="H1311" t="s">
        <v>217</v>
      </c>
      <c r="K1311" t="s">
        <v>3795</v>
      </c>
      <c r="L1311" t="s">
        <v>19</v>
      </c>
      <c r="M1311" t="s">
        <v>20</v>
      </c>
      <c r="P1311">
        <v>80000</v>
      </c>
      <c r="Q1311">
        <v>80000</v>
      </c>
      <c r="R1311" t="s">
        <v>3947</v>
      </c>
      <c r="S1311" t="s">
        <v>1235</v>
      </c>
      <c r="T1311">
        <v>186.9</v>
      </c>
    </row>
    <row r="1312" spans="1:20" x14ac:dyDescent="0.25">
      <c r="A1312" t="s">
        <v>14</v>
      </c>
      <c r="B1312" t="s">
        <v>1232</v>
      </c>
      <c r="C1312" t="s">
        <v>4369</v>
      </c>
      <c r="D1312" t="s">
        <v>4370</v>
      </c>
      <c r="E1312">
        <v>47300070605</v>
      </c>
      <c r="F1312" t="s">
        <v>16</v>
      </c>
      <c r="G1312" t="s">
        <v>28</v>
      </c>
      <c r="H1312" t="s">
        <v>178</v>
      </c>
      <c r="K1312" t="s">
        <v>4266</v>
      </c>
      <c r="L1312" t="s">
        <v>19</v>
      </c>
      <c r="M1312" t="s">
        <v>63</v>
      </c>
      <c r="N1312" s="2">
        <v>45474</v>
      </c>
      <c r="O1312" s="2">
        <v>45504</v>
      </c>
      <c r="P1312">
        <v>40000</v>
      </c>
      <c r="Q1312">
        <v>40000</v>
      </c>
      <c r="R1312" t="s">
        <v>3049</v>
      </c>
      <c r="S1312" t="s">
        <v>1233</v>
      </c>
      <c r="T1312">
        <v>93.5</v>
      </c>
    </row>
    <row r="1313" spans="1:20" x14ac:dyDescent="0.25">
      <c r="A1313" t="s">
        <v>14</v>
      </c>
      <c r="B1313" t="s">
        <v>1232</v>
      </c>
      <c r="C1313" t="s">
        <v>4418</v>
      </c>
      <c r="D1313" t="s">
        <v>4368</v>
      </c>
      <c r="E1313">
        <v>47300070605</v>
      </c>
      <c r="F1313" t="s">
        <v>16</v>
      </c>
      <c r="G1313" t="s">
        <v>28</v>
      </c>
      <c r="H1313" t="s">
        <v>178</v>
      </c>
      <c r="K1313" t="s">
        <v>3294</v>
      </c>
      <c r="L1313" t="s">
        <v>19</v>
      </c>
      <c r="M1313" t="s">
        <v>46</v>
      </c>
      <c r="N1313" s="2">
        <v>45474</v>
      </c>
      <c r="O1313" s="2">
        <v>45504</v>
      </c>
      <c r="P1313">
        <v>500</v>
      </c>
      <c r="Q1313">
        <v>500</v>
      </c>
      <c r="R1313" t="s">
        <v>3049</v>
      </c>
    </row>
    <row r="1314" spans="1:20" x14ac:dyDescent="0.25">
      <c r="A1314" t="s">
        <v>14</v>
      </c>
      <c r="B1314" t="s">
        <v>1232</v>
      </c>
      <c r="C1314" t="s">
        <v>4419</v>
      </c>
      <c r="D1314" t="s">
        <v>4368</v>
      </c>
      <c r="E1314">
        <v>47300070605</v>
      </c>
      <c r="F1314" t="s">
        <v>16</v>
      </c>
      <c r="G1314" t="s">
        <v>28</v>
      </c>
      <c r="H1314" t="s">
        <v>178</v>
      </c>
      <c r="K1314" t="s">
        <v>3197</v>
      </c>
      <c r="L1314" t="s">
        <v>19</v>
      </c>
      <c r="M1314" t="s">
        <v>46</v>
      </c>
      <c r="N1314" s="2">
        <v>45474</v>
      </c>
      <c r="O1314" s="2">
        <v>45504</v>
      </c>
      <c r="P1314">
        <v>145500</v>
      </c>
      <c r="Q1314">
        <v>145500</v>
      </c>
      <c r="R1314" t="s">
        <v>3049</v>
      </c>
    </row>
    <row r="1315" spans="1:20" x14ac:dyDescent="0.25">
      <c r="A1315" t="s">
        <v>14</v>
      </c>
      <c r="B1315" t="s">
        <v>1232</v>
      </c>
      <c r="C1315" t="s">
        <v>4409</v>
      </c>
      <c r="D1315" t="s">
        <v>4410</v>
      </c>
      <c r="E1315">
        <v>47300070605</v>
      </c>
      <c r="F1315" t="s">
        <v>16</v>
      </c>
      <c r="G1315" t="s">
        <v>28</v>
      </c>
      <c r="H1315" t="s">
        <v>178</v>
      </c>
      <c r="K1315" t="s">
        <v>2892</v>
      </c>
      <c r="L1315" t="s">
        <v>19</v>
      </c>
      <c r="M1315" t="s">
        <v>46</v>
      </c>
      <c r="N1315" s="2">
        <v>45474</v>
      </c>
      <c r="O1315" s="2">
        <v>45504</v>
      </c>
      <c r="P1315">
        <v>10000</v>
      </c>
      <c r="Q1315">
        <v>10000</v>
      </c>
      <c r="R1315" t="s">
        <v>3049</v>
      </c>
    </row>
    <row r="1316" spans="1:20" x14ac:dyDescent="0.25">
      <c r="A1316" t="s">
        <v>14</v>
      </c>
      <c r="B1316" t="s">
        <v>1230</v>
      </c>
      <c r="C1316" t="s">
        <v>4371</v>
      </c>
      <c r="D1316" t="s">
        <v>4368</v>
      </c>
      <c r="E1316">
        <v>47300025708</v>
      </c>
      <c r="F1316" t="s">
        <v>35</v>
      </c>
      <c r="G1316" t="s">
        <v>36</v>
      </c>
      <c r="H1316" t="s">
        <v>4360</v>
      </c>
      <c r="K1316" t="s">
        <v>3795</v>
      </c>
      <c r="L1316" t="s">
        <v>19</v>
      </c>
      <c r="M1316" t="s">
        <v>20</v>
      </c>
      <c r="P1316">
        <v>100000</v>
      </c>
      <c r="Q1316">
        <v>100000</v>
      </c>
      <c r="R1316" t="s">
        <v>3948</v>
      </c>
      <c r="S1316" t="s">
        <v>1231</v>
      </c>
      <c r="T1316">
        <v>233.7</v>
      </c>
    </row>
    <row r="1317" spans="1:20" x14ac:dyDescent="0.25">
      <c r="A1317" t="s">
        <v>14</v>
      </c>
      <c r="B1317" t="s">
        <v>1228</v>
      </c>
      <c r="C1317" t="s">
        <v>4405</v>
      </c>
      <c r="D1317" t="s">
        <v>4390</v>
      </c>
      <c r="E1317">
        <v>47300026185</v>
      </c>
      <c r="F1317" t="s">
        <v>35</v>
      </c>
      <c r="G1317" t="s">
        <v>36</v>
      </c>
      <c r="H1317" t="s">
        <v>4361</v>
      </c>
      <c r="K1317" t="s">
        <v>3795</v>
      </c>
      <c r="L1317" t="s">
        <v>19</v>
      </c>
      <c r="M1317" t="s">
        <v>20</v>
      </c>
      <c r="P1317">
        <v>50000</v>
      </c>
      <c r="Q1317">
        <v>50000</v>
      </c>
      <c r="R1317" t="s">
        <v>3949</v>
      </c>
      <c r="S1317" t="s">
        <v>1229</v>
      </c>
      <c r="T1317">
        <v>116.8</v>
      </c>
    </row>
    <row r="1318" spans="1:20" x14ac:dyDescent="0.25">
      <c r="A1318" t="s">
        <v>14</v>
      </c>
      <c r="B1318" t="s">
        <v>1226</v>
      </c>
      <c r="C1318" t="s">
        <v>4365</v>
      </c>
      <c r="D1318" t="s">
        <v>4403</v>
      </c>
      <c r="E1318">
        <v>47300020147</v>
      </c>
      <c r="F1318" t="s">
        <v>35</v>
      </c>
      <c r="G1318" t="s">
        <v>36</v>
      </c>
      <c r="H1318" t="s">
        <v>4363</v>
      </c>
      <c r="K1318" t="s">
        <v>3795</v>
      </c>
      <c r="L1318" t="s">
        <v>19</v>
      </c>
      <c r="M1318" t="s">
        <v>20</v>
      </c>
      <c r="P1318">
        <v>50000</v>
      </c>
      <c r="Q1318">
        <v>50000</v>
      </c>
      <c r="R1318" t="s">
        <v>3950</v>
      </c>
      <c r="S1318" t="s">
        <v>1227</v>
      </c>
      <c r="T1318">
        <v>116.8</v>
      </c>
    </row>
    <row r="1319" spans="1:20" x14ac:dyDescent="0.25">
      <c r="A1319" t="s">
        <v>14</v>
      </c>
      <c r="B1319" t="s">
        <v>1224</v>
      </c>
      <c r="C1319" t="s">
        <v>4412</v>
      </c>
      <c r="D1319" t="s">
        <v>4377</v>
      </c>
      <c r="E1319">
        <v>47300012151</v>
      </c>
      <c r="F1319" t="s">
        <v>35</v>
      </c>
      <c r="G1319" t="s">
        <v>36</v>
      </c>
      <c r="H1319" t="s">
        <v>4362</v>
      </c>
      <c r="K1319" t="s">
        <v>3795</v>
      </c>
      <c r="L1319" t="s">
        <v>19</v>
      </c>
      <c r="M1319" t="s">
        <v>20</v>
      </c>
      <c r="P1319">
        <v>50000</v>
      </c>
      <c r="Q1319">
        <v>50000</v>
      </c>
      <c r="R1319" t="s">
        <v>3951</v>
      </c>
      <c r="S1319" t="s">
        <v>1225</v>
      </c>
      <c r="T1319">
        <v>116.9</v>
      </c>
    </row>
    <row r="1320" spans="1:20" x14ac:dyDescent="0.25">
      <c r="A1320" t="s">
        <v>14</v>
      </c>
      <c r="B1320" t="s">
        <v>1222</v>
      </c>
      <c r="C1320" t="s">
        <v>4405</v>
      </c>
      <c r="D1320" t="s">
        <v>4390</v>
      </c>
      <c r="E1320">
        <v>47300086445</v>
      </c>
      <c r="F1320" t="s">
        <v>16</v>
      </c>
      <c r="G1320" t="s">
        <v>28</v>
      </c>
      <c r="H1320" t="s">
        <v>187</v>
      </c>
      <c r="I1320" t="s">
        <v>2777</v>
      </c>
      <c r="J1320" t="s">
        <v>2776</v>
      </c>
      <c r="K1320" t="s">
        <v>3795</v>
      </c>
      <c r="L1320" t="s">
        <v>19</v>
      </c>
      <c r="M1320" t="s">
        <v>20</v>
      </c>
      <c r="P1320">
        <v>99900</v>
      </c>
      <c r="Q1320">
        <v>99900</v>
      </c>
      <c r="R1320" t="s">
        <v>3952</v>
      </c>
      <c r="S1320" t="s">
        <v>1223</v>
      </c>
      <c r="T1320">
        <v>233.5</v>
      </c>
    </row>
    <row r="1321" spans="1:20" x14ac:dyDescent="0.25">
      <c r="A1321" t="s">
        <v>14</v>
      </c>
      <c r="B1321" t="s">
        <v>1220</v>
      </c>
      <c r="C1321" t="s">
        <v>4405</v>
      </c>
      <c r="D1321" t="s">
        <v>4390</v>
      </c>
      <c r="E1321">
        <v>47300070522</v>
      </c>
      <c r="F1321" t="s">
        <v>16</v>
      </c>
      <c r="G1321" t="s">
        <v>17</v>
      </c>
      <c r="H1321" t="s">
        <v>18</v>
      </c>
      <c r="K1321" t="s">
        <v>3795</v>
      </c>
      <c r="L1321" t="s">
        <v>19</v>
      </c>
      <c r="M1321" t="s">
        <v>20</v>
      </c>
      <c r="P1321">
        <v>20000</v>
      </c>
      <c r="Q1321">
        <v>20000</v>
      </c>
      <c r="R1321" t="s">
        <v>3953</v>
      </c>
      <c r="S1321" t="s">
        <v>1221</v>
      </c>
      <c r="T1321">
        <v>46.7</v>
      </c>
    </row>
    <row r="1322" spans="1:20" x14ac:dyDescent="0.25">
      <c r="A1322" t="s">
        <v>14</v>
      </c>
      <c r="B1322" t="s">
        <v>1219</v>
      </c>
      <c r="C1322" t="s">
        <v>4396</v>
      </c>
      <c r="D1322" t="s">
        <v>4397</v>
      </c>
      <c r="E1322">
        <v>47300046191</v>
      </c>
      <c r="F1322" t="s">
        <v>16</v>
      </c>
      <c r="G1322" t="s">
        <v>28</v>
      </c>
      <c r="H1322" t="s">
        <v>119</v>
      </c>
      <c r="I1322" t="s">
        <v>2799</v>
      </c>
      <c r="J1322">
        <v>8033011626</v>
      </c>
      <c r="K1322" t="s">
        <v>2820</v>
      </c>
      <c r="L1322" t="s">
        <v>47</v>
      </c>
      <c r="N1322" s="2">
        <v>45502</v>
      </c>
      <c r="O1322" s="2">
        <v>45503</v>
      </c>
      <c r="P1322">
        <v>107688.92</v>
      </c>
      <c r="Q1322">
        <v>107688.92</v>
      </c>
      <c r="R1322" t="s">
        <v>2819</v>
      </c>
    </row>
    <row r="1323" spans="1:20" x14ac:dyDescent="0.25">
      <c r="A1323" t="s">
        <v>14</v>
      </c>
      <c r="B1323" t="s">
        <v>1217</v>
      </c>
      <c r="C1323" t="s">
        <v>4408</v>
      </c>
      <c r="D1323" t="s">
        <v>4407</v>
      </c>
      <c r="E1323">
        <v>47300046191</v>
      </c>
      <c r="F1323" t="s">
        <v>16</v>
      </c>
      <c r="G1323" t="s">
        <v>28</v>
      </c>
      <c r="H1323" t="s">
        <v>119</v>
      </c>
      <c r="I1323" t="s">
        <v>2799</v>
      </c>
      <c r="J1323">
        <v>8033011626</v>
      </c>
      <c r="K1323" t="s">
        <v>3795</v>
      </c>
      <c r="L1323" t="s">
        <v>19</v>
      </c>
      <c r="M1323" t="s">
        <v>20</v>
      </c>
      <c r="P1323">
        <v>80000</v>
      </c>
      <c r="Q1323">
        <v>80000</v>
      </c>
      <c r="R1323" t="s">
        <v>3954</v>
      </c>
      <c r="S1323" t="s">
        <v>1218</v>
      </c>
      <c r="T1323">
        <v>186.9</v>
      </c>
    </row>
    <row r="1324" spans="1:20" x14ac:dyDescent="0.25">
      <c r="A1324" t="s">
        <v>14</v>
      </c>
      <c r="B1324" t="s">
        <v>1215</v>
      </c>
      <c r="C1324" t="s">
        <v>4414</v>
      </c>
      <c r="D1324" t="s">
        <v>4401</v>
      </c>
      <c r="E1324">
        <v>47300046746</v>
      </c>
      <c r="F1324" t="s">
        <v>16</v>
      </c>
      <c r="G1324" t="s">
        <v>28</v>
      </c>
      <c r="H1324" t="s">
        <v>32</v>
      </c>
      <c r="K1324" t="s">
        <v>3795</v>
      </c>
      <c r="L1324" t="s">
        <v>19</v>
      </c>
      <c r="M1324" t="s">
        <v>20</v>
      </c>
      <c r="P1324">
        <v>12000</v>
      </c>
      <c r="Q1324">
        <v>12000</v>
      </c>
      <c r="R1324" t="s">
        <v>3955</v>
      </c>
      <c r="S1324" t="s">
        <v>1216</v>
      </c>
      <c r="T1324">
        <v>28.1</v>
      </c>
    </row>
    <row r="1325" spans="1:20" x14ac:dyDescent="0.25">
      <c r="A1325" t="s">
        <v>14</v>
      </c>
      <c r="B1325" t="s">
        <v>1213</v>
      </c>
      <c r="C1325" t="s">
        <v>4420</v>
      </c>
      <c r="D1325" t="s">
        <v>4394</v>
      </c>
      <c r="E1325">
        <v>47300070753</v>
      </c>
      <c r="F1325" t="s">
        <v>16</v>
      </c>
      <c r="G1325" t="s">
        <v>17</v>
      </c>
      <c r="H1325" t="s">
        <v>82</v>
      </c>
      <c r="K1325" t="s">
        <v>3795</v>
      </c>
      <c r="L1325" t="s">
        <v>19</v>
      </c>
      <c r="M1325" t="s">
        <v>20</v>
      </c>
      <c r="P1325">
        <v>100000</v>
      </c>
      <c r="Q1325">
        <v>100000</v>
      </c>
      <c r="R1325" t="s">
        <v>3956</v>
      </c>
      <c r="S1325" t="s">
        <v>1214</v>
      </c>
      <c r="T1325">
        <v>233.7</v>
      </c>
    </row>
    <row r="1326" spans="1:20" x14ac:dyDescent="0.25">
      <c r="A1326" t="s">
        <v>14</v>
      </c>
      <c r="B1326" t="s">
        <v>1211</v>
      </c>
      <c r="C1326" t="s">
        <v>4420</v>
      </c>
      <c r="D1326" t="s">
        <v>4394</v>
      </c>
      <c r="E1326">
        <v>47300046662</v>
      </c>
      <c r="F1326" t="s">
        <v>16</v>
      </c>
      <c r="G1326" t="s">
        <v>28</v>
      </c>
      <c r="H1326" t="s">
        <v>129</v>
      </c>
      <c r="K1326" t="s">
        <v>3795</v>
      </c>
      <c r="L1326" t="s">
        <v>19</v>
      </c>
      <c r="M1326" t="s">
        <v>20</v>
      </c>
      <c r="P1326">
        <v>50000</v>
      </c>
      <c r="Q1326">
        <v>50000</v>
      </c>
      <c r="R1326" t="s">
        <v>3957</v>
      </c>
      <c r="S1326" t="s">
        <v>1212</v>
      </c>
      <c r="T1326">
        <v>116.9</v>
      </c>
    </row>
    <row r="1327" spans="1:20" x14ac:dyDescent="0.25">
      <c r="A1327" t="s">
        <v>14</v>
      </c>
      <c r="B1327" t="s">
        <v>1210</v>
      </c>
      <c r="C1327" t="s">
        <v>4371</v>
      </c>
      <c r="D1327" t="s">
        <v>4368</v>
      </c>
      <c r="E1327">
        <v>47300046191</v>
      </c>
      <c r="F1327" t="s">
        <v>16</v>
      </c>
      <c r="G1327" t="s">
        <v>28</v>
      </c>
      <c r="H1327" t="s">
        <v>119</v>
      </c>
      <c r="I1327" t="s">
        <v>2799</v>
      </c>
      <c r="J1327">
        <v>8033011626</v>
      </c>
      <c r="K1327" t="s">
        <v>3197</v>
      </c>
      <c r="L1327" t="s">
        <v>19</v>
      </c>
      <c r="M1327" t="s">
        <v>46</v>
      </c>
      <c r="N1327" s="2">
        <v>45474</v>
      </c>
      <c r="O1327" s="2">
        <v>45504</v>
      </c>
      <c r="P1327">
        <v>145500</v>
      </c>
      <c r="Q1327">
        <v>145500</v>
      </c>
      <c r="R1327" t="s">
        <v>2813</v>
      </c>
    </row>
    <row r="1328" spans="1:20" x14ac:dyDescent="0.25">
      <c r="A1328" t="s">
        <v>14</v>
      </c>
      <c r="B1328" t="s">
        <v>1210</v>
      </c>
      <c r="C1328" t="s">
        <v>4406</v>
      </c>
      <c r="D1328" t="s">
        <v>4394</v>
      </c>
      <c r="E1328">
        <v>47300046191</v>
      </c>
      <c r="F1328" t="s">
        <v>16</v>
      </c>
      <c r="G1328" t="s">
        <v>28</v>
      </c>
      <c r="H1328" t="s">
        <v>119</v>
      </c>
      <c r="I1328" t="s">
        <v>2799</v>
      </c>
      <c r="J1328">
        <v>8033011626</v>
      </c>
      <c r="K1328" t="s">
        <v>2892</v>
      </c>
      <c r="L1328" t="s">
        <v>19</v>
      </c>
      <c r="M1328" t="s">
        <v>46</v>
      </c>
      <c r="N1328" s="2">
        <v>45474</v>
      </c>
      <c r="O1328" s="2">
        <v>45504</v>
      </c>
      <c r="P1328">
        <v>10000</v>
      </c>
      <c r="Q1328">
        <v>10000</v>
      </c>
      <c r="R1328" t="s">
        <v>2813</v>
      </c>
    </row>
    <row r="1329" spans="1:20" x14ac:dyDescent="0.25">
      <c r="A1329" t="s">
        <v>14</v>
      </c>
      <c r="B1329" t="s">
        <v>1210</v>
      </c>
      <c r="C1329" t="s">
        <v>4420</v>
      </c>
      <c r="D1329" t="s">
        <v>4394</v>
      </c>
      <c r="E1329">
        <v>47300046191</v>
      </c>
      <c r="F1329" t="s">
        <v>16</v>
      </c>
      <c r="G1329" t="s">
        <v>28</v>
      </c>
      <c r="H1329" t="s">
        <v>119</v>
      </c>
      <c r="I1329" t="s">
        <v>2799</v>
      </c>
      <c r="J1329">
        <v>8033011626</v>
      </c>
      <c r="K1329" t="s">
        <v>2814</v>
      </c>
      <c r="L1329" t="s">
        <v>47</v>
      </c>
      <c r="N1329" s="2">
        <v>45502</v>
      </c>
      <c r="O1329" s="2">
        <v>45503</v>
      </c>
      <c r="P1329">
        <v>107688.92</v>
      </c>
      <c r="Q1329">
        <v>107688.92</v>
      </c>
      <c r="R1329" t="s">
        <v>2813</v>
      </c>
    </row>
    <row r="1330" spans="1:20" x14ac:dyDescent="0.25">
      <c r="A1330" t="s">
        <v>14</v>
      </c>
      <c r="B1330" t="s">
        <v>1208</v>
      </c>
      <c r="C1330" t="s">
        <v>4420</v>
      </c>
      <c r="D1330" t="s">
        <v>4394</v>
      </c>
      <c r="E1330">
        <v>47300046688</v>
      </c>
      <c r="F1330" t="s">
        <v>16</v>
      </c>
      <c r="G1330" t="s">
        <v>17</v>
      </c>
      <c r="H1330" t="s">
        <v>154</v>
      </c>
      <c r="K1330" t="s">
        <v>3795</v>
      </c>
      <c r="L1330" t="s">
        <v>19</v>
      </c>
      <c r="M1330" t="s">
        <v>20</v>
      </c>
      <c r="P1330">
        <v>200000</v>
      </c>
      <c r="Q1330">
        <v>200000</v>
      </c>
      <c r="R1330" t="s">
        <v>3958</v>
      </c>
      <c r="S1330" t="s">
        <v>1209</v>
      </c>
      <c r="T1330">
        <v>467.4</v>
      </c>
    </row>
    <row r="1331" spans="1:20" x14ac:dyDescent="0.25">
      <c r="A1331" t="s">
        <v>14</v>
      </c>
      <c r="B1331" t="s">
        <v>1206</v>
      </c>
      <c r="C1331" t="s">
        <v>4398</v>
      </c>
      <c r="D1331" t="s">
        <v>4377</v>
      </c>
      <c r="E1331">
        <v>47300025708</v>
      </c>
      <c r="F1331" t="s">
        <v>35</v>
      </c>
      <c r="G1331" t="s">
        <v>36</v>
      </c>
      <c r="H1331" t="s">
        <v>4360</v>
      </c>
      <c r="K1331" t="s">
        <v>3795</v>
      </c>
      <c r="L1331" t="s">
        <v>19</v>
      </c>
      <c r="M1331" t="s">
        <v>20</v>
      </c>
      <c r="P1331">
        <v>50000</v>
      </c>
      <c r="Q1331">
        <v>50000</v>
      </c>
      <c r="R1331" t="s">
        <v>3959</v>
      </c>
      <c r="S1331" t="s">
        <v>1207</v>
      </c>
      <c r="T1331">
        <v>116.9</v>
      </c>
    </row>
    <row r="1332" spans="1:20" x14ac:dyDescent="0.25">
      <c r="A1332" t="s">
        <v>14</v>
      </c>
      <c r="B1332" t="s">
        <v>1205</v>
      </c>
      <c r="C1332" t="s">
        <v>4420</v>
      </c>
      <c r="D1332" t="s">
        <v>4394</v>
      </c>
      <c r="E1332">
        <v>47300046316</v>
      </c>
      <c r="F1332" t="s">
        <v>42</v>
      </c>
      <c r="G1332" t="s">
        <v>28</v>
      </c>
      <c r="H1332" t="s">
        <v>69</v>
      </c>
      <c r="K1332" t="s">
        <v>2808</v>
      </c>
      <c r="L1332" t="s">
        <v>47</v>
      </c>
      <c r="N1332" s="2">
        <v>45502</v>
      </c>
      <c r="O1332" s="2">
        <v>45502</v>
      </c>
      <c r="P1332">
        <v>291000</v>
      </c>
      <c r="Q1332">
        <v>291000</v>
      </c>
      <c r="R1332" t="s">
        <v>2807</v>
      </c>
    </row>
    <row r="1333" spans="1:20" x14ac:dyDescent="0.25">
      <c r="A1333" t="s">
        <v>14</v>
      </c>
      <c r="B1333" t="s">
        <v>1203</v>
      </c>
      <c r="C1333" t="s">
        <v>4414</v>
      </c>
      <c r="D1333" t="s">
        <v>4401</v>
      </c>
      <c r="E1333">
        <v>47300070522</v>
      </c>
      <c r="F1333" t="s">
        <v>16</v>
      </c>
      <c r="G1333" t="s">
        <v>17</v>
      </c>
      <c r="H1333" t="s">
        <v>18</v>
      </c>
      <c r="K1333" t="s">
        <v>3795</v>
      </c>
      <c r="L1333" t="s">
        <v>19</v>
      </c>
      <c r="M1333" t="s">
        <v>20</v>
      </c>
      <c r="P1333">
        <v>10000</v>
      </c>
      <c r="Q1333">
        <v>10000</v>
      </c>
      <c r="R1333" t="s">
        <v>3960</v>
      </c>
      <c r="S1333" t="s">
        <v>1204</v>
      </c>
      <c r="T1333">
        <v>23.4</v>
      </c>
    </row>
    <row r="1334" spans="1:20" x14ac:dyDescent="0.25">
      <c r="A1334" t="s">
        <v>14</v>
      </c>
      <c r="B1334" t="s">
        <v>1201</v>
      </c>
      <c r="C1334" t="s">
        <v>4374</v>
      </c>
      <c r="D1334" t="s">
        <v>4375</v>
      </c>
      <c r="E1334">
        <v>47300025708</v>
      </c>
      <c r="F1334" t="s">
        <v>35</v>
      </c>
      <c r="G1334" t="s">
        <v>36</v>
      </c>
      <c r="H1334" t="s">
        <v>4360</v>
      </c>
      <c r="K1334" t="s">
        <v>3795</v>
      </c>
      <c r="L1334" t="s">
        <v>19</v>
      </c>
      <c r="M1334" t="s">
        <v>20</v>
      </c>
      <c r="P1334">
        <v>100000</v>
      </c>
      <c r="Q1334">
        <v>100000</v>
      </c>
      <c r="R1334" t="s">
        <v>3961</v>
      </c>
      <c r="S1334" t="s">
        <v>1202</v>
      </c>
      <c r="T1334">
        <v>233.7</v>
      </c>
    </row>
    <row r="1335" spans="1:20" x14ac:dyDescent="0.25">
      <c r="A1335" t="s">
        <v>14</v>
      </c>
      <c r="B1335" t="s">
        <v>1199</v>
      </c>
      <c r="C1335" t="s">
        <v>4394</v>
      </c>
      <c r="D1335" t="s">
        <v>4395</v>
      </c>
      <c r="E1335">
        <v>47300026094</v>
      </c>
      <c r="F1335" t="s">
        <v>35</v>
      </c>
      <c r="G1335" t="s">
        <v>36</v>
      </c>
      <c r="H1335" t="s">
        <v>4359</v>
      </c>
      <c r="K1335" t="s">
        <v>3795</v>
      </c>
      <c r="L1335" t="s">
        <v>19</v>
      </c>
      <c r="M1335" t="s">
        <v>20</v>
      </c>
      <c r="P1335">
        <v>50000</v>
      </c>
      <c r="Q1335">
        <v>50000</v>
      </c>
      <c r="R1335" t="s">
        <v>3962</v>
      </c>
      <c r="S1335" t="s">
        <v>1200</v>
      </c>
      <c r="T1335">
        <v>116.8</v>
      </c>
    </row>
    <row r="1336" spans="1:20" x14ac:dyDescent="0.25">
      <c r="A1336" t="s">
        <v>14</v>
      </c>
      <c r="B1336" t="s">
        <v>1197</v>
      </c>
      <c r="C1336" t="s">
        <v>4414</v>
      </c>
      <c r="D1336" t="s">
        <v>4401</v>
      </c>
      <c r="E1336">
        <v>47300046746</v>
      </c>
      <c r="F1336" t="s">
        <v>16</v>
      </c>
      <c r="G1336" t="s">
        <v>28</v>
      </c>
      <c r="H1336" t="s">
        <v>32</v>
      </c>
      <c r="K1336" t="s">
        <v>3795</v>
      </c>
      <c r="L1336" t="s">
        <v>19</v>
      </c>
      <c r="M1336" t="s">
        <v>20</v>
      </c>
      <c r="P1336">
        <v>30000</v>
      </c>
      <c r="Q1336">
        <v>30000</v>
      </c>
      <c r="R1336" t="s">
        <v>3963</v>
      </c>
      <c r="S1336" t="s">
        <v>1198</v>
      </c>
      <c r="T1336">
        <v>70.099999999999994</v>
      </c>
    </row>
    <row r="1337" spans="1:20" x14ac:dyDescent="0.25">
      <c r="A1337" t="s">
        <v>14</v>
      </c>
      <c r="B1337" t="s">
        <v>1195</v>
      </c>
      <c r="C1337" t="s">
        <v>4367</v>
      </c>
      <c r="D1337" t="s">
        <v>4368</v>
      </c>
      <c r="E1337">
        <v>47300046241</v>
      </c>
      <c r="F1337" t="s">
        <v>16</v>
      </c>
      <c r="G1337" t="s">
        <v>23</v>
      </c>
      <c r="H1337" t="s">
        <v>24</v>
      </c>
      <c r="I1337" t="s">
        <v>2754</v>
      </c>
      <c r="J1337">
        <v>0</v>
      </c>
      <c r="K1337" t="s">
        <v>3795</v>
      </c>
      <c r="L1337" t="s">
        <v>19</v>
      </c>
      <c r="M1337" t="s">
        <v>20</v>
      </c>
      <c r="P1337">
        <v>60000</v>
      </c>
      <c r="Q1337">
        <v>60000</v>
      </c>
      <c r="R1337" t="s">
        <v>3964</v>
      </c>
      <c r="S1337" t="s">
        <v>1196</v>
      </c>
      <c r="T1337">
        <v>140.19999999999999</v>
      </c>
    </row>
    <row r="1338" spans="1:20" x14ac:dyDescent="0.25">
      <c r="A1338" t="s">
        <v>14</v>
      </c>
      <c r="B1338" t="s">
        <v>1193</v>
      </c>
      <c r="C1338" t="s">
        <v>4371</v>
      </c>
      <c r="D1338" t="s">
        <v>4368</v>
      </c>
      <c r="E1338">
        <v>47300070795</v>
      </c>
      <c r="F1338" t="s">
        <v>16</v>
      </c>
      <c r="G1338" t="s">
        <v>87</v>
      </c>
      <c r="H1338" t="s">
        <v>88</v>
      </c>
      <c r="K1338" t="s">
        <v>3795</v>
      </c>
      <c r="L1338" t="s">
        <v>19</v>
      </c>
      <c r="M1338" t="s">
        <v>20</v>
      </c>
      <c r="P1338">
        <v>50000</v>
      </c>
      <c r="Q1338">
        <v>50000</v>
      </c>
      <c r="R1338" t="s">
        <v>3965</v>
      </c>
      <c r="S1338" t="s">
        <v>1194</v>
      </c>
      <c r="T1338">
        <v>116.8</v>
      </c>
    </row>
    <row r="1339" spans="1:20" x14ac:dyDescent="0.25">
      <c r="A1339" t="s">
        <v>14</v>
      </c>
      <c r="B1339" t="s">
        <v>1191</v>
      </c>
      <c r="C1339" t="s">
        <v>4400</v>
      </c>
      <c r="D1339" t="s">
        <v>4401</v>
      </c>
      <c r="E1339">
        <v>47300046746</v>
      </c>
      <c r="F1339" t="s">
        <v>16</v>
      </c>
      <c r="G1339" t="s">
        <v>28</v>
      </c>
      <c r="H1339" t="s">
        <v>32</v>
      </c>
      <c r="K1339" t="s">
        <v>3795</v>
      </c>
      <c r="L1339" t="s">
        <v>19</v>
      </c>
      <c r="M1339" t="s">
        <v>20</v>
      </c>
      <c r="P1339">
        <v>12000</v>
      </c>
      <c r="Q1339">
        <v>12000</v>
      </c>
      <c r="R1339" t="s">
        <v>3966</v>
      </c>
      <c r="S1339" t="s">
        <v>1192</v>
      </c>
      <c r="T1339">
        <v>28</v>
      </c>
    </row>
    <row r="1340" spans="1:20" x14ac:dyDescent="0.25">
      <c r="A1340" t="s">
        <v>14</v>
      </c>
      <c r="B1340" t="s">
        <v>1190</v>
      </c>
      <c r="C1340" t="s">
        <v>4382</v>
      </c>
      <c r="D1340" t="s">
        <v>4383</v>
      </c>
      <c r="E1340">
        <v>47300047066</v>
      </c>
      <c r="F1340" t="s">
        <v>16</v>
      </c>
      <c r="G1340" t="s">
        <v>28</v>
      </c>
      <c r="H1340" t="s">
        <v>57</v>
      </c>
      <c r="K1340" t="s">
        <v>3294</v>
      </c>
      <c r="L1340" t="s">
        <v>19</v>
      </c>
      <c r="M1340" t="s">
        <v>46</v>
      </c>
      <c r="N1340" s="2">
        <v>45505</v>
      </c>
      <c r="O1340" s="2">
        <v>45535</v>
      </c>
      <c r="P1340">
        <v>500</v>
      </c>
      <c r="Q1340">
        <v>500</v>
      </c>
      <c r="R1340" t="s">
        <v>3050</v>
      </c>
    </row>
    <row r="1341" spans="1:20" x14ac:dyDescent="0.25">
      <c r="A1341" t="s">
        <v>14</v>
      </c>
      <c r="B1341" t="s">
        <v>1190</v>
      </c>
      <c r="C1341" t="s">
        <v>4382</v>
      </c>
      <c r="D1341" t="s">
        <v>4383</v>
      </c>
      <c r="E1341">
        <v>47300047066</v>
      </c>
      <c r="F1341" t="s">
        <v>16</v>
      </c>
      <c r="G1341" t="s">
        <v>28</v>
      </c>
      <c r="H1341" t="s">
        <v>57</v>
      </c>
      <c r="K1341" t="s">
        <v>3197</v>
      </c>
      <c r="L1341" t="s">
        <v>19</v>
      </c>
      <c r="M1341" t="s">
        <v>46</v>
      </c>
      <c r="N1341" s="2">
        <v>45505</v>
      </c>
      <c r="O1341" s="2">
        <v>45535</v>
      </c>
      <c r="P1341">
        <v>145500</v>
      </c>
      <c r="Q1341">
        <v>145500</v>
      </c>
      <c r="R1341" t="s">
        <v>3050</v>
      </c>
    </row>
    <row r="1342" spans="1:20" x14ac:dyDescent="0.25">
      <c r="A1342" t="s">
        <v>14</v>
      </c>
      <c r="B1342" t="s">
        <v>1190</v>
      </c>
      <c r="C1342" t="s">
        <v>4382</v>
      </c>
      <c r="D1342" t="s">
        <v>4383</v>
      </c>
      <c r="E1342">
        <v>47300047066</v>
      </c>
      <c r="F1342" t="s">
        <v>16</v>
      </c>
      <c r="G1342" t="s">
        <v>28</v>
      </c>
      <c r="H1342" t="s">
        <v>57</v>
      </c>
      <c r="K1342" t="s">
        <v>2892</v>
      </c>
      <c r="L1342" t="s">
        <v>19</v>
      </c>
      <c r="M1342" t="s">
        <v>46</v>
      </c>
      <c r="N1342" s="2">
        <v>45505</v>
      </c>
      <c r="O1342" s="2">
        <v>45535</v>
      </c>
      <c r="P1342">
        <v>10000</v>
      </c>
      <c r="Q1342">
        <v>10000</v>
      </c>
      <c r="R1342" t="s">
        <v>3050</v>
      </c>
    </row>
    <row r="1343" spans="1:20" x14ac:dyDescent="0.25">
      <c r="A1343" t="s">
        <v>14</v>
      </c>
      <c r="B1343" t="s">
        <v>1188</v>
      </c>
      <c r="C1343" t="s">
        <v>4382</v>
      </c>
      <c r="D1343" t="s">
        <v>4383</v>
      </c>
      <c r="E1343">
        <v>47300047066</v>
      </c>
      <c r="F1343" t="s">
        <v>16</v>
      </c>
      <c r="G1343" t="s">
        <v>28</v>
      </c>
      <c r="H1343" t="s">
        <v>57</v>
      </c>
      <c r="K1343" t="s">
        <v>4266</v>
      </c>
      <c r="L1343" t="s">
        <v>19</v>
      </c>
      <c r="M1343" t="s">
        <v>63</v>
      </c>
      <c r="N1343" s="2">
        <v>45505</v>
      </c>
      <c r="O1343" s="2">
        <v>45535</v>
      </c>
      <c r="P1343">
        <v>145000</v>
      </c>
      <c r="Q1343">
        <v>145000</v>
      </c>
      <c r="R1343" t="s">
        <v>4290</v>
      </c>
      <c r="S1343" t="s">
        <v>1189</v>
      </c>
      <c r="T1343">
        <v>338.9</v>
      </c>
    </row>
    <row r="1344" spans="1:20" x14ac:dyDescent="0.25">
      <c r="A1344" t="s">
        <v>14</v>
      </c>
      <c r="B1344" t="s">
        <v>1186</v>
      </c>
      <c r="C1344" t="s">
        <v>4408</v>
      </c>
      <c r="D1344" t="s">
        <v>4407</v>
      </c>
      <c r="E1344">
        <v>47300046316</v>
      </c>
      <c r="F1344" t="s">
        <v>42</v>
      </c>
      <c r="G1344" t="s">
        <v>28</v>
      </c>
      <c r="H1344" t="s">
        <v>69</v>
      </c>
      <c r="K1344" t="s">
        <v>4266</v>
      </c>
      <c r="L1344" t="s">
        <v>19</v>
      </c>
      <c r="M1344" t="s">
        <v>63</v>
      </c>
      <c r="N1344" s="2">
        <v>45505</v>
      </c>
      <c r="O1344" s="2">
        <v>45535</v>
      </c>
      <c r="P1344">
        <v>110000</v>
      </c>
      <c r="Q1344">
        <v>110000</v>
      </c>
      <c r="R1344" t="s">
        <v>3429</v>
      </c>
      <c r="S1344" t="s">
        <v>1187</v>
      </c>
      <c r="T1344">
        <v>257.10000000000002</v>
      </c>
    </row>
    <row r="1345" spans="1:20" x14ac:dyDescent="0.25">
      <c r="A1345" t="s">
        <v>14</v>
      </c>
      <c r="B1345" t="s">
        <v>1186</v>
      </c>
      <c r="C1345" t="s">
        <v>4365</v>
      </c>
      <c r="D1345" t="s">
        <v>4366</v>
      </c>
      <c r="E1345">
        <v>47300046316</v>
      </c>
      <c r="F1345" t="s">
        <v>42</v>
      </c>
      <c r="G1345" t="s">
        <v>28</v>
      </c>
      <c r="H1345" t="s">
        <v>69</v>
      </c>
      <c r="K1345" t="s">
        <v>3294</v>
      </c>
      <c r="L1345" t="s">
        <v>19</v>
      </c>
      <c r="M1345" t="s">
        <v>46</v>
      </c>
      <c r="N1345" s="2">
        <v>45505</v>
      </c>
      <c r="O1345" s="2">
        <v>45535</v>
      </c>
      <c r="P1345">
        <v>500</v>
      </c>
      <c r="Q1345">
        <v>500</v>
      </c>
      <c r="R1345" t="s">
        <v>3429</v>
      </c>
    </row>
    <row r="1346" spans="1:20" x14ac:dyDescent="0.25">
      <c r="A1346" t="s">
        <v>14</v>
      </c>
      <c r="B1346" t="s">
        <v>1185</v>
      </c>
      <c r="C1346" t="s">
        <v>4384</v>
      </c>
      <c r="D1346" t="s">
        <v>4391</v>
      </c>
      <c r="E1346">
        <v>47300046779</v>
      </c>
      <c r="F1346" t="s">
        <v>42</v>
      </c>
      <c r="G1346" t="s">
        <v>28</v>
      </c>
      <c r="H1346" t="s">
        <v>199</v>
      </c>
      <c r="K1346" t="s">
        <v>3294</v>
      </c>
      <c r="L1346" t="s">
        <v>19</v>
      </c>
      <c r="M1346" t="s">
        <v>46</v>
      </c>
      <c r="N1346" s="2">
        <v>45505</v>
      </c>
      <c r="O1346" s="2">
        <v>45535</v>
      </c>
      <c r="P1346">
        <v>500</v>
      </c>
      <c r="Q1346">
        <v>500</v>
      </c>
      <c r="R1346" t="s">
        <v>2826</v>
      </c>
    </row>
    <row r="1347" spans="1:20" x14ac:dyDescent="0.25">
      <c r="A1347" t="s">
        <v>14</v>
      </c>
      <c r="B1347" t="s">
        <v>1185</v>
      </c>
      <c r="C1347" t="s">
        <v>4387</v>
      </c>
      <c r="D1347" t="s">
        <v>4388</v>
      </c>
      <c r="E1347">
        <v>47300046779</v>
      </c>
      <c r="F1347" t="s">
        <v>42</v>
      </c>
      <c r="G1347" t="s">
        <v>28</v>
      </c>
      <c r="H1347" t="s">
        <v>199</v>
      </c>
      <c r="K1347" t="s">
        <v>2827</v>
      </c>
      <c r="L1347" t="s">
        <v>47</v>
      </c>
      <c r="N1347" s="2">
        <v>45505</v>
      </c>
      <c r="O1347" s="2">
        <v>45505</v>
      </c>
      <c r="P1347">
        <v>145500</v>
      </c>
      <c r="Q1347">
        <v>145500</v>
      </c>
      <c r="R1347" t="s">
        <v>2826</v>
      </c>
    </row>
    <row r="1348" spans="1:20" x14ac:dyDescent="0.25">
      <c r="A1348" t="s">
        <v>14</v>
      </c>
      <c r="B1348" t="s">
        <v>1183</v>
      </c>
      <c r="C1348" t="s">
        <v>4400</v>
      </c>
      <c r="D1348" t="s">
        <v>4401</v>
      </c>
      <c r="E1348">
        <v>47300070522</v>
      </c>
      <c r="F1348" t="s">
        <v>16</v>
      </c>
      <c r="G1348" t="s">
        <v>17</v>
      </c>
      <c r="H1348" t="s">
        <v>18</v>
      </c>
      <c r="K1348" t="s">
        <v>4266</v>
      </c>
      <c r="L1348" t="s">
        <v>19</v>
      </c>
      <c r="M1348" t="s">
        <v>63</v>
      </c>
      <c r="N1348" s="2">
        <v>45505</v>
      </c>
      <c r="O1348" s="2">
        <v>45535</v>
      </c>
      <c r="P1348">
        <v>20000</v>
      </c>
      <c r="Q1348">
        <v>20000</v>
      </c>
      <c r="R1348" t="s">
        <v>3051</v>
      </c>
      <c r="S1348" t="s">
        <v>1184</v>
      </c>
      <c r="T1348">
        <v>46.7</v>
      </c>
    </row>
    <row r="1349" spans="1:20" x14ac:dyDescent="0.25">
      <c r="A1349" t="s">
        <v>14</v>
      </c>
      <c r="B1349" t="s">
        <v>1183</v>
      </c>
      <c r="C1349" t="s">
        <v>4398</v>
      </c>
      <c r="D1349" t="s">
        <v>4399</v>
      </c>
      <c r="E1349">
        <v>47300070522</v>
      </c>
      <c r="F1349" t="s">
        <v>16</v>
      </c>
      <c r="G1349" t="s">
        <v>17</v>
      </c>
      <c r="H1349" t="s">
        <v>18</v>
      </c>
      <c r="K1349" t="s">
        <v>3294</v>
      </c>
      <c r="L1349" t="s">
        <v>19</v>
      </c>
      <c r="M1349" t="s">
        <v>46</v>
      </c>
      <c r="N1349" s="2">
        <v>45505</v>
      </c>
      <c r="O1349" s="2">
        <v>45535</v>
      </c>
      <c r="P1349">
        <v>500</v>
      </c>
      <c r="Q1349">
        <v>500</v>
      </c>
      <c r="R1349" t="s">
        <v>3051</v>
      </c>
    </row>
    <row r="1350" spans="1:20" x14ac:dyDescent="0.25">
      <c r="A1350" t="s">
        <v>14</v>
      </c>
      <c r="B1350" t="s">
        <v>1183</v>
      </c>
      <c r="C1350" t="s">
        <v>4398</v>
      </c>
      <c r="D1350" t="s">
        <v>4377</v>
      </c>
      <c r="E1350">
        <v>47300070522</v>
      </c>
      <c r="F1350" t="s">
        <v>16</v>
      </c>
      <c r="G1350" t="s">
        <v>17</v>
      </c>
      <c r="H1350" t="s">
        <v>18</v>
      </c>
      <c r="K1350" t="s">
        <v>3197</v>
      </c>
      <c r="L1350" t="s">
        <v>19</v>
      </c>
      <c r="M1350" t="s">
        <v>46</v>
      </c>
      <c r="N1350" s="2">
        <v>45505</v>
      </c>
      <c r="O1350" s="2">
        <v>45535</v>
      </c>
      <c r="P1350">
        <v>145500</v>
      </c>
      <c r="Q1350">
        <v>145500</v>
      </c>
      <c r="R1350" t="s">
        <v>3051</v>
      </c>
    </row>
    <row r="1351" spans="1:20" x14ac:dyDescent="0.25">
      <c r="A1351" t="s">
        <v>14</v>
      </c>
      <c r="B1351" t="s">
        <v>1183</v>
      </c>
      <c r="C1351" t="s">
        <v>4365</v>
      </c>
      <c r="D1351" t="s">
        <v>4366</v>
      </c>
      <c r="E1351">
        <v>47300070522</v>
      </c>
      <c r="F1351" t="s">
        <v>16</v>
      </c>
      <c r="G1351" t="s">
        <v>17</v>
      </c>
      <c r="H1351" t="s">
        <v>18</v>
      </c>
      <c r="K1351" t="s">
        <v>2892</v>
      </c>
      <c r="L1351" t="s">
        <v>19</v>
      </c>
      <c r="M1351" t="s">
        <v>46</v>
      </c>
      <c r="N1351" s="2">
        <v>45505</v>
      </c>
      <c r="O1351" s="2">
        <v>45535</v>
      </c>
      <c r="P1351">
        <v>10000</v>
      </c>
      <c r="Q1351">
        <v>10000</v>
      </c>
      <c r="R1351" t="s">
        <v>3051</v>
      </c>
    </row>
    <row r="1352" spans="1:20" x14ac:dyDescent="0.25">
      <c r="A1352" t="s">
        <v>14</v>
      </c>
      <c r="B1352" t="s">
        <v>1182</v>
      </c>
      <c r="C1352" t="s">
        <v>4400</v>
      </c>
      <c r="D1352" t="s">
        <v>4401</v>
      </c>
      <c r="E1352">
        <v>47300046761</v>
      </c>
      <c r="F1352" t="s">
        <v>42</v>
      </c>
      <c r="G1352" t="s">
        <v>28</v>
      </c>
      <c r="H1352" t="s">
        <v>43</v>
      </c>
      <c r="K1352" t="s">
        <v>3294</v>
      </c>
      <c r="L1352" t="s">
        <v>19</v>
      </c>
      <c r="M1352" t="s">
        <v>46</v>
      </c>
      <c r="N1352" s="2">
        <v>45505</v>
      </c>
      <c r="O1352" s="2">
        <v>45535</v>
      </c>
      <c r="P1352">
        <v>500</v>
      </c>
      <c r="Q1352">
        <v>500</v>
      </c>
      <c r="R1352" t="s">
        <v>2828</v>
      </c>
    </row>
    <row r="1353" spans="1:20" x14ac:dyDescent="0.25">
      <c r="A1353" t="s">
        <v>14</v>
      </c>
      <c r="B1353" t="s">
        <v>1182</v>
      </c>
      <c r="C1353" t="s">
        <v>4398</v>
      </c>
      <c r="D1353" t="s">
        <v>4377</v>
      </c>
      <c r="E1353">
        <v>47300046761</v>
      </c>
      <c r="F1353" t="s">
        <v>42</v>
      </c>
      <c r="G1353" t="s">
        <v>28</v>
      </c>
      <c r="H1353" t="s">
        <v>43</v>
      </c>
      <c r="K1353" t="s">
        <v>2829</v>
      </c>
      <c r="L1353" t="s">
        <v>47</v>
      </c>
      <c r="N1353" s="2">
        <v>45505</v>
      </c>
      <c r="O1353" s="2">
        <v>45505</v>
      </c>
      <c r="P1353">
        <v>145860</v>
      </c>
      <c r="Q1353">
        <v>145860</v>
      </c>
      <c r="R1353" t="s">
        <v>2828</v>
      </c>
    </row>
    <row r="1354" spans="1:20" x14ac:dyDescent="0.25">
      <c r="A1354" t="s">
        <v>14</v>
      </c>
      <c r="B1354" t="s">
        <v>1181</v>
      </c>
      <c r="C1354" t="s">
        <v>4365</v>
      </c>
      <c r="D1354" t="s">
        <v>4366</v>
      </c>
      <c r="E1354">
        <v>47300046977</v>
      </c>
      <c r="F1354" t="s">
        <v>16</v>
      </c>
      <c r="G1354" t="s">
        <v>17</v>
      </c>
      <c r="H1354" t="s">
        <v>175</v>
      </c>
      <c r="K1354" t="s">
        <v>3294</v>
      </c>
      <c r="L1354" t="s">
        <v>19</v>
      </c>
      <c r="M1354" t="s">
        <v>46</v>
      </c>
      <c r="N1354" s="2">
        <v>45505</v>
      </c>
      <c r="O1354" s="2">
        <v>45535</v>
      </c>
      <c r="P1354">
        <v>500</v>
      </c>
      <c r="Q1354">
        <v>500</v>
      </c>
      <c r="R1354" t="s">
        <v>3052</v>
      </c>
    </row>
    <row r="1355" spans="1:20" x14ac:dyDescent="0.25">
      <c r="A1355" t="s">
        <v>14</v>
      </c>
      <c r="B1355" t="s">
        <v>1181</v>
      </c>
      <c r="C1355" t="s">
        <v>4384</v>
      </c>
      <c r="D1355" t="s">
        <v>4391</v>
      </c>
      <c r="E1355">
        <v>47300046977</v>
      </c>
      <c r="F1355" t="s">
        <v>16</v>
      </c>
      <c r="G1355" t="s">
        <v>17</v>
      </c>
      <c r="H1355" t="s">
        <v>175</v>
      </c>
      <c r="K1355" t="s">
        <v>3197</v>
      </c>
      <c r="L1355" t="s">
        <v>19</v>
      </c>
      <c r="M1355" t="s">
        <v>46</v>
      </c>
      <c r="N1355" s="2">
        <v>45505</v>
      </c>
      <c r="O1355" s="2">
        <v>45535</v>
      </c>
      <c r="P1355">
        <v>145500</v>
      </c>
      <c r="Q1355">
        <v>145500</v>
      </c>
      <c r="R1355" t="s">
        <v>3052</v>
      </c>
    </row>
    <row r="1356" spans="1:20" x14ac:dyDescent="0.25">
      <c r="A1356" t="s">
        <v>14</v>
      </c>
      <c r="B1356" t="s">
        <v>1181</v>
      </c>
      <c r="C1356" t="s">
        <v>4400</v>
      </c>
      <c r="D1356" t="s">
        <v>4401</v>
      </c>
      <c r="E1356">
        <v>47300046977</v>
      </c>
      <c r="F1356" t="s">
        <v>16</v>
      </c>
      <c r="G1356" t="s">
        <v>17</v>
      </c>
      <c r="H1356" t="s">
        <v>175</v>
      </c>
      <c r="K1356" t="s">
        <v>2892</v>
      </c>
      <c r="L1356" t="s">
        <v>19</v>
      </c>
      <c r="M1356" t="s">
        <v>46</v>
      </c>
      <c r="N1356" s="2">
        <v>45505</v>
      </c>
      <c r="O1356" s="2">
        <v>45535</v>
      </c>
      <c r="P1356">
        <v>10000</v>
      </c>
      <c r="Q1356">
        <v>10000</v>
      </c>
      <c r="R1356" t="s">
        <v>3052</v>
      </c>
    </row>
    <row r="1357" spans="1:20" x14ac:dyDescent="0.25">
      <c r="A1357" t="s">
        <v>14</v>
      </c>
      <c r="B1357" t="s">
        <v>1179</v>
      </c>
      <c r="C1357" t="s">
        <v>4387</v>
      </c>
      <c r="D1357" t="s">
        <v>4388</v>
      </c>
      <c r="E1357">
        <v>47300070563</v>
      </c>
      <c r="F1357" t="s">
        <v>16</v>
      </c>
      <c r="G1357" t="s">
        <v>28</v>
      </c>
      <c r="H1357" t="s">
        <v>359</v>
      </c>
      <c r="K1357" t="s">
        <v>4266</v>
      </c>
      <c r="L1357" t="s">
        <v>19</v>
      </c>
      <c r="M1357" t="s">
        <v>63</v>
      </c>
      <c r="N1357" s="2">
        <v>45505</v>
      </c>
      <c r="O1357" s="2">
        <v>45535</v>
      </c>
      <c r="P1357">
        <v>24800</v>
      </c>
      <c r="Q1357">
        <v>24800</v>
      </c>
      <c r="R1357" t="s">
        <v>3053</v>
      </c>
      <c r="S1357" t="s">
        <v>1180</v>
      </c>
      <c r="T1357">
        <v>57.9</v>
      </c>
    </row>
    <row r="1358" spans="1:20" x14ac:dyDescent="0.25">
      <c r="A1358" t="s">
        <v>14</v>
      </c>
      <c r="B1358" t="s">
        <v>1179</v>
      </c>
      <c r="C1358" t="s">
        <v>4398</v>
      </c>
      <c r="D1358" t="s">
        <v>4399</v>
      </c>
      <c r="E1358">
        <v>47300070563</v>
      </c>
      <c r="F1358" t="s">
        <v>16</v>
      </c>
      <c r="G1358" t="s">
        <v>28</v>
      </c>
      <c r="H1358" t="s">
        <v>359</v>
      </c>
      <c r="K1358" t="s">
        <v>3294</v>
      </c>
      <c r="L1358" t="s">
        <v>19</v>
      </c>
      <c r="M1358" t="s">
        <v>46</v>
      </c>
      <c r="N1358" s="2">
        <v>45505</v>
      </c>
      <c r="O1358" s="2">
        <v>45535</v>
      </c>
      <c r="P1358">
        <v>500</v>
      </c>
      <c r="Q1358">
        <v>500</v>
      </c>
      <c r="R1358" t="s">
        <v>3053</v>
      </c>
    </row>
    <row r="1359" spans="1:20" x14ac:dyDescent="0.25">
      <c r="A1359" t="s">
        <v>14</v>
      </c>
      <c r="B1359" t="s">
        <v>1179</v>
      </c>
      <c r="C1359" t="s">
        <v>4408</v>
      </c>
      <c r="D1359" t="s">
        <v>4407</v>
      </c>
      <c r="E1359">
        <v>47300070563</v>
      </c>
      <c r="F1359" t="s">
        <v>16</v>
      </c>
      <c r="G1359" t="s">
        <v>28</v>
      </c>
      <c r="H1359" t="s">
        <v>359</v>
      </c>
      <c r="K1359" t="s">
        <v>3197</v>
      </c>
      <c r="L1359" t="s">
        <v>19</v>
      </c>
      <c r="M1359" t="s">
        <v>46</v>
      </c>
      <c r="N1359" s="2">
        <v>45505</v>
      </c>
      <c r="O1359" s="2">
        <v>45535</v>
      </c>
      <c r="P1359">
        <v>145500</v>
      </c>
      <c r="Q1359">
        <v>145500</v>
      </c>
      <c r="R1359" t="s">
        <v>3053</v>
      </c>
    </row>
    <row r="1360" spans="1:20" x14ac:dyDescent="0.25">
      <c r="A1360" t="s">
        <v>14</v>
      </c>
      <c r="B1360" t="s">
        <v>1179</v>
      </c>
      <c r="C1360" t="s">
        <v>4365</v>
      </c>
      <c r="D1360" t="s">
        <v>4366</v>
      </c>
      <c r="E1360">
        <v>47300070563</v>
      </c>
      <c r="F1360" t="s">
        <v>16</v>
      </c>
      <c r="G1360" t="s">
        <v>28</v>
      </c>
      <c r="H1360" t="s">
        <v>359</v>
      </c>
      <c r="K1360" t="s">
        <v>2892</v>
      </c>
      <c r="L1360" t="s">
        <v>19</v>
      </c>
      <c r="M1360" t="s">
        <v>46</v>
      </c>
      <c r="N1360" s="2">
        <v>45505</v>
      </c>
      <c r="O1360" s="2">
        <v>45535</v>
      </c>
      <c r="P1360">
        <v>10000</v>
      </c>
      <c r="Q1360">
        <v>10000</v>
      </c>
      <c r="R1360" t="s">
        <v>3053</v>
      </c>
    </row>
    <row r="1361" spans="1:20" x14ac:dyDescent="0.25">
      <c r="A1361" t="s">
        <v>14</v>
      </c>
      <c r="B1361" t="s">
        <v>1178</v>
      </c>
      <c r="C1361" t="s">
        <v>4384</v>
      </c>
      <c r="D1361" t="s">
        <v>4391</v>
      </c>
      <c r="E1361">
        <v>47300070753</v>
      </c>
      <c r="F1361" t="s">
        <v>16</v>
      </c>
      <c r="G1361" t="s">
        <v>17</v>
      </c>
      <c r="H1361" t="s">
        <v>82</v>
      </c>
      <c r="K1361" t="s">
        <v>3294</v>
      </c>
      <c r="L1361" t="s">
        <v>19</v>
      </c>
      <c r="M1361" t="s">
        <v>46</v>
      </c>
      <c r="N1361" s="2">
        <v>45505</v>
      </c>
      <c r="O1361" s="2">
        <v>45535</v>
      </c>
      <c r="P1361">
        <v>500</v>
      </c>
      <c r="Q1361">
        <v>500</v>
      </c>
      <c r="R1361" t="s">
        <v>3054</v>
      </c>
    </row>
    <row r="1362" spans="1:20" x14ac:dyDescent="0.25">
      <c r="A1362" t="s">
        <v>14</v>
      </c>
      <c r="B1362" t="s">
        <v>1178</v>
      </c>
      <c r="C1362" t="s">
        <v>4400</v>
      </c>
      <c r="D1362" t="s">
        <v>4401</v>
      </c>
      <c r="E1362">
        <v>47300070753</v>
      </c>
      <c r="F1362" t="s">
        <v>16</v>
      </c>
      <c r="G1362" t="s">
        <v>17</v>
      </c>
      <c r="H1362" t="s">
        <v>82</v>
      </c>
      <c r="K1362" t="s">
        <v>2892</v>
      </c>
      <c r="L1362" t="s">
        <v>19</v>
      </c>
      <c r="M1362" t="s">
        <v>46</v>
      </c>
      <c r="N1362" s="2">
        <v>45505</v>
      </c>
      <c r="O1362" s="2">
        <v>45535</v>
      </c>
      <c r="P1362">
        <v>10000</v>
      </c>
      <c r="Q1362">
        <v>10000</v>
      </c>
      <c r="R1362" t="s">
        <v>3054</v>
      </c>
    </row>
    <row r="1363" spans="1:20" x14ac:dyDescent="0.25">
      <c r="A1363" t="s">
        <v>14</v>
      </c>
      <c r="B1363" t="s">
        <v>1176</v>
      </c>
      <c r="C1363" t="s">
        <v>4376</v>
      </c>
      <c r="D1363" t="s">
        <v>4407</v>
      </c>
      <c r="E1363">
        <v>47300026094</v>
      </c>
      <c r="F1363" t="s">
        <v>35</v>
      </c>
      <c r="G1363" t="s">
        <v>36</v>
      </c>
      <c r="H1363" t="s">
        <v>4359</v>
      </c>
      <c r="K1363" t="s">
        <v>4266</v>
      </c>
      <c r="L1363" t="s">
        <v>19</v>
      </c>
      <c r="M1363" t="s">
        <v>63</v>
      </c>
      <c r="N1363" s="2">
        <v>45505</v>
      </c>
      <c r="O1363" s="2">
        <v>45535</v>
      </c>
      <c r="P1363">
        <v>50000</v>
      </c>
      <c r="Q1363">
        <v>50000</v>
      </c>
      <c r="R1363" t="s">
        <v>3430</v>
      </c>
      <c r="S1363" t="s">
        <v>1177</v>
      </c>
      <c r="T1363">
        <v>116.9</v>
      </c>
    </row>
    <row r="1364" spans="1:20" x14ac:dyDescent="0.25">
      <c r="A1364" t="s">
        <v>14</v>
      </c>
      <c r="B1364" t="s">
        <v>1176</v>
      </c>
      <c r="C1364" t="s">
        <v>4376</v>
      </c>
      <c r="D1364" t="s">
        <v>4377</v>
      </c>
      <c r="E1364">
        <v>47300026094</v>
      </c>
      <c r="F1364" t="s">
        <v>35</v>
      </c>
      <c r="G1364" t="s">
        <v>36</v>
      </c>
      <c r="H1364" t="s">
        <v>4359</v>
      </c>
      <c r="K1364" t="s">
        <v>3294</v>
      </c>
      <c r="L1364" t="s">
        <v>19</v>
      </c>
      <c r="M1364" t="s">
        <v>46</v>
      </c>
      <c r="N1364" s="2">
        <v>45505</v>
      </c>
      <c r="O1364" s="2">
        <v>45535</v>
      </c>
      <c r="P1364">
        <v>500</v>
      </c>
      <c r="Q1364">
        <v>500</v>
      </c>
      <c r="R1364" t="s">
        <v>3430</v>
      </c>
    </row>
    <row r="1365" spans="1:20" x14ac:dyDescent="0.25">
      <c r="A1365" t="s">
        <v>14</v>
      </c>
      <c r="B1365" t="s">
        <v>1174</v>
      </c>
      <c r="C1365" t="s">
        <v>4418</v>
      </c>
      <c r="D1365" t="s">
        <v>4368</v>
      </c>
      <c r="E1365">
        <v>47300025708</v>
      </c>
      <c r="F1365" t="s">
        <v>35</v>
      </c>
      <c r="G1365" t="s">
        <v>36</v>
      </c>
      <c r="H1365" t="s">
        <v>4360</v>
      </c>
      <c r="K1365" t="s">
        <v>4266</v>
      </c>
      <c r="L1365" t="s">
        <v>19</v>
      </c>
      <c r="M1365" t="s">
        <v>63</v>
      </c>
      <c r="N1365" s="2">
        <v>45505</v>
      </c>
      <c r="O1365" s="2">
        <v>45535</v>
      </c>
      <c r="P1365">
        <v>100000</v>
      </c>
      <c r="Q1365">
        <v>100000</v>
      </c>
      <c r="R1365" t="s">
        <v>3431</v>
      </c>
      <c r="S1365" t="s">
        <v>1175</v>
      </c>
      <c r="T1365">
        <v>233.7</v>
      </c>
    </row>
    <row r="1366" spans="1:20" x14ac:dyDescent="0.25">
      <c r="A1366" t="s">
        <v>14</v>
      </c>
      <c r="B1366" t="s">
        <v>1174</v>
      </c>
      <c r="C1366" t="s">
        <v>4419</v>
      </c>
      <c r="D1366" t="s">
        <v>4368</v>
      </c>
      <c r="E1366">
        <v>47300025708</v>
      </c>
      <c r="F1366" t="s">
        <v>35</v>
      </c>
      <c r="G1366" t="s">
        <v>36</v>
      </c>
      <c r="H1366" t="s">
        <v>4360</v>
      </c>
      <c r="K1366" t="s">
        <v>3294</v>
      </c>
      <c r="L1366" t="s">
        <v>19</v>
      </c>
      <c r="M1366" t="s">
        <v>46</v>
      </c>
      <c r="N1366" s="2">
        <v>45505</v>
      </c>
      <c r="O1366" s="2">
        <v>45535</v>
      </c>
      <c r="P1366">
        <v>500</v>
      </c>
      <c r="Q1366">
        <v>500</v>
      </c>
      <c r="R1366" t="s">
        <v>3431</v>
      </c>
    </row>
    <row r="1367" spans="1:20" x14ac:dyDescent="0.25">
      <c r="A1367" t="s">
        <v>14</v>
      </c>
      <c r="B1367" t="s">
        <v>1172</v>
      </c>
      <c r="C1367" t="s">
        <v>4409</v>
      </c>
      <c r="D1367" t="s">
        <v>4410</v>
      </c>
      <c r="E1367">
        <v>47300025690</v>
      </c>
      <c r="F1367" t="s">
        <v>35</v>
      </c>
      <c r="G1367" t="s">
        <v>36</v>
      </c>
      <c r="H1367" t="s">
        <v>37</v>
      </c>
      <c r="K1367" t="s">
        <v>4266</v>
      </c>
      <c r="L1367" t="s">
        <v>19</v>
      </c>
      <c r="M1367" t="s">
        <v>63</v>
      </c>
      <c r="N1367" s="2">
        <v>45505</v>
      </c>
      <c r="O1367" s="2">
        <v>45535</v>
      </c>
      <c r="P1367">
        <v>50000</v>
      </c>
      <c r="Q1367">
        <v>50000</v>
      </c>
      <c r="R1367" t="s">
        <v>3432</v>
      </c>
      <c r="S1367" t="s">
        <v>1173</v>
      </c>
      <c r="T1367">
        <v>116.9</v>
      </c>
    </row>
    <row r="1368" spans="1:20" x14ac:dyDescent="0.25">
      <c r="A1368" t="s">
        <v>14</v>
      </c>
      <c r="B1368" t="s">
        <v>1172</v>
      </c>
      <c r="C1368" t="s">
        <v>4386</v>
      </c>
      <c r="D1368" t="s">
        <v>4368</v>
      </c>
      <c r="E1368">
        <v>47300025690</v>
      </c>
      <c r="F1368" t="s">
        <v>35</v>
      </c>
      <c r="G1368" t="s">
        <v>36</v>
      </c>
      <c r="H1368" t="s">
        <v>37</v>
      </c>
      <c r="K1368" t="s">
        <v>3294</v>
      </c>
      <c r="L1368" t="s">
        <v>19</v>
      </c>
      <c r="M1368" t="s">
        <v>46</v>
      </c>
      <c r="N1368" s="2">
        <v>45505</v>
      </c>
      <c r="O1368" s="2">
        <v>45535</v>
      </c>
      <c r="P1368">
        <v>500</v>
      </c>
      <c r="Q1368">
        <v>500</v>
      </c>
      <c r="R1368" t="s">
        <v>3432</v>
      </c>
    </row>
    <row r="1369" spans="1:20" x14ac:dyDescent="0.25">
      <c r="A1369" t="s">
        <v>14</v>
      </c>
      <c r="B1369" t="s">
        <v>1170</v>
      </c>
      <c r="C1369" t="s">
        <v>4371</v>
      </c>
      <c r="D1369" t="s">
        <v>4368</v>
      </c>
      <c r="E1369">
        <v>47300026185</v>
      </c>
      <c r="F1369" t="s">
        <v>35</v>
      </c>
      <c r="G1369" t="s">
        <v>36</v>
      </c>
      <c r="H1369" t="s">
        <v>4361</v>
      </c>
      <c r="K1369" t="s">
        <v>4266</v>
      </c>
      <c r="L1369" t="s">
        <v>19</v>
      </c>
      <c r="M1369" t="s">
        <v>63</v>
      </c>
      <c r="N1369" s="2">
        <v>45505</v>
      </c>
      <c r="O1369" s="2">
        <v>45535</v>
      </c>
      <c r="P1369">
        <v>50000</v>
      </c>
      <c r="Q1369">
        <v>50000</v>
      </c>
      <c r="R1369" t="s">
        <v>3433</v>
      </c>
      <c r="S1369" t="s">
        <v>1171</v>
      </c>
      <c r="T1369">
        <v>116.9</v>
      </c>
    </row>
    <row r="1370" spans="1:20" x14ac:dyDescent="0.25">
      <c r="A1370" t="s">
        <v>14</v>
      </c>
      <c r="B1370" t="s">
        <v>1170</v>
      </c>
      <c r="C1370" t="s">
        <v>4367</v>
      </c>
      <c r="D1370" t="s">
        <v>4368</v>
      </c>
      <c r="E1370">
        <v>47300026185</v>
      </c>
      <c r="F1370" t="s">
        <v>35</v>
      </c>
      <c r="G1370" t="s">
        <v>36</v>
      </c>
      <c r="H1370" t="s">
        <v>4361</v>
      </c>
      <c r="K1370" t="s">
        <v>3294</v>
      </c>
      <c r="L1370" t="s">
        <v>19</v>
      </c>
      <c r="M1370" t="s">
        <v>46</v>
      </c>
      <c r="N1370" s="2">
        <v>45505</v>
      </c>
      <c r="O1370" s="2">
        <v>45535</v>
      </c>
      <c r="P1370">
        <v>500</v>
      </c>
      <c r="Q1370">
        <v>500</v>
      </c>
      <c r="R1370" t="s">
        <v>3433</v>
      </c>
    </row>
    <row r="1371" spans="1:20" x14ac:dyDescent="0.25">
      <c r="A1371" t="s">
        <v>14</v>
      </c>
      <c r="B1371" t="s">
        <v>1168</v>
      </c>
      <c r="C1371" t="s">
        <v>4387</v>
      </c>
      <c r="D1371" t="s">
        <v>4388</v>
      </c>
      <c r="E1371">
        <v>47300020147</v>
      </c>
      <c r="F1371" t="s">
        <v>35</v>
      </c>
      <c r="G1371" t="s">
        <v>36</v>
      </c>
      <c r="H1371" t="s">
        <v>4363</v>
      </c>
      <c r="K1371" t="s">
        <v>4266</v>
      </c>
      <c r="L1371" t="s">
        <v>19</v>
      </c>
      <c r="M1371" t="s">
        <v>63</v>
      </c>
      <c r="N1371" s="2">
        <v>45505</v>
      </c>
      <c r="O1371" s="2">
        <v>45535</v>
      </c>
      <c r="P1371">
        <v>50000</v>
      </c>
      <c r="Q1371">
        <v>50000</v>
      </c>
      <c r="R1371" t="s">
        <v>3434</v>
      </c>
      <c r="S1371" t="s">
        <v>1169</v>
      </c>
      <c r="T1371">
        <v>116.9</v>
      </c>
    </row>
    <row r="1372" spans="1:20" x14ac:dyDescent="0.25">
      <c r="A1372" t="s">
        <v>14</v>
      </c>
      <c r="B1372" t="s">
        <v>1168</v>
      </c>
      <c r="C1372" t="s">
        <v>4376</v>
      </c>
      <c r="D1372" t="s">
        <v>4407</v>
      </c>
      <c r="E1372">
        <v>47300020147</v>
      </c>
      <c r="F1372" t="s">
        <v>35</v>
      </c>
      <c r="G1372" t="s">
        <v>36</v>
      </c>
      <c r="H1372" t="s">
        <v>4363</v>
      </c>
      <c r="K1372" t="s">
        <v>3294</v>
      </c>
      <c r="L1372" t="s">
        <v>19</v>
      </c>
      <c r="M1372" t="s">
        <v>46</v>
      </c>
      <c r="N1372" s="2">
        <v>45505</v>
      </c>
      <c r="O1372" s="2">
        <v>45535</v>
      </c>
      <c r="P1372">
        <v>500</v>
      </c>
      <c r="Q1372">
        <v>500</v>
      </c>
      <c r="R1372" t="s">
        <v>3434</v>
      </c>
    </row>
    <row r="1373" spans="1:20" x14ac:dyDescent="0.25">
      <c r="A1373" t="s">
        <v>14</v>
      </c>
      <c r="B1373" t="s">
        <v>1166</v>
      </c>
      <c r="C1373" t="s">
        <v>4376</v>
      </c>
      <c r="D1373" t="s">
        <v>4377</v>
      </c>
      <c r="E1373">
        <v>47300012151</v>
      </c>
      <c r="F1373" t="s">
        <v>35</v>
      </c>
      <c r="G1373" t="s">
        <v>36</v>
      </c>
      <c r="H1373" t="s">
        <v>4362</v>
      </c>
      <c r="K1373" t="s">
        <v>4266</v>
      </c>
      <c r="L1373" t="s">
        <v>19</v>
      </c>
      <c r="M1373" t="s">
        <v>63</v>
      </c>
      <c r="N1373" s="2">
        <v>45505</v>
      </c>
      <c r="O1373" s="2">
        <v>45535</v>
      </c>
      <c r="P1373">
        <v>50000</v>
      </c>
      <c r="Q1373">
        <v>50000</v>
      </c>
      <c r="R1373" t="s">
        <v>3435</v>
      </c>
      <c r="S1373" t="s">
        <v>1167</v>
      </c>
      <c r="T1373">
        <v>116.8</v>
      </c>
    </row>
    <row r="1374" spans="1:20" x14ac:dyDescent="0.25">
      <c r="A1374" t="s">
        <v>14</v>
      </c>
      <c r="B1374" t="s">
        <v>1166</v>
      </c>
      <c r="C1374" t="s">
        <v>4418</v>
      </c>
      <c r="D1374" t="s">
        <v>4368</v>
      </c>
      <c r="E1374">
        <v>47300012151</v>
      </c>
      <c r="F1374" t="s">
        <v>35</v>
      </c>
      <c r="G1374" t="s">
        <v>36</v>
      </c>
      <c r="H1374" t="s">
        <v>4362</v>
      </c>
      <c r="K1374" t="s">
        <v>3294</v>
      </c>
      <c r="L1374" t="s">
        <v>19</v>
      </c>
      <c r="M1374" t="s">
        <v>46</v>
      </c>
      <c r="N1374" s="2">
        <v>45505</v>
      </c>
      <c r="O1374" s="2">
        <v>45535</v>
      </c>
      <c r="P1374">
        <v>500</v>
      </c>
      <c r="Q1374">
        <v>500</v>
      </c>
      <c r="R1374" t="s">
        <v>3435</v>
      </c>
    </row>
    <row r="1375" spans="1:20" x14ac:dyDescent="0.25">
      <c r="A1375" t="s">
        <v>14</v>
      </c>
      <c r="B1375" t="s">
        <v>1164</v>
      </c>
      <c r="C1375" t="s">
        <v>4419</v>
      </c>
      <c r="D1375" t="s">
        <v>4368</v>
      </c>
      <c r="E1375">
        <v>47300046720</v>
      </c>
      <c r="F1375" t="s">
        <v>16</v>
      </c>
      <c r="G1375" t="s">
        <v>28</v>
      </c>
      <c r="H1375" t="s">
        <v>143</v>
      </c>
      <c r="K1375" t="s">
        <v>4266</v>
      </c>
      <c r="L1375" t="s">
        <v>19</v>
      </c>
      <c r="M1375" t="s">
        <v>63</v>
      </c>
      <c r="N1375" s="2">
        <v>45505</v>
      </c>
      <c r="O1375" s="2">
        <v>45535</v>
      </c>
      <c r="P1375">
        <v>50000</v>
      </c>
      <c r="Q1375">
        <v>50000</v>
      </c>
      <c r="R1375" t="s">
        <v>3055</v>
      </c>
      <c r="S1375" t="s">
        <v>1165</v>
      </c>
      <c r="T1375">
        <v>116.8</v>
      </c>
    </row>
    <row r="1376" spans="1:20" x14ac:dyDescent="0.25">
      <c r="A1376" t="s">
        <v>14</v>
      </c>
      <c r="B1376" t="s">
        <v>1164</v>
      </c>
      <c r="C1376" t="s">
        <v>4409</v>
      </c>
      <c r="D1376" t="s">
        <v>4410</v>
      </c>
      <c r="E1376">
        <v>47300046720</v>
      </c>
      <c r="F1376" t="s">
        <v>16</v>
      </c>
      <c r="G1376" t="s">
        <v>28</v>
      </c>
      <c r="H1376" t="s">
        <v>143</v>
      </c>
      <c r="K1376" t="s">
        <v>3294</v>
      </c>
      <c r="L1376" t="s">
        <v>19</v>
      </c>
      <c r="M1376" t="s">
        <v>46</v>
      </c>
      <c r="N1376" s="2">
        <v>45505</v>
      </c>
      <c r="O1376" s="2">
        <v>45535</v>
      </c>
      <c r="P1376">
        <v>500</v>
      </c>
      <c r="Q1376">
        <v>500</v>
      </c>
      <c r="R1376" t="s">
        <v>3055</v>
      </c>
    </row>
    <row r="1377" spans="1:20" x14ac:dyDescent="0.25">
      <c r="A1377" t="s">
        <v>14</v>
      </c>
      <c r="B1377" t="s">
        <v>1164</v>
      </c>
      <c r="C1377" t="s">
        <v>4386</v>
      </c>
      <c r="D1377" t="s">
        <v>4368</v>
      </c>
      <c r="E1377">
        <v>47300046720</v>
      </c>
      <c r="F1377" t="s">
        <v>16</v>
      </c>
      <c r="G1377" t="s">
        <v>28</v>
      </c>
      <c r="H1377" t="s">
        <v>143</v>
      </c>
      <c r="K1377" t="s">
        <v>2892</v>
      </c>
      <c r="L1377" t="s">
        <v>19</v>
      </c>
      <c r="M1377" t="s">
        <v>46</v>
      </c>
      <c r="N1377" s="2">
        <v>45505</v>
      </c>
      <c r="O1377" s="2">
        <v>45535</v>
      </c>
      <c r="P1377">
        <v>10000</v>
      </c>
      <c r="Q1377">
        <v>10000</v>
      </c>
      <c r="R1377" t="s">
        <v>3055</v>
      </c>
    </row>
    <row r="1378" spans="1:20" x14ac:dyDescent="0.25">
      <c r="A1378" t="s">
        <v>14</v>
      </c>
      <c r="B1378" t="s">
        <v>1162</v>
      </c>
      <c r="C1378" t="s">
        <v>4371</v>
      </c>
      <c r="D1378" t="s">
        <v>4368</v>
      </c>
      <c r="E1378">
        <v>47300070589</v>
      </c>
      <c r="F1378" t="s">
        <v>16</v>
      </c>
      <c r="G1378" t="s">
        <v>28</v>
      </c>
      <c r="H1378" t="s">
        <v>221</v>
      </c>
      <c r="K1378" t="s">
        <v>4266</v>
      </c>
      <c r="L1378" t="s">
        <v>19</v>
      </c>
      <c r="M1378" t="s">
        <v>63</v>
      </c>
      <c r="N1378" s="2">
        <v>45505</v>
      </c>
      <c r="O1378" s="2">
        <v>45535</v>
      </c>
      <c r="P1378">
        <v>80000</v>
      </c>
      <c r="Q1378">
        <v>80000</v>
      </c>
      <c r="R1378" t="s">
        <v>3056</v>
      </c>
      <c r="S1378" t="s">
        <v>1163</v>
      </c>
      <c r="T1378">
        <v>186.9</v>
      </c>
    </row>
    <row r="1379" spans="1:20" x14ac:dyDescent="0.25">
      <c r="A1379" t="s">
        <v>14</v>
      </c>
      <c r="B1379" t="s">
        <v>1162</v>
      </c>
      <c r="C1379" t="s">
        <v>4367</v>
      </c>
      <c r="D1379" t="s">
        <v>4368</v>
      </c>
      <c r="E1379">
        <v>47300070589</v>
      </c>
      <c r="F1379" t="s">
        <v>16</v>
      </c>
      <c r="G1379" t="s">
        <v>28</v>
      </c>
      <c r="H1379" t="s">
        <v>221</v>
      </c>
      <c r="K1379" t="s">
        <v>3294</v>
      </c>
      <c r="L1379" t="s">
        <v>19</v>
      </c>
      <c r="M1379" t="s">
        <v>46</v>
      </c>
      <c r="N1379" s="2">
        <v>45505</v>
      </c>
      <c r="O1379" s="2">
        <v>45535</v>
      </c>
      <c r="P1379">
        <v>500</v>
      </c>
      <c r="Q1379">
        <v>500</v>
      </c>
      <c r="R1379" t="s">
        <v>3056</v>
      </c>
    </row>
    <row r="1380" spans="1:20" x14ac:dyDescent="0.25">
      <c r="A1380" t="s">
        <v>14</v>
      </c>
      <c r="B1380" t="s">
        <v>1162</v>
      </c>
      <c r="C1380" t="s">
        <v>4376</v>
      </c>
      <c r="D1380" t="s">
        <v>4407</v>
      </c>
      <c r="E1380">
        <v>47300070589</v>
      </c>
      <c r="F1380" t="s">
        <v>16</v>
      </c>
      <c r="G1380" t="s">
        <v>28</v>
      </c>
      <c r="H1380" t="s">
        <v>221</v>
      </c>
      <c r="K1380" t="s">
        <v>3197</v>
      </c>
      <c r="L1380" t="s">
        <v>19</v>
      </c>
      <c r="M1380" t="s">
        <v>46</v>
      </c>
      <c r="N1380" s="2">
        <v>45505</v>
      </c>
      <c r="O1380" s="2">
        <v>45535</v>
      </c>
      <c r="P1380">
        <v>145500</v>
      </c>
      <c r="Q1380">
        <v>145500</v>
      </c>
      <c r="R1380" t="s">
        <v>3056</v>
      </c>
    </row>
    <row r="1381" spans="1:20" x14ac:dyDescent="0.25">
      <c r="A1381" t="s">
        <v>14</v>
      </c>
      <c r="B1381" t="s">
        <v>1162</v>
      </c>
      <c r="C1381" t="s">
        <v>4376</v>
      </c>
      <c r="D1381" t="s">
        <v>4407</v>
      </c>
      <c r="E1381">
        <v>47300070589</v>
      </c>
      <c r="F1381" t="s">
        <v>16</v>
      </c>
      <c r="G1381" t="s">
        <v>28</v>
      </c>
      <c r="H1381" t="s">
        <v>221</v>
      </c>
      <c r="K1381" t="s">
        <v>2892</v>
      </c>
      <c r="L1381" t="s">
        <v>19</v>
      </c>
      <c r="M1381" t="s">
        <v>46</v>
      </c>
      <c r="N1381" s="2">
        <v>45505</v>
      </c>
      <c r="O1381" s="2">
        <v>45535</v>
      </c>
      <c r="P1381">
        <v>10000</v>
      </c>
      <c r="Q1381">
        <v>10000</v>
      </c>
      <c r="R1381" t="s">
        <v>3056</v>
      </c>
    </row>
    <row r="1382" spans="1:20" x14ac:dyDescent="0.25">
      <c r="A1382" t="s">
        <v>14</v>
      </c>
      <c r="B1382" t="s">
        <v>1160</v>
      </c>
      <c r="C1382" t="s">
        <v>4376</v>
      </c>
      <c r="D1382" t="s">
        <v>4377</v>
      </c>
      <c r="E1382">
        <v>47300046761</v>
      </c>
      <c r="F1382" t="s">
        <v>42</v>
      </c>
      <c r="G1382" t="s">
        <v>28</v>
      </c>
      <c r="H1382" t="s">
        <v>43</v>
      </c>
      <c r="K1382" t="s">
        <v>4266</v>
      </c>
      <c r="L1382" t="s">
        <v>19</v>
      </c>
      <c r="M1382" t="s">
        <v>63</v>
      </c>
      <c r="N1382" s="2">
        <v>45505</v>
      </c>
      <c r="O1382" s="2">
        <v>45535</v>
      </c>
      <c r="P1382">
        <v>100000</v>
      </c>
      <c r="Q1382">
        <v>100000</v>
      </c>
      <c r="R1382" t="s">
        <v>4291</v>
      </c>
      <c r="S1382" t="s">
        <v>1161</v>
      </c>
      <c r="T1382">
        <v>233.7</v>
      </c>
    </row>
    <row r="1383" spans="1:20" x14ac:dyDescent="0.25">
      <c r="A1383" t="s">
        <v>14</v>
      </c>
      <c r="B1383" t="s">
        <v>1158</v>
      </c>
      <c r="C1383" t="s">
        <v>2927</v>
      </c>
      <c r="D1383" t="s">
        <v>4375</v>
      </c>
      <c r="E1383">
        <v>47300070571</v>
      </c>
      <c r="F1383" t="s">
        <v>42</v>
      </c>
      <c r="G1383" t="s">
        <v>28</v>
      </c>
      <c r="H1383" t="s">
        <v>72</v>
      </c>
      <c r="K1383" t="s">
        <v>4266</v>
      </c>
      <c r="L1383" t="s">
        <v>19</v>
      </c>
      <c r="M1383" t="s">
        <v>63</v>
      </c>
      <c r="N1383" s="2">
        <v>45505</v>
      </c>
      <c r="O1383" s="2">
        <v>45535</v>
      </c>
      <c r="P1383">
        <v>200000</v>
      </c>
      <c r="Q1383">
        <v>200000</v>
      </c>
      <c r="R1383" t="s">
        <v>3436</v>
      </c>
      <c r="S1383" t="s">
        <v>1159</v>
      </c>
      <c r="T1383">
        <v>467.4</v>
      </c>
    </row>
    <row r="1384" spans="1:20" x14ac:dyDescent="0.25">
      <c r="A1384" t="s">
        <v>14</v>
      </c>
      <c r="B1384" t="s">
        <v>1158</v>
      </c>
      <c r="C1384" t="s">
        <v>4384</v>
      </c>
      <c r="D1384" t="s">
        <v>4379</v>
      </c>
      <c r="E1384">
        <v>47300070571</v>
      </c>
      <c r="F1384" t="s">
        <v>42</v>
      </c>
      <c r="G1384" t="s">
        <v>28</v>
      </c>
      <c r="H1384" t="s">
        <v>72</v>
      </c>
      <c r="K1384" t="s">
        <v>3294</v>
      </c>
      <c r="L1384" t="s">
        <v>19</v>
      </c>
      <c r="M1384" t="s">
        <v>46</v>
      </c>
      <c r="N1384" s="2">
        <v>45505</v>
      </c>
      <c r="O1384" s="2">
        <v>45535</v>
      </c>
      <c r="P1384">
        <v>500</v>
      </c>
      <c r="Q1384">
        <v>500</v>
      </c>
      <c r="R1384" t="s">
        <v>3436</v>
      </c>
    </row>
    <row r="1385" spans="1:20" x14ac:dyDescent="0.25">
      <c r="A1385" t="s">
        <v>14</v>
      </c>
      <c r="B1385" t="s">
        <v>1157</v>
      </c>
      <c r="C1385" t="s">
        <v>4389</v>
      </c>
      <c r="D1385" t="s">
        <v>4375</v>
      </c>
      <c r="E1385">
        <v>47300070514</v>
      </c>
      <c r="F1385" t="s">
        <v>27</v>
      </c>
      <c r="G1385" t="s">
        <v>28</v>
      </c>
      <c r="H1385" t="s">
        <v>29</v>
      </c>
      <c r="K1385" t="s">
        <v>3294</v>
      </c>
      <c r="L1385" t="s">
        <v>19</v>
      </c>
      <c r="M1385" t="s">
        <v>46</v>
      </c>
      <c r="N1385" s="2">
        <v>45505</v>
      </c>
      <c r="O1385" s="2">
        <v>45535</v>
      </c>
      <c r="P1385">
        <v>500</v>
      </c>
      <c r="Q1385">
        <v>500</v>
      </c>
      <c r="R1385" t="s">
        <v>3437</v>
      </c>
    </row>
    <row r="1386" spans="1:20" x14ac:dyDescent="0.25">
      <c r="A1386" t="s">
        <v>14</v>
      </c>
      <c r="B1386" t="s">
        <v>1155</v>
      </c>
      <c r="C1386" t="s">
        <v>4389</v>
      </c>
      <c r="D1386" t="s">
        <v>4390</v>
      </c>
      <c r="E1386">
        <v>47300070514</v>
      </c>
      <c r="F1386" t="s">
        <v>27</v>
      </c>
      <c r="G1386" t="s">
        <v>28</v>
      </c>
      <c r="H1386" t="s">
        <v>29</v>
      </c>
      <c r="K1386" t="s">
        <v>4266</v>
      </c>
      <c r="L1386" t="s">
        <v>19</v>
      </c>
      <c r="M1386" t="s">
        <v>63</v>
      </c>
      <c r="N1386" s="2">
        <v>45505</v>
      </c>
      <c r="O1386" s="2">
        <v>45535</v>
      </c>
      <c r="P1386">
        <v>50000</v>
      </c>
      <c r="Q1386">
        <v>50000</v>
      </c>
      <c r="R1386" t="s">
        <v>4292</v>
      </c>
      <c r="S1386" t="s">
        <v>1156</v>
      </c>
      <c r="T1386">
        <v>116.8</v>
      </c>
    </row>
    <row r="1387" spans="1:20" x14ac:dyDescent="0.25">
      <c r="A1387" t="s">
        <v>14</v>
      </c>
      <c r="B1387" t="s">
        <v>1153</v>
      </c>
      <c r="C1387" t="s">
        <v>2927</v>
      </c>
      <c r="D1387" t="s">
        <v>4375</v>
      </c>
      <c r="E1387">
        <v>47300070480</v>
      </c>
      <c r="F1387" t="s">
        <v>16</v>
      </c>
      <c r="G1387" t="s">
        <v>28</v>
      </c>
      <c r="H1387" t="s">
        <v>184</v>
      </c>
      <c r="K1387" t="s">
        <v>4266</v>
      </c>
      <c r="L1387" t="s">
        <v>19</v>
      </c>
      <c r="M1387" t="s">
        <v>63</v>
      </c>
      <c r="N1387" s="2">
        <v>45505</v>
      </c>
      <c r="O1387" s="2">
        <v>45535</v>
      </c>
      <c r="P1387">
        <v>85000</v>
      </c>
      <c r="Q1387">
        <v>85000</v>
      </c>
      <c r="R1387" t="s">
        <v>3438</v>
      </c>
      <c r="S1387" t="s">
        <v>1154</v>
      </c>
      <c r="T1387">
        <v>198.7</v>
      </c>
    </row>
    <row r="1388" spans="1:20" x14ac:dyDescent="0.25">
      <c r="A1388" t="s">
        <v>14</v>
      </c>
      <c r="B1388" t="s">
        <v>1153</v>
      </c>
      <c r="C1388" t="s">
        <v>4384</v>
      </c>
      <c r="D1388" t="s">
        <v>4379</v>
      </c>
      <c r="E1388">
        <v>47300070480</v>
      </c>
      <c r="F1388" t="s">
        <v>16</v>
      </c>
      <c r="G1388" t="s">
        <v>28</v>
      </c>
      <c r="H1388" t="s">
        <v>184</v>
      </c>
      <c r="K1388" t="s">
        <v>3294</v>
      </c>
      <c r="L1388" t="s">
        <v>19</v>
      </c>
      <c r="M1388" t="s">
        <v>46</v>
      </c>
      <c r="N1388" s="2">
        <v>45505</v>
      </c>
      <c r="O1388" s="2">
        <v>45535</v>
      </c>
      <c r="P1388">
        <v>500</v>
      </c>
      <c r="Q1388">
        <v>500</v>
      </c>
      <c r="R1388" t="s">
        <v>3438</v>
      </c>
    </row>
    <row r="1389" spans="1:20" x14ac:dyDescent="0.25">
      <c r="A1389" t="s">
        <v>14</v>
      </c>
      <c r="B1389" t="s">
        <v>1151</v>
      </c>
      <c r="C1389" t="s">
        <v>4389</v>
      </c>
      <c r="D1389" t="s">
        <v>4375</v>
      </c>
      <c r="E1389">
        <v>47300070837</v>
      </c>
      <c r="F1389" t="s">
        <v>16</v>
      </c>
      <c r="G1389" t="s">
        <v>23</v>
      </c>
      <c r="H1389" t="s">
        <v>165</v>
      </c>
      <c r="K1389" t="s">
        <v>4266</v>
      </c>
      <c r="L1389" t="s">
        <v>19</v>
      </c>
      <c r="M1389" t="s">
        <v>63</v>
      </c>
      <c r="N1389" s="2">
        <v>45505</v>
      </c>
      <c r="O1389" s="2">
        <v>45535</v>
      </c>
      <c r="P1389">
        <v>240000</v>
      </c>
      <c r="Q1389">
        <v>240000</v>
      </c>
      <c r="R1389" t="s">
        <v>2886</v>
      </c>
      <c r="S1389" t="s">
        <v>1152</v>
      </c>
      <c r="T1389">
        <v>560.9</v>
      </c>
    </row>
    <row r="1390" spans="1:20" x14ac:dyDescent="0.25">
      <c r="A1390" t="s">
        <v>14</v>
      </c>
      <c r="B1390" t="s">
        <v>1151</v>
      </c>
      <c r="C1390" t="s">
        <v>4389</v>
      </c>
      <c r="D1390" t="s">
        <v>4390</v>
      </c>
      <c r="E1390">
        <v>47300070837</v>
      </c>
      <c r="F1390" t="s">
        <v>16</v>
      </c>
      <c r="G1390" t="s">
        <v>23</v>
      </c>
      <c r="H1390" t="s">
        <v>165</v>
      </c>
      <c r="K1390" t="s">
        <v>3294</v>
      </c>
      <c r="L1390" t="s">
        <v>19</v>
      </c>
      <c r="M1390" t="s">
        <v>46</v>
      </c>
      <c r="N1390" s="2">
        <v>45505</v>
      </c>
      <c r="O1390" s="2">
        <v>45535</v>
      </c>
      <c r="P1390">
        <v>500</v>
      </c>
      <c r="Q1390">
        <v>500</v>
      </c>
      <c r="R1390" t="s">
        <v>2886</v>
      </c>
    </row>
    <row r="1391" spans="1:20" x14ac:dyDescent="0.25">
      <c r="A1391" t="s">
        <v>14</v>
      </c>
      <c r="B1391" t="s">
        <v>1151</v>
      </c>
      <c r="C1391" t="s">
        <v>2927</v>
      </c>
      <c r="D1391" t="s">
        <v>4375</v>
      </c>
      <c r="E1391">
        <v>47300070837</v>
      </c>
      <c r="F1391" t="s">
        <v>16</v>
      </c>
      <c r="G1391" t="s">
        <v>23</v>
      </c>
      <c r="H1391" t="s">
        <v>165</v>
      </c>
      <c r="K1391" t="s">
        <v>2892</v>
      </c>
      <c r="L1391" t="s">
        <v>19</v>
      </c>
      <c r="M1391" t="s">
        <v>46</v>
      </c>
      <c r="N1391" s="2">
        <v>45505</v>
      </c>
      <c r="O1391" s="2">
        <v>45565</v>
      </c>
      <c r="P1391">
        <v>10000</v>
      </c>
      <c r="Q1391">
        <v>20000</v>
      </c>
      <c r="R1391" t="s">
        <v>2886</v>
      </c>
    </row>
    <row r="1392" spans="1:20" x14ac:dyDescent="0.25">
      <c r="A1392" t="s">
        <v>14</v>
      </c>
      <c r="B1392" t="s">
        <v>1151</v>
      </c>
      <c r="C1392" t="s">
        <v>2927</v>
      </c>
      <c r="D1392" t="s">
        <v>4375</v>
      </c>
      <c r="E1392">
        <v>47300070837</v>
      </c>
      <c r="F1392" t="s">
        <v>16</v>
      </c>
      <c r="G1392" t="s">
        <v>23</v>
      </c>
      <c r="H1392" t="s">
        <v>165</v>
      </c>
      <c r="K1392" t="s">
        <v>2887</v>
      </c>
      <c r="L1392" t="s">
        <v>47</v>
      </c>
      <c r="N1392" s="2">
        <v>45474</v>
      </c>
      <c r="O1392" s="2">
        <v>45504</v>
      </c>
      <c r="P1392">
        <v>10000</v>
      </c>
      <c r="Q1392">
        <v>10000</v>
      </c>
      <c r="R1392" t="s">
        <v>2886</v>
      </c>
    </row>
    <row r="1393" spans="1:25" x14ac:dyDescent="0.25">
      <c r="A1393" t="s">
        <v>14</v>
      </c>
      <c r="B1393" t="s">
        <v>1149</v>
      </c>
      <c r="C1393" t="s">
        <v>4364</v>
      </c>
      <c r="D1393" t="s">
        <v>4358</v>
      </c>
      <c r="E1393">
        <v>47300070704</v>
      </c>
      <c r="F1393" t="s">
        <v>16</v>
      </c>
      <c r="G1393" t="s">
        <v>28</v>
      </c>
      <c r="H1393" t="s">
        <v>146</v>
      </c>
      <c r="K1393" t="s">
        <v>4266</v>
      </c>
      <c r="L1393" t="s">
        <v>19</v>
      </c>
      <c r="M1393" t="s">
        <v>63</v>
      </c>
      <c r="N1393" s="2">
        <v>45505</v>
      </c>
      <c r="O1393" s="2">
        <v>45535</v>
      </c>
      <c r="P1393">
        <v>250000</v>
      </c>
      <c r="Q1393">
        <v>250000</v>
      </c>
      <c r="R1393" t="s">
        <v>4293</v>
      </c>
      <c r="S1393" t="s">
        <v>1150</v>
      </c>
      <c r="T1393">
        <v>584.20000000000005</v>
      </c>
    </row>
    <row r="1394" spans="1:25" x14ac:dyDescent="0.25">
      <c r="A1394" t="s">
        <v>14</v>
      </c>
      <c r="B1394" t="s">
        <v>1148</v>
      </c>
      <c r="C1394" t="s">
        <v>4365</v>
      </c>
      <c r="D1394" t="s">
        <v>4403</v>
      </c>
      <c r="E1394">
        <v>47300046399</v>
      </c>
      <c r="F1394" t="s">
        <v>16</v>
      </c>
      <c r="G1394" t="s">
        <v>28</v>
      </c>
      <c r="H1394" t="s">
        <v>122</v>
      </c>
      <c r="K1394" t="s">
        <v>3294</v>
      </c>
      <c r="L1394" t="s">
        <v>19</v>
      </c>
      <c r="M1394" t="s">
        <v>46</v>
      </c>
      <c r="N1394" s="2">
        <v>45505</v>
      </c>
      <c r="O1394" s="2">
        <v>45535</v>
      </c>
      <c r="P1394">
        <v>500</v>
      </c>
      <c r="Q1394">
        <v>500</v>
      </c>
      <c r="R1394" t="s">
        <v>3057</v>
      </c>
    </row>
    <row r="1395" spans="1:25" x14ac:dyDescent="0.25">
      <c r="A1395" t="s">
        <v>14</v>
      </c>
      <c r="B1395" t="s">
        <v>1148</v>
      </c>
      <c r="C1395" t="s">
        <v>4378</v>
      </c>
      <c r="D1395" t="s">
        <v>4379</v>
      </c>
      <c r="E1395">
        <v>47300046399</v>
      </c>
      <c r="F1395" t="s">
        <v>16</v>
      </c>
      <c r="G1395" t="s">
        <v>28</v>
      </c>
      <c r="H1395" t="s">
        <v>122</v>
      </c>
      <c r="K1395" t="s">
        <v>3197</v>
      </c>
      <c r="L1395" t="s">
        <v>19</v>
      </c>
      <c r="M1395" t="s">
        <v>46</v>
      </c>
      <c r="N1395" s="2">
        <v>45505</v>
      </c>
      <c r="O1395" s="2">
        <v>45535</v>
      </c>
      <c r="P1395">
        <v>145500</v>
      </c>
      <c r="Q1395">
        <v>145500</v>
      </c>
      <c r="R1395" t="s">
        <v>3057</v>
      </c>
    </row>
    <row r="1396" spans="1:25" x14ac:dyDescent="0.25">
      <c r="A1396" t="s">
        <v>14</v>
      </c>
      <c r="B1396" t="s">
        <v>1148</v>
      </c>
      <c r="C1396" t="s">
        <v>4400</v>
      </c>
      <c r="D1396" t="s">
        <v>4401</v>
      </c>
      <c r="E1396">
        <v>47300046399</v>
      </c>
      <c r="F1396" t="s">
        <v>16</v>
      </c>
      <c r="G1396" t="s">
        <v>28</v>
      </c>
      <c r="H1396" t="s">
        <v>122</v>
      </c>
      <c r="K1396" t="s">
        <v>2892</v>
      </c>
      <c r="L1396" t="s">
        <v>19</v>
      </c>
      <c r="M1396" t="s">
        <v>46</v>
      </c>
      <c r="N1396" s="2">
        <v>45505</v>
      </c>
      <c r="O1396" s="2">
        <v>45535</v>
      </c>
      <c r="P1396">
        <v>10000</v>
      </c>
      <c r="Q1396">
        <v>10000</v>
      </c>
      <c r="R1396" t="s">
        <v>3057</v>
      </c>
    </row>
    <row r="1397" spans="1:25" x14ac:dyDescent="0.25">
      <c r="A1397" t="s">
        <v>14</v>
      </c>
      <c r="B1397" t="s">
        <v>1147</v>
      </c>
      <c r="C1397" t="s">
        <v>4365</v>
      </c>
      <c r="D1397" t="s">
        <v>4403</v>
      </c>
      <c r="E1397">
        <v>47300070498</v>
      </c>
      <c r="F1397" t="s">
        <v>16</v>
      </c>
      <c r="G1397" t="s">
        <v>28</v>
      </c>
      <c r="H1397" t="s">
        <v>794</v>
      </c>
      <c r="I1397" t="s">
        <v>2853</v>
      </c>
      <c r="J1397" t="s">
        <v>2852</v>
      </c>
      <c r="K1397" t="s">
        <v>3494</v>
      </c>
      <c r="L1397" t="s">
        <v>47</v>
      </c>
      <c r="N1397" s="2">
        <v>45509</v>
      </c>
      <c r="O1397" s="2">
        <v>45509</v>
      </c>
      <c r="P1397">
        <v>91511.23</v>
      </c>
      <c r="Q1397">
        <v>91511.23</v>
      </c>
      <c r="R1397" t="s">
        <v>3485</v>
      </c>
    </row>
    <row r="1398" spans="1:25" x14ac:dyDescent="0.25">
      <c r="A1398" t="s">
        <v>14</v>
      </c>
      <c r="B1398" t="s">
        <v>1147</v>
      </c>
      <c r="C1398" t="s">
        <v>4394</v>
      </c>
      <c r="D1398" t="s">
        <v>4421</v>
      </c>
      <c r="E1398">
        <v>47300070498</v>
      </c>
      <c r="F1398" t="s">
        <v>16</v>
      </c>
      <c r="G1398" t="s">
        <v>28</v>
      </c>
      <c r="H1398" t="s">
        <v>794</v>
      </c>
      <c r="I1398" t="s">
        <v>2853</v>
      </c>
      <c r="J1398" t="s">
        <v>2852</v>
      </c>
      <c r="K1398" t="s">
        <v>3486</v>
      </c>
      <c r="L1398" t="s">
        <v>47</v>
      </c>
      <c r="N1398" s="2">
        <v>45509</v>
      </c>
      <c r="O1398" s="2">
        <v>45509</v>
      </c>
      <c r="P1398">
        <v>9151.1200000000008</v>
      </c>
      <c r="Q1398">
        <v>9151.1200000000008</v>
      </c>
      <c r="R1398" t="s">
        <v>3485</v>
      </c>
      <c r="X1398" t="s">
        <v>4422</v>
      </c>
      <c r="Y1398" t="s">
        <v>4423</v>
      </c>
    </row>
    <row r="1399" spans="1:25" x14ac:dyDescent="0.25">
      <c r="A1399" t="s">
        <v>14</v>
      </c>
      <c r="B1399" t="s">
        <v>1145</v>
      </c>
      <c r="C1399" t="s">
        <v>4394</v>
      </c>
      <c r="D1399" t="s">
        <v>4421</v>
      </c>
      <c r="E1399">
        <v>47300070654</v>
      </c>
      <c r="F1399" t="s">
        <v>16</v>
      </c>
      <c r="G1399" t="s">
        <v>28</v>
      </c>
      <c r="H1399" t="s">
        <v>217</v>
      </c>
      <c r="K1399" t="s">
        <v>4266</v>
      </c>
      <c r="L1399" t="s">
        <v>19</v>
      </c>
      <c r="M1399" t="s">
        <v>63</v>
      </c>
      <c r="N1399" s="2">
        <v>45505</v>
      </c>
      <c r="O1399" s="2">
        <v>45535</v>
      </c>
      <c r="P1399">
        <v>10000</v>
      </c>
      <c r="Q1399">
        <v>10000</v>
      </c>
      <c r="R1399" t="s">
        <v>3220</v>
      </c>
      <c r="S1399" t="s">
        <v>1146</v>
      </c>
      <c r="T1399">
        <v>23.4</v>
      </c>
      <c r="X1399" t="s">
        <v>4422</v>
      </c>
      <c r="Y1399" t="s">
        <v>4423</v>
      </c>
    </row>
    <row r="1400" spans="1:25" x14ac:dyDescent="0.25">
      <c r="A1400" t="s">
        <v>14</v>
      </c>
      <c r="B1400" t="s">
        <v>1145</v>
      </c>
      <c r="C1400" t="s">
        <v>4365</v>
      </c>
      <c r="D1400" t="s">
        <v>4403</v>
      </c>
      <c r="E1400">
        <v>47300070654</v>
      </c>
      <c r="F1400" t="s">
        <v>16</v>
      </c>
      <c r="G1400" t="s">
        <v>28</v>
      </c>
      <c r="H1400" t="s">
        <v>217</v>
      </c>
      <c r="K1400" t="s">
        <v>3294</v>
      </c>
      <c r="L1400" t="s">
        <v>19</v>
      </c>
      <c r="M1400" t="s">
        <v>46</v>
      </c>
      <c r="N1400" s="2">
        <v>45505</v>
      </c>
      <c r="O1400" s="2">
        <v>45535</v>
      </c>
      <c r="P1400">
        <v>500</v>
      </c>
      <c r="Q1400">
        <v>500</v>
      </c>
      <c r="R1400" t="s">
        <v>3220</v>
      </c>
    </row>
    <row r="1401" spans="1:25" x14ac:dyDescent="0.25">
      <c r="A1401" t="s">
        <v>14</v>
      </c>
      <c r="B1401" t="s">
        <v>1145</v>
      </c>
      <c r="C1401" t="s">
        <v>4378</v>
      </c>
      <c r="D1401" t="s">
        <v>4379</v>
      </c>
      <c r="E1401">
        <v>47300070654</v>
      </c>
      <c r="F1401" t="s">
        <v>16</v>
      </c>
      <c r="G1401" t="s">
        <v>28</v>
      </c>
      <c r="H1401" t="s">
        <v>217</v>
      </c>
      <c r="K1401" t="s">
        <v>3197</v>
      </c>
      <c r="L1401" t="s">
        <v>19</v>
      </c>
      <c r="M1401" t="s">
        <v>46</v>
      </c>
      <c r="N1401" s="2">
        <v>45505</v>
      </c>
      <c r="O1401" s="2">
        <v>45535</v>
      </c>
      <c r="P1401">
        <v>145500</v>
      </c>
      <c r="Q1401">
        <v>145500</v>
      </c>
      <c r="R1401" t="s">
        <v>3220</v>
      </c>
    </row>
    <row r="1402" spans="1:25" x14ac:dyDescent="0.25">
      <c r="A1402" t="s">
        <v>14</v>
      </c>
      <c r="B1402" t="s">
        <v>1143</v>
      </c>
      <c r="C1402" t="s">
        <v>4378</v>
      </c>
      <c r="D1402" t="s">
        <v>4379</v>
      </c>
      <c r="E1402">
        <v>47300070522</v>
      </c>
      <c r="F1402" t="s">
        <v>16</v>
      </c>
      <c r="G1402" t="s">
        <v>17</v>
      </c>
      <c r="H1402" t="s">
        <v>18</v>
      </c>
      <c r="K1402" t="s">
        <v>3795</v>
      </c>
      <c r="L1402" t="s">
        <v>19</v>
      </c>
      <c r="M1402" t="s">
        <v>20</v>
      </c>
      <c r="P1402">
        <v>20000</v>
      </c>
      <c r="Q1402">
        <v>20000</v>
      </c>
      <c r="R1402" t="s">
        <v>3967</v>
      </c>
      <c r="S1402" t="s">
        <v>1144</v>
      </c>
      <c r="T1402">
        <v>46.8</v>
      </c>
    </row>
    <row r="1403" spans="1:25" x14ac:dyDescent="0.25">
      <c r="A1403" t="s">
        <v>14</v>
      </c>
      <c r="B1403" t="s">
        <v>1142</v>
      </c>
      <c r="C1403" t="s">
        <v>4412</v>
      </c>
      <c r="D1403" t="s">
        <v>4377</v>
      </c>
      <c r="E1403">
        <v>47300046746</v>
      </c>
      <c r="F1403" t="s">
        <v>16</v>
      </c>
      <c r="G1403" t="s">
        <v>28</v>
      </c>
      <c r="H1403" t="s">
        <v>32</v>
      </c>
      <c r="K1403" t="s">
        <v>3294</v>
      </c>
      <c r="L1403" t="s">
        <v>19</v>
      </c>
      <c r="M1403" t="s">
        <v>46</v>
      </c>
      <c r="N1403" s="2">
        <v>45505</v>
      </c>
      <c r="O1403" s="2">
        <v>45535</v>
      </c>
      <c r="P1403">
        <v>500</v>
      </c>
      <c r="Q1403">
        <v>500</v>
      </c>
      <c r="R1403" t="s">
        <v>3058</v>
      </c>
    </row>
    <row r="1404" spans="1:25" x14ac:dyDescent="0.25">
      <c r="A1404" t="s">
        <v>14</v>
      </c>
      <c r="B1404" t="s">
        <v>1142</v>
      </c>
      <c r="C1404" t="s">
        <v>4414</v>
      </c>
      <c r="D1404" t="s">
        <v>4401</v>
      </c>
      <c r="E1404">
        <v>47300046746</v>
      </c>
      <c r="F1404" t="s">
        <v>16</v>
      </c>
      <c r="G1404" t="s">
        <v>28</v>
      </c>
      <c r="H1404" t="s">
        <v>32</v>
      </c>
      <c r="K1404" t="s">
        <v>2892</v>
      </c>
      <c r="L1404" t="s">
        <v>19</v>
      </c>
      <c r="M1404" t="s">
        <v>46</v>
      </c>
      <c r="N1404" s="2">
        <v>45505</v>
      </c>
      <c r="O1404" s="2">
        <v>45535</v>
      </c>
      <c r="P1404">
        <v>10000</v>
      </c>
      <c r="Q1404">
        <v>10000</v>
      </c>
      <c r="R1404" t="s">
        <v>3058</v>
      </c>
    </row>
    <row r="1405" spans="1:25" x14ac:dyDescent="0.25">
      <c r="A1405" t="s">
        <v>14</v>
      </c>
      <c r="B1405" t="s">
        <v>1140</v>
      </c>
      <c r="C1405" t="s">
        <v>4412</v>
      </c>
      <c r="D1405" t="s">
        <v>4377</v>
      </c>
      <c r="E1405">
        <v>47300025708</v>
      </c>
      <c r="F1405" t="s">
        <v>35</v>
      </c>
      <c r="G1405" t="s">
        <v>36</v>
      </c>
      <c r="H1405" t="s">
        <v>4360</v>
      </c>
      <c r="K1405" t="s">
        <v>3795</v>
      </c>
      <c r="L1405" t="s">
        <v>19</v>
      </c>
      <c r="M1405" t="s">
        <v>20</v>
      </c>
      <c r="P1405">
        <v>100000</v>
      </c>
      <c r="Q1405">
        <v>100000</v>
      </c>
      <c r="R1405" t="s">
        <v>3968</v>
      </c>
      <c r="S1405" t="s">
        <v>1141</v>
      </c>
      <c r="T1405">
        <v>233.7</v>
      </c>
    </row>
    <row r="1406" spans="1:25" x14ac:dyDescent="0.25">
      <c r="A1406" t="s">
        <v>14</v>
      </c>
      <c r="B1406" t="s">
        <v>1138</v>
      </c>
      <c r="C1406" t="s">
        <v>4367</v>
      </c>
      <c r="D1406" t="s">
        <v>4368</v>
      </c>
      <c r="E1406">
        <v>47300026094</v>
      </c>
      <c r="F1406" t="s">
        <v>35</v>
      </c>
      <c r="G1406" t="s">
        <v>36</v>
      </c>
      <c r="H1406" t="s">
        <v>4359</v>
      </c>
      <c r="K1406" t="s">
        <v>3795</v>
      </c>
      <c r="L1406" t="s">
        <v>19</v>
      </c>
      <c r="M1406" t="s">
        <v>20</v>
      </c>
      <c r="P1406">
        <v>50000</v>
      </c>
      <c r="Q1406">
        <v>50000</v>
      </c>
      <c r="R1406" t="s">
        <v>3969</v>
      </c>
      <c r="S1406" t="s">
        <v>1139</v>
      </c>
      <c r="T1406">
        <v>116.9</v>
      </c>
    </row>
    <row r="1407" spans="1:25" x14ac:dyDescent="0.25">
      <c r="A1407" t="s">
        <v>14</v>
      </c>
      <c r="B1407" t="s">
        <v>1136</v>
      </c>
      <c r="C1407" t="s">
        <v>4371</v>
      </c>
      <c r="D1407" t="s">
        <v>4368</v>
      </c>
      <c r="E1407">
        <v>47300046258</v>
      </c>
      <c r="F1407" t="s">
        <v>16</v>
      </c>
      <c r="G1407" t="s">
        <v>28</v>
      </c>
      <c r="H1407" t="s">
        <v>160</v>
      </c>
      <c r="K1407" t="s">
        <v>4266</v>
      </c>
      <c r="L1407" t="s">
        <v>19</v>
      </c>
      <c r="M1407" t="s">
        <v>63</v>
      </c>
      <c r="N1407" s="2">
        <v>45505</v>
      </c>
      <c r="O1407" s="2">
        <v>45535</v>
      </c>
      <c r="P1407">
        <v>40000</v>
      </c>
      <c r="Q1407">
        <v>40000</v>
      </c>
      <c r="R1407" t="s">
        <v>3059</v>
      </c>
      <c r="S1407" t="s">
        <v>1137</v>
      </c>
      <c r="T1407">
        <v>93.5</v>
      </c>
    </row>
    <row r="1408" spans="1:25" x14ac:dyDescent="0.25">
      <c r="A1408" t="s">
        <v>14</v>
      </c>
      <c r="B1408" t="s">
        <v>1136</v>
      </c>
      <c r="C1408" t="s">
        <v>4412</v>
      </c>
      <c r="D1408" t="s">
        <v>4377</v>
      </c>
      <c r="E1408">
        <v>47300046258</v>
      </c>
      <c r="F1408" t="s">
        <v>16</v>
      </c>
      <c r="G1408" t="s">
        <v>28</v>
      </c>
      <c r="H1408" t="s">
        <v>160</v>
      </c>
      <c r="K1408" t="s">
        <v>3294</v>
      </c>
      <c r="L1408" t="s">
        <v>19</v>
      </c>
      <c r="M1408" t="s">
        <v>46</v>
      </c>
      <c r="N1408" s="2">
        <v>45505</v>
      </c>
      <c r="O1408" s="2">
        <v>45535</v>
      </c>
      <c r="P1408">
        <v>500</v>
      </c>
      <c r="Q1408">
        <v>500</v>
      </c>
      <c r="R1408" t="s">
        <v>3059</v>
      </c>
    </row>
    <row r="1409" spans="1:20" x14ac:dyDescent="0.25">
      <c r="A1409" t="s">
        <v>14</v>
      </c>
      <c r="B1409" t="s">
        <v>1136</v>
      </c>
      <c r="C1409" t="s">
        <v>4414</v>
      </c>
      <c r="D1409" t="s">
        <v>4401</v>
      </c>
      <c r="E1409">
        <v>47300046258</v>
      </c>
      <c r="F1409" t="s">
        <v>16</v>
      </c>
      <c r="G1409" t="s">
        <v>28</v>
      </c>
      <c r="H1409" t="s">
        <v>160</v>
      </c>
      <c r="K1409" t="s">
        <v>2892</v>
      </c>
      <c r="L1409" t="s">
        <v>19</v>
      </c>
      <c r="M1409" t="s">
        <v>46</v>
      </c>
      <c r="N1409" s="2">
        <v>45505</v>
      </c>
      <c r="O1409" s="2">
        <v>45535</v>
      </c>
      <c r="P1409">
        <v>10000</v>
      </c>
      <c r="Q1409">
        <v>10000</v>
      </c>
      <c r="R1409" t="s">
        <v>3059</v>
      </c>
    </row>
    <row r="1410" spans="1:20" x14ac:dyDescent="0.25">
      <c r="A1410" t="s">
        <v>14</v>
      </c>
      <c r="B1410" t="s">
        <v>1135</v>
      </c>
      <c r="C1410" t="s">
        <v>4374</v>
      </c>
      <c r="D1410" t="s">
        <v>4375</v>
      </c>
      <c r="E1410">
        <v>47300046605</v>
      </c>
      <c r="F1410" t="s">
        <v>16</v>
      </c>
      <c r="G1410" t="s">
        <v>17</v>
      </c>
      <c r="H1410" t="s">
        <v>49</v>
      </c>
      <c r="K1410" t="s">
        <v>3197</v>
      </c>
      <c r="L1410" t="s">
        <v>19</v>
      </c>
      <c r="M1410" t="s">
        <v>46</v>
      </c>
      <c r="N1410" s="2">
        <v>45505</v>
      </c>
      <c r="O1410" s="2">
        <v>45535</v>
      </c>
      <c r="P1410">
        <v>145500</v>
      </c>
      <c r="Q1410">
        <v>145500</v>
      </c>
      <c r="R1410" t="s">
        <v>3221</v>
      </c>
    </row>
    <row r="1411" spans="1:20" x14ac:dyDescent="0.25">
      <c r="A1411" t="s">
        <v>14</v>
      </c>
      <c r="B1411" t="s">
        <v>1134</v>
      </c>
      <c r="C1411" t="s">
        <v>3300</v>
      </c>
      <c r="D1411" t="s">
        <v>3299</v>
      </c>
      <c r="E1411">
        <v>47300046605</v>
      </c>
      <c r="F1411" t="s">
        <v>16</v>
      </c>
      <c r="G1411" t="s">
        <v>17</v>
      </c>
      <c r="H1411" t="s">
        <v>49</v>
      </c>
      <c r="K1411" t="s">
        <v>3294</v>
      </c>
      <c r="L1411" t="s">
        <v>19</v>
      </c>
      <c r="M1411" t="s">
        <v>46</v>
      </c>
      <c r="N1411" s="2">
        <v>45505</v>
      </c>
      <c r="O1411" s="2">
        <v>45565</v>
      </c>
      <c r="P1411">
        <v>500</v>
      </c>
      <c r="Q1411">
        <v>1000</v>
      </c>
      <c r="R1411" t="s">
        <v>3439</v>
      </c>
    </row>
    <row r="1412" spans="1:20" x14ac:dyDescent="0.25">
      <c r="A1412" t="s">
        <v>14</v>
      </c>
      <c r="B1412" t="s">
        <v>1132</v>
      </c>
      <c r="C1412" t="s">
        <v>4380</v>
      </c>
      <c r="D1412" t="s">
        <v>4381</v>
      </c>
      <c r="E1412">
        <v>47300070555</v>
      </c>
      <c r="F1412" t="s">
        <v>35</v>
      </c>
      <c r="G1412" t="s">
        <v>35</v>
      </c>
      <c r="H1412" t="s">
        <v>116</v>
      </c>
      <c r="K1412" t="s">
        <v>4266</v>
      </c>
      <c r="L1412" t="s">
        <v>19</v>
      </c>
      <c r="M1412" t="s">
        <v>63</v>
      </c>
      <c r="N1412" s="2">
        <v>45505</v>
      </c>
      <c r="O1412" s="2">
        <v>45535</v>
      </c>
      <c r="P1412">
        <v>40000</v>
      </c>
      <c r="Q1412">
        <v>40000</v>
      </c>
      <c r="R1412" t="s">
        <v>3440</v>
      </c>
      <c r="S1412" t="s">
        <v>1133</v>
      </c>
      <c r="T1412">
        <v>93.5</v>
      </c>
    </row>
    <row r="1413" spans="1:20" x14ac:dyDescent="0.25">
      <c r="A1413" t="s">
        <v>14</v>
      </c>
      <c r="B1413" t="s">
        <v>1132</v>
      </c>
      <c r="C1413" t="s">
        <v>4365</v>
      </c>
      <c r="D1413" t="s">
        <v>4366</v>
      </c>
      <c r="E1413">
        <v>47300070555</v>
      </c>
      <c r="F1413" t="s">
        <v>35</v>
      </c>
      <c r="G1413" t="s">
        <v>35</v>
      </c>
      <c r="H1413" t="s">
        <v>116</v>
      </c>
      <c r="K1413" t="s">
        <v>3294</v>
      </c>
      <c r="L1413" t="s">
        <v>19</v>
      </c>
      <c r="M1413" t="s">
        <v>46</v>
      </c>
      <c r="N1413" s="2">
        <v>45505</v>
      </c>
      <c r="O1413" s="2">
        <v>45535</v>
      </c>
      <c r="P1413">
        <v>500</v>
      </c>
      <c r="Q1413">
        <v>500</v>
      </c>
      <c r="R1413" t="s">
        <v>3440</v>
      </c>
    </row>
    <row r="1414" spans="1:20" x14ac:dyDescent="0.25">
      <c r="A1414" t="s">
        <v>14</v>
      </c>
      <c r="B1414" t="s">
        <v>1130</v>
      </c>
      <c r="C1414" t="s">
        <v>4374</v>
      </c>
      <c r="D1414" t="s">
        <v>4375</v>
      </c>
      <c r="E1414">
        <v>47300070795</v>
      </c>
      <c r="F1414" t="s">
        <v>16</v>
      </c>
      <c r="G1414" t="s">
        <v>87</v>
      </c>
      <c r="H1414" t="s">
        <v>88</v>
      </c>
      <c r="K1414" t="s">
        <v>4266</v>
      </c>
      <c r="L1414" t="s">
        <v>19</v>
      </c>
      <c r="M1414" t="s">
        <v>63</v>
      </c>
      <c r="N1414" s="2">
        <v>45505</v>
      </c>
      <c r="O1414" s="2">
        <v>45535</v>
      </c>
      <c r="P1414">
        <v>20000</v>
      </c>
      <c r="Q1414">
        <v>20000</v>
      </c>
      <c r="R1414" t="s">
        <v>3441</v>
      </c>
      <c r="S1414" t="s">
        <v>1131</v>
      </c>
      <c r="T1414">
        <v>46.8</v>
      </c>
    </row>
    <row r="1415" spans="1:20" x14ac:dyDescent="0.25">
      <c r="A1415" t="s">
        <v>14</v>
      </c>
      <c r="B1415" t="s">
        <v>1130</v>
      </c>
      <c r="C1415" t="s">
        <v>3300</v>
      </c>
      <c r="D1415" t="s">
        <v>3299</v>
      </c>
      <c r="E1415">
        <v>47300070795</v>
      </c>
      <c r="F1415" t="s">
        <v>16</v>
      </c>
      <c r="G1415" t="s">
        <v>87</v>
      </c>
      <c r="H1415" t="s">
        <v>88</v>
      </c>
      <c r="K1415" t="s">
        <v>3294</v>
      </c>
      <c r="L1415" t="s">
        <v>19</v>
      </c>
      <c r="M1415" t="s">
        <v>46</v>
      </c>
      <c r="N1415" s="2">
        <v>45505</v>
      </c>
      <c r="O1415" s="2">
        <v>45535</v>
      </c>
      <c r="P1415">
        <v>500</v>
      </c>
      <c r="Q1415">
        <v>500</v>
      </c>
      <c r="R1415" t="s">
        <v>3441</v>
      </c>
    </row>
    <row r="1416" spans="1:20" x14ac:dyDescent="0.25">
      <c r="A1416" t="s">
        <v>14</v>
      </c>
      <c r="B1416" t="s">
        <v>1128</v>
      </c>
      <c r="C1416" t="s">
        <v>4365</v>
      </c>
      <c r="D1416" t="s">
        <v>4366</v>
      </c>
      <c r="E1416">
        <v>47300070563</v>
      </c>
      <c r="F1416" t="s">
        <v>16</v>
      </c>
      <c r="G1416" t="s">
        <v>28</v>
      </c>
      <c r="H1416" t="s">
        <v>359</v>
      </c>
      <c r="K1416" t="s">
        <v>3795</v>
      </c>
      <c r="L1416" t="s">
        <v>19</v>
      </c>
      <c r="M1416" t="s">
        <v>20</v>
      </c>
      <c r="P1416">
        <v>13500</v>
      </c>
      <c r="Q1416">
        <v>13500</v>
      </c>
      <c r="R1416" t="s">
        <v>3487</v>
      </c>
      <c r="S1416" t="s">
        <v>1129</v>
      </c>
      <c r="T1416">
        <v>31.6</v>
      </c>
    </row>
    <row r="1417" spans="1:20" x14ac:dyDescent="0.25">
      <c r="A1417" t="s">
        <v>14</v>
      </c>
      <c r="B1417" t="s">
        <v>1128</v>
      </c>
      <c r="C1417" t="s">
        <v>4365</v>
      </c>
      <c r="D1417" t="s">
        <v>4366</v>
      </c>
      <c r="E1417">
        <v>47300070563</v>
      </c>
      <c r="F1417" t="s">
        <v>16</v>
      </c>
      <c r="G1417" t="s">
        <v>28</v>
      </c>
      <c r="H1417" t="s">
        <v>359</v>
      </c>
      <c r="K1417" t="s">
        <v>3494</v>
      </c>
      <c r="L1417" t="s">
        <v>47</v>
      </c>
      <c r="N1417" s="2">
        <v>45509</v>
      </c>
      <c r="O1417" s="2">
        <v>45509</v>
      </c>
      <c r="P1417">
        <v>91511.23</v>
      </c>
      <c r="Q1417">
        <v>91511.23</v>
      </c>
      <c r="R1417" t="s">
        <v>3487</v>
      </c>
    </row>
    <row r="1418" spans="1:20" x14ac:dyDescent="0.25">
      <c r="A1418" t="s">
        <v>14</v>
      </c>
      <c r="B1418" t="s">
        <v>1128</v>
      </c>
      <c r="C1418" t="s">
        <v>4380</v>
      </c>
      <c r="D1418" t="s">
        <v>4381</v>
      </c>
      <c r="E1418">
        <v>47300070563</v>
      </c>
      <c r="F1418" t="s">
        <v>16</v>
      </c>
      <c r="G1418" t="s">
        <v>28</v>
      </c>
      <c r="H1418" t="s">
        <v>359</v>
      </c>
      <c r="K1418" t="s">
        <v>3486</v>
      </c>
      <c r="L1418" t="s">
        <v>47</v>
      </c>
      <c r="N1418" s="2">
        <v>45509</v>
      </c>
      <c r="O1418" s="2">
        <v>45509</v>
      </c>
      <c r="P1418">
        <v>9151.1200000000008</v>
      </c>
      <c r="Q1418">
        <v>9151.1200000000008</v>
      </c>
      <c r="R1418" t="s">
        <v>3487</v>
      </c>
    </row>
    <row r="1419" spans="1:20" x14ac:dyDescent="0.25">
      <c r="A1419" t="s">
        <v>14</v>
      </c>
      <c r="B1419" t="s">
        <v>1125</v>
      </c>
      <c r="C1419" t="s">
        <v>4412</v>
      </c>
      <c r="D1419" t="s">
        <v>4424</v>
      </c>
      <c r="E1419">
        <v>47300088318</v>
      </c>
      <c r="F1419" t="s">
        <v>35</v>
      </c>
      <c r="G1419" t="s">
        <v>36</v>
      </c>
      <c r="H1419" t="s">
        <v>1126</v>
      </c>
      <c r="K1419" t="s">
        <v>4266</v>
      </c>
      <c r="L1419" t="s">
        <v>19</v>
      </c>
      <c r="M1419" t="s">
        <v>63</v>
      </c>
      <c r="N1419" s="2">
        <v>45505</v>
      </c>
      <c r="O1419" s="2">
        <v>45535</v>
      </c>
      <c r="P1419">
        <v>100000</v>
      </c>
      <c r="Q1419">
        <v>100000</v>
      </c>
      <c r="R1419" t="s">
        <v>3442</v>
      </c>
      <c r="S1419" t="s">
        <v>1127</v>
      </c>
      <c r="T1419">
        <v>233.7</v>
      </c>
    </row>
    <row r="1420" spans="1:20" x14ac:dyDescent="0.25">
      <c r="A1420" t="s">
        <v>14</v>
      </c>
      <c r="B1420" t="s">
        <v>1125</v>
      </c>
      <c r="C1420" t="s">
        <v>4411</v>
      </c>
      <c r="D1420" t="s">
        <v>3275</v>
      </c>
      <c r="E1420">
        <v>47300088318</v>
      </c>
      <c r="F1420" t="s">
        <v>35</v>
      </c>
      <c r="G1420" t="s">
        <v>36</v>
      </c>
      <c r="H1420" t="s">
        <v>1126</v>
      </c>
      <c r="K1420" t="s">
        <v>3294</v>
      </c>
      <c r="L1420" t="s">
        <v>19</v>
      </c>
      <c r="M1420" t="s">
        <v>46</v>
      </c>
      <c r="N1420" s="2">
        <v>45505</v>
      </c>
      <c r="O1420" s="2">
        <v>45535</v>
      </c>
      <c r="P1420">
        <v>500</v>
      </c>
      <c r="Q1420">
        <v>500</v>
      </c>
      <c r="R1420" t="s">
        <v>3442</v>
      </c>
    </row>
    <row r="1421" spans="1:20" x14ac:dyDescent="0.25">
      <c r="A1421" t="s">
        <v>14</v>
      </c>
      <c r="B1421" t="s">
        <v>1124</v>
      </c>
      <c r="C1421" t="s">
        <v>4365</v>
      </c>
      <c r="D1421" t="s">
        <v>4366</v>
      </c>
      <c r="E1421">
        <v>47300046738</v>
      </c>
      <c r="F1421" t="s">
        <v>16</v>
      </c>
      <c r="G1421" t="s">
        <v>28</v>
      </c>
      <c r="H1421" t="s">
        <v>202</v>
      </c>
      <c r="K1421" t="s">
        <v>3294</v>
      </c>
      <c r="L1421" t="s">
        <v>19</v>
      </c>
      <c r="M1421" t="s">
        <v>46</v>
      </c>
      <c r="N1421" s="2">
        <v>45505</v>
      </c>
      <c r="O1421" s="2">
        <v>45535</v>
      </c>
      <c r="P1421">
        <v>500</v>
      </c>
      <c r="Q1421">
        <v>500</v>
      </c>
      <c r="R1421" t="s">
        <v>3060</v>
      </c>
    </row>
    <row r="1422" spans="1:20" x14ac:dyDescent="0.25">
      <c r="A1422" t="s">
        <v>14</v>
      </c>
      <c r="B1422" t="s">
        <v>1124</v>
      </c>
      <c r="C1422" t="s">
        <v>4371</v>
      </c>
      <c r="D1422" t="s">
        <v>4368</v>
      </c>
      <c r="E1422">
        <v>47300046738</v>
      </c>
      <c r="F1422" t="s">
        <v>16</v>
      </c>
      <c r="G1422" t="s">
        <v>28</v>
      </c>
      <c r="H1422" t="s">
        <v>202</v>
      </c>
      <c r="K1422" t="s">
        <v>2892</v>
      </c>
      <c r="L1422" t="s">
        <v>19</v>
      </c>
      <c r="M1422" t="s">
        <v>46</v>
      </c>
      <c r="N1422" s="2">
        <v>45505</v>
      </c>
      <c r="O1422" s="2">
        <v>45535</v>
      </c>
      <c r="P1422">
        <v>10000</v>
      </c>
      <c r="Q1422">
        <v>10000</v>
      </c>
      <c r="R1422" t="s">
        <v>3060</v>
      </c>
    </row>
    <row r="1423" spans="1:20" x14ac:dyDescent="0.25">
      <c r="A1423" t="s">
        <v>14</v>
      </c>
      <c r="B1423" t="s">
        <v>1122</v>
      </c>
      <c r="C1423" t="s">
        <v>4389</v>
      </c>
      <c r="D1423" t="s">
        <v>4375</v>
      </c>
      <c r="E1423">
        <v>47300026094</v>
      </c>
      <c r="F1423" t="s">
        <v>35</v>
      </c>
      <c r="G1423" t="s">
        <v>36</v>
      </c>
      <c r="H1423" t="s">
        <v>4359</v>
      </c>
      <c r="K1423" t="s">
        <v>3795</v>
      </c>
      <c r="L1423" t="s">
        <v>19</v>
      </c>
      <c r="M1423" t="s">
        <v>20</v>
      </c>
      <c r="P1423">
        <v>100000</v>
      </c>
      <c r="Q1423">
        <v>100000</v>
      </c>
      <c r="R1423" t="s">
        <v>3970</v>
      </c>
      <c r="S1423" t="s">
        <v>1123</v>
      </c>
      <c r="T1423">
        <v>233.7</v>
      </c>
    </row>
    <row r="1424" spans="1:20" x14ac:dyDescent="0.25">
      <c r="A1424" t="s">
        <v>14</v>
      </c>
      <c r="B1424" t="s">
        <v>1120</v>
      </c>
      <c r="C1424" t="s">
        <v>4367</v>
      </c>
      <c r="D1424" t="s">
        <v>4368</v>
      </c>
      <c r="E1424">
        <v>47300070514</v>
      </c>
      <c r="F1424" t="s">
        <v>27</v>
      </c>
      <c r="G1424" t="s">
        <v>28</v>
      </c>
      <c r="H1424" t="s">
        <v>29</v>
      </c>
      <c r="K1424" t="s">
        <v>3795</v>
      </c>
      <c r="L1424" t="s">
        <v>19</v>
      </c>
      <c r="M1424" t="s">
        <v>20</v>
      </c>
      <c r="P1424">
        <v>20000</v>
      </c>
      <c r="Q1424">
        <v>20000</v>
      </c>
      <c r="R1424" t="s">
        <v>3971</v>
      </c>
      <c r="S1424" t="s">
        <v>1121</v>
      </c>
      <c r="T1424">
        <v>46.8</v>
      </c>
    </row>
    <row r="1425" spans="1:20" x14ac:dyDescent="0.25">
      <c r="A1425" t="s">
        <v>14</v>
      </c>
      <c r="B1425" t="s">
        <v>1118</v>
      </c>
      <c r="C1425" t="s">
        <v>4411</v>
      </c>
      <c r="D1425" t="s">
        <v>3275</v>
      </c>
      <c r="E1425">
        <v>47300025708</v>
      </c>
      <c r="F1425" t="s">
        <v>35</v>
      </c>
      <c r="G1425" t="s">
        <v>36</v>
      </c>
      <c r="H1425" t="s">
        <v>4360</v>
      </c>
      <c r="K1425" t="s">
        <v>3795</v>
      </c>
      <c r="L1425" t="s">
        <v>19</v>
      </c>
      <c r="M1425" t="s">
        <v>20</v>
      </c>
      <c r="P1425">
        <v>100000</v>
      </c>
      <c r="Q1425">
        <v>100000</v>
      </c>
      <c r="R1425" t="s">
        <v>3972</v>
      </c>
      <c r="S1425" t="s">
        <v>1119</v>
      </c>
      <c r="T1425">
        <v>233.7</v>
      </c>
    </row>
    <row r="1426" spans="1:20" x14ac:dyDescent="0.25">
      <c r="A1426" t="s">
        <v>14</v>
      </c>
      <c r="B1426" t="s">
        <v>1116</v>
      </c>
      <c r="C1426" t="s">
        <v>4412</v>
      </c>
      <c r="D1426" t="s">
        <v>4424</v>
      </c>
      <c r="E1426">
        <v>47300070563</v>
      </c>
      <c r="F1426" t="s">
        <v>16</v>
      </c>
      <c r="G1426" t="s">
        <v>28</v>
      </c>
      <c r="H1426" t="s">
        <v>359</v>
      </c>
      <c r="K1426" t="s">
        <v>3795</v>
      </c>
      <c r="L1426" t="s">
        <v>19</v>
      </c>
      <c r="M1426" t="s">
        <v>20</v>
      </c>
      <c r="P1426">
        <v>10000</v>
      </c>
      <c r="Q1426">
        <v>10000</v>
      </c>
      <c r="R1426" t="s">
        <v>3973</v>
      </c>
      <c r="S1426" t="s">
        <v>1117</v>
      </c>
      <c r="T1426">
        <v>23.3</v>
      </c>
    </row>
    <row r="1427" spans="1:20" x14ac:dyDescent="0.25">
      <c r="A1427" t="s">
        <v>14</v>
      </c>
      <c r="B1427" t="s">
        <v>1114</v>
      </c>
      <c r="C1427" t="s">
        <v>4365</v>
      </c>
      <c r="D1427" t="s">
        <v>4366</v>
      </c>
      <c r="E1427">
        <v>47300012151</v>
      </c>
      <c r="F1427" t="s">
        <v>35</v>
      </c>
      <c r="G1427" t="s">
        <v>36</v>
      </c>
      <c r="H1427" t="s">
        <v>4362</v>
      </c>
      <c r="K1427" t="s">
        <v>3795</v>
      </c>
      <c r="L1427" t="s">
        <v>19</v>
      </c>
      <c r="M1427" t="s">
        <v>20</v>
      </c>
      <c r="P1427">
        <v>50000</v>
      </c>
      <c r="Q1427">
        <v>50000</v>
      </c>
      <c r="R1427" t="s">
        <v>3974</v>
      </c>
      <c r="S1427" t="s">
        <v>1115</v>
      </c>
      <c r="T1427">
        <v>208.2</v>
      </c>
    </row>
    <row r="1428" spans="1:20" x14ac:dyDescent="0.25">
      <c r="A1428" t="s">
        <v>14</v>
      </c>
      <c r="B1428" t="s">
        <v>1112</v>
      </c>
      <c r="C1428" t="s">
        <v>4365</v>
      </c>
      <c r="D1428" t="s">
        <v>4366</v>
      </c>
      <c r="E1428">
        <v>47300025690</v>
      </c>
      <c r="F1428" t="s">
        <v>35</v>
      </c>
      <c r="G1428" t="s">
        <v>36</v>
      </c>
      <c r="H1428" t="s">
        <v>37</v>
      </c>
      <c r="K1428" t="s">
        <v>3795</v>
      </c>
      <c r="L1428" t="s">
        <v>19</v>
      </c>
      <c r="M1428" t="s">
        <v>20</v>
      </c>
      <c r="P1428">
        <v>50000</v>
      </c>
      <c r="Q1428">
        <v>50000</v>
      </c>
      <c r="R1428" t="s">
        <v>3975</v>
      </c>
      <c r="S1428" t="s">
        <v>1113</v>
      </c>
      <c r="T1428">
        <v>208.1</v>
      </c>
    </row>
    <row r="1429" spans="1:20" x14ac:dyDescent="0.25">
      <c r="A1429" t="s">
        <v>14</v>
      </c>
      <c r="B1429" t="s">
        <v>1110</v>
      </c>
      <c r="C1429" t="s">
        <v>4365</v>
      </c>
      <c r="D1429" t="s">
        <v>4366</v>
      </c>
      <c r="E1429">
        <v>47300026185</v>
      </c>
      <c r="F1429" t="s">
        <v>35</v>
      </c>
      <c r="G1429" t="s">
        <v>36</v>
      </c>
      <c r="H1429" t="s">
        <v>4361</v>
      </c>
      <c r="K1429" t="s">
        <v>3795</v>
      </c>
      <c r="L1429" t="s">
        <v>19</v>
      </c>
      <c r="M1429" t="s">
        <v>20</v>
      </c>
      <c r="P1429">
        <v>50000</v>
      </c>
      <c r="Q1429">
        <v>50000</v>
      </c>
      <c r="R1429" t="s">
        <v>3976</v>
      </c>
      <c r="S1429" t="s">
        <v>1111</v>
      </c>
      <c r="T1429">
        <v>208.2</v>
      </c>
    </row>
    <row r="1430" spans="1:20" x14ac:dyDescent="0.25">
      <c r="A1430" t="s">
        <v>14</v>
      </c>
      <c r="B1430" t="s">
        <v>1108</v>
      </c>
      <c r="C1430" t="s">
        <v>4365</v>
      </c>
      <c r="D1430" t="s">
        <v>4366</v>
      </c>
      <c r="E1430">
        <v>47300070522</v>
      </c>
      <c r="F1430" t="s">
        <v>16</v>
      </c>
      <c r="G1430" t="s">
        <v>17</v>
      </c>
      <c r="H1430" t="s">
        <v>18</v>
      </c>
      <c r="K1430" t="s">
        <v>3795</v>
      </c>
      <c r="L1430" t="s">
        <v>19</v>
      </c>
      <c r="M1430" t="s">
        <v>20</v>
      </c>
      <c r="P1430">
        <v>20000</v>
      </c>
      <c r="Q1430">
        <v>20000</v>
      </c>
      <c r="R1430" t="s">
        <v>3977</v>
      </c>
      <c r="S1430" t="s">
        <v>1109</v>
      </c>
      <c r="T1430">
        <v>83.2</v>
      </c>
    </row>
    <row r="1431" spans="1:20" x14ac:dyDescent="0.25">
      <c r="A1431" t="s">
        <v>14</v>
      </c>
      <c r="B1431" t="s">
        <v>1106</v>
      </c>
      <c r="C1431" t="s">
        <v>4376</v>
      </c>
      <c r="D1431" t="s">
        <v>4377</v>
      </c>
      <c r="E1431">
        <v>47300046761</v>
      </c>
      <c r="F1431" t="s">
        <v>42</v>
      </c>
      <c r="G1431" t="s">
        <v>28</v>
      </c>
      <c r="H1431" t="s">
        <v>43</v>
      </c>
      <c r="K1431" t="s">
        <v>3795</v>
      </c>
      <c r="L1431" t="s">
        <v>19</v>
      </c>
      <c r="M1431" t="s">
        <v>20</v>
      </c>
      <c r="P1431">
        <v>50000</v>
      </c>
      <c r="Q1431">
        <v>50000</v>
      </c>
      <c r="R1431" t="s">
        <v>3978</v>
      </c>
      <c r="S1431" t="s">
        <v>1107</v>
      </c>
      <c r="T1431">
        <v>208.2</v>
      </c>
    </row>
    <row r="1432" spans="1:20" x14ac:dyDescent="0.25">
      <c r="A1432" t="s">
        <v>14</v>
      </c>
      <c r="B1432" t="s">
        <v>1104</v>
      </c>
      <c r="C1432" t="s">
        <v>4387</v>
      </c>
      <c r="D1432" t="s">
        <v>4388</v>
      </c>
      <c r="E1432">
        <v>47300046720</v>
      </c>
      <c r="F1432" t="s">
        <v>16</v>
      </c>
      <c r="G1432" t="s">
        <v>28</v>
      </c>
      <c r="H1432" t="s">
        <v>143</v>
      </c>
      <c r="K1432" t="s">
        <v>3795</v>
      </c>
      <c r="L1432" t="s">
        <v>19</v>
      </c>
      <c r="M1432" t="s">
        <v>20</v>
      </c>
      <c r="P1432">
        <v>40000</v>
      </c>
      <c r="Q1432">
        <v>40000</v>
      </c>
      <c r="R1432" t="s">
        <v>3979</v>
      </c>
      <c r="S1432" t="s">
        <v>1105</v>
      </c>
      <c r="T1432">
        <v>166.6</v>
      </c>
    </row>
    <row r="1433" spans="1:20" x14ac:dyDescent="0.25">
      <c r="A1433" t="s">
        <v>14</v>
      </c>
      <c r="B1433" t="s">
        <v>1102</v>
      </c>
      <c r="C1433" t="s">
        <v>4400</v>
      </c>
      <c r="D1433" t="s">
        <v>4401</v>
      </c>
      <c r="E1433">
        <v>47300070563</v>
      </c>
      <c r="F1433" t="s">
        <v>16</v>
      </c>
      <c r="G1433" t="s">
        <v>28</v>
      </c>
      <c r="H1433" t="s">
        <v>359</v>
      </c>
      <c r="K1433" t="s">
        <v>3795</v>
      </c>
      <c r="L1433" t="s">
        <v>19</v>
      </c>
      <c r="M1433" t="s">
        <v>20</v>
      </c>
      <c r="P1433">
        <v>121000</v>
      </c>
      <c r="Q1433">
        <v>121000</v>
      </c>
      <c r="R1433" t="s">
        <v>3980</v>
      </c>
      <c r="S1433" t="s">
        <v>1103</v>
      </c>
      <c r="T1433">
        <v>503.8</v>
      </c>
    </row>
    <row r="1434" spans="1:20" x14ac:dyDescent="0.25">
      <c r="A1434" t="s">
        <v>14</v>
      </c>
      <c r="B1434" t="s">
        <v>1100</v>
      </c>
      <c r="C1434" t="s">
        <v>4409</v>
      </c>
      <c r="D1434" t="s">
        <v>4410</v>
      </c>
      <c r="E1434">
        <v>47300070563</v>
      </c>
      <c r="F1434" t="s">
        <v>16</v>
      </c>
      <c r="G1434" t="s">
        <v>28</v>
      </c>
      <c r="H1434" t="s">
        <v>359</v>
      </c>
      <c r="K1434" t="s">
        <v>3795</v>
      </c>
      <c r="L1434" t="s">
        <v>19</v>
      </c>
      <c r="M1434" t="s">
        <v>20</v>
      </c>
      <c r="P1434">
        <v>60250</v>
      </c>
      <c r="Q1434">
        <v>60250</v>
      </c>
      <c r="R1434" t="s">
        <v>3981</v>
      </c>
      <c r="S1434" t="s">
        <v>1101</v>
      </c>
      <c r="T1434">
        <v>250.8</v>
      </c>
    </row>
    <row r="1435" spans="1:20" x14ac:dyDescent="0.25">
      <c r="A1435" t="s">
        <v>14</v>
      </c>
      <c r="B1435" t="s">
        <v>1098</v>
      </c>
      <c r="C1435" t="s">
        <v>4386</v>
      </c>
      <c r="D1435" t="s">
        <v>4368</v>
      </c>
      <c r="E1435">
        <v>47300070563</v>
      </c>
      <c r="F1435" t="s">
        <v>16</v>
      </c>
      <c r="G1435" t="s">
        <v>28</v>
      </c>
      <c r="H1435" t="s">
        <v>359</v>
      </c>
      <c r="K1435" t="s">
        <v>3795</v>
      </c>
      <c r="L1435" t="s">
        <v>19</v>
      </c>
      <c r="M1435" t="s">
        <v>20</v>
      </c>
      <c r="P1435">
        <v>48200</v>
      </c>
      <c r="Q1435">
        <v>48200</v>
      </c>
      <c r="R1435" t="s">
        <v>3982</v>
      </c>
      <c r="S1435" t="s">
        <v>1099</v>
      </c>
      <c r="T1435">
        <v>200.7</v>
      </c>
    </row>
    <row r="1436" spans="1:20" x14ac:dyDescent="0.25">
      <c r="A1436" t="s">
        <v>14</v>
      </c>
      <c r="B1436" t="s">
        <v>1096</v>
      </c>
      <c r="C1436" t="s">
        <v>4418</v>
      </c>
      <c r="D1436" t="s">
        <v>4368</v>
      </c>
      <c r="E1436">
        <v>47300070563</v>
      </c>
      <c r="F1436" t="s">
        <v>16</v>
      </c>
      <c r="G1436" t="s">
        <v>28</v>
      </c>
      <c r="H1436" t="s">
        <v>359</v>
      </c>
      <c r="K1436" t="s">
        <v>3795</v>
      </c>
      <c r="L1436" t="s">
        <v>19</v>
      </c>
      <c r="M1436" t="s">
        <v>20</v>
      </c>
      <c r="P1436">
        <v>50000</v>
      </c>
      <c r="Q1436">
        <v>50000</v>
      </c>
      <c r="R1436" t="s">
        <v>3983</v>
      </c>
      <c r="S1436" t="s">
        <v>1097</v>
      </c>
      <c r="T1436">
        <v>208.1</v>
      </c>
    </row>
    <row r="1437" spans="1:20" x14ac:dyDescent="0.25">
      <c r="A1437" t="s">
        <v>14</v>
      </c>
      <c r="B1437" t="s">
        <v>1094</v>
      </c>
      <c r="C1437" t="s">
        <v>4384</v>
      </c>
      <c r="D1437" t="s">
        <v>4385</v>
      </c>
      <c r="E1437">
        <v>47300046779</v>
      </c>
      <c r="F1437" t="s">
        <v>42</v>
      </c>
      <c r="G1437" t="s">
        <v>28</v>
      </c>
      <c r="H1437" t="s">
        <v>199</v>
      </c>
      <c r="K1437" t="s">
        <v>4266</v>
      </c>
      <c r="L1437" t="s">
        <v>19</v>
      </c>
      <c r="M1437" t="s">
        <v>63</v>
      </c>
      <c r="N1437" s="2">
        <v>45505</v>
      </c>
      <c r="O1437" s="2">
        <v>45535</v>
      </c>
      <c r="P1437">
        <v>150000</v>
      </c>
      <c r="Q1437">
        <v>150000</v>
      </c>
      <c r="R1437" t="s">
        <v>4294</v>
      </c>
      <c r="S1437" t="s">
        <v>1095</v>
      </c>
      <c r="T1437">
        <v>624.5</v>
      </c>
    </row>
    <row r="1438" spans="1:20" x14ac:dyDescent="0.25">
      <c r="A1438" t="s">
        <v>14</v>
      </c>
      <c r="B1438" t="s">
        <v>1092</v>
      </c>
      <c r="C1438" t="s">
        <v>4406</v>
      </c>
      <c r="D1438" t="s">
        <v>4394</v>
      </c>
      <c r="E1438">
        <v>47300046738</v>
      </c>
      <c r="F1438" t="s">
        <v>16</v>
      </c>
      <c r="G1438" t="s">
        <v>28</v>
      </c>
      <c r="H1438" t="s">
        <v>202</v>
      </c>
      <c r="K1438" t="s">
        <v>4266</v>
      </c>
      <c r="L1438" t="s">
        <v>19</v>
      </c>
      <c r="M1438" t="s">
        <v>63</v>
      </c>
      <c r="N1438" s="2">
        <v>45505</v>
      </c>
      <c r="O1438" s="2">
        <v>45535</v>
      </c>
      <c r="P1438">
        <v>180000</v>
      </c>
      <c r="Q1438">
        <v>180000</v>
      </c>
      <c r="R1438" t="s">
        <v>4295</v>
      </c>
      <c r="S1438" t="s">
        <v>1093</v>
      </c>
      <c r="T1438">
        <v>749.4</v>
      </c>
    </row>
    <row r="1439" spans="1:20" x14ac:dyDescent="0.25">
      <c r="A1439" t="s">
        <v>14</v>
      </c>
      <c r="B1439" t="s">
        <v>1090</v>
      </c>
      <c r="C1439" t="s">
        <v>4389</v>
      </c>
      <c r="D1439" t="s">
        <v>4375</v>
      </c>
      <c r="E1439">
        <v>47300070795</v>
      </c>
      <c r="F1439" t="s">
        <v>16</v>
      </c>
      <c r="G1439" t="s">
        <v>87</v>
      </c>
      <c r="H1439" t="s">
        <v>88</v>
      </c>
      <c r="K1439" t="s">
        <v>3795</v>
      </c>
      <c r="L1439" t="s">
        <v>19</v>
      </c>
      <c r="M1439" t="s">
        <v>20</v>
      </c>
      <c r="P1439">
        <v>50000</v>
      </c>
      <c r="Q1439">
        <v>50000</v>
      </c>
      <c r="R1439" t="s">
        <v>3984</v>
      </c>
      <c r="S1439" t="s">
        <v>1091</v>
      </c>
      <c r="T1439">
        <v>208.1</v>
      </c>
    </row>
    <row r="1440" spans="1:20" x14ac:dyDescent="0.25">
      <c r="A1440" t="s">
        <v>14</v>
      </c>
      <c r="B1440" t="s">
        <v>1089</v>
      </c>
      <c r="C1440" t="s">
        <v>4389</v>
      </c>
      <c r="D1440" t="s">
        <v>4390</v>
      </c>
      <c r="E1440">
        <v>47300046688</v>
      </c>
      <c r="F1440" t="s">
        <v>16</v>
      </c>
      <c r="G1440" t="s">
        <v>17</v>
      </c>
      <c r="H1440" t="s">
        <v>154</v>
      </c>
      <c r="K1440" t="s">
        <v>3294</v>
      </c>
      <c r="L1440" t="s">
        <v>19</v>
      </c>
      <c r="M1440" t="s">
        <v>46</v>
      </c>
      <c r="N1440" s="2">
        <v>45505</v>
      </c>
      <c r="O1440" s="2">
        <v>45535</v>
      </c>
      <c r="P1440">
        <v>500</v>
      </c>
      <c r="Q1440">
        <v>500</v>
      </c>
      <c r="R1440" t="s">
        <v>3061</v>
      </c>
    </row>
    <row r="1441" spans="1:20" x14ac:dyDescent="0.25">
      <c r="A1441" t="s">
        <v>14</v>
      </c>
      <c r="B1441" t="s">
        <v>1089</v>
      </c>
      <c r="C1441" t="s">
        <v>4384</v>
      </c>
      <c r="D1441" t="s">
        <v>4385</v>
      </c>
      <c r="E1441">
        <v>47300046688</v>
      </c>
      <c r="F1441" t="s">
        <v>16</v>
      </c>
      <c r="G1441" t="s">
        <v>17</v>
      </c>
      <c r="H1441" t="s">
        <v>154</v>
      </c>
      <c r="K1441" t="s">
        <v>2892</v>
      </c>
      <c r="L1441" t="s">
        <v>19</v>
      </c>
      <c r="M1441" t="s">
        <v>46</v>
      </c>
      <c r="N1441" s="2">
        <v>45505</v>
      </c>
      <c r="O1441" s="2">
        <v>45535</v>
      </c>
      <c r="P1441">
        <v>10000</v>
      </c>
      <c r="Q1441">
        <v>10000</v>
      </c>
      <c r="R1441" t="s">
        <v>3061</v>
      </c>
    </row>
    <row r="1442" spans="1:20" x14ac:dyDescent="0.25">
      <c r="A1442" t="s">
        <v>14</v>
      </c>
      <c r="B1442" t="s">
        <v>1087</v>
      </c>
      <c r="C1442" t="s">
        <v>4374</v>
      </c>
      <c r="D1442" t="s">
        <v>4375</v>
      </c>
      <c r="E1442">
        <v>47300046647</v>
      </c>
      <c r="F1442" t="s">
        <v>16</v>
      </c>
      <c r="G1442" t="s">
        <v>87</v>
      </c>
      <c r="H1442" t="s">
        <v>100</v>
      </c>
      <c r="K1442" t="s">
        <v>4266</v>
      </c>
      <c r="L1442" t="s">
        <v>19</v>
      </c>
      <c r="M1442" t="s">
        <v>63</v>
      </c>
      <c r="N1442" s="2">
        <v>45505</v>
      </c>
      <c r="O1442" s="2">
        <v>45535</v>
      </c>
      <c r="P1442">
        <v>152000</v>
      </c>
      <c r="Q1442">
        <v>152000</v>
      </c>
      <c r="R1442" t="s">
        <v>3062</v>
      </c>
      <c r="S1442" t="s">
        <v>1088</v>
      </c>
      <c r="T1442">
        <v>632.79999999999995</v>
      </c>
    </row>
    <row r="1443" spans="1:20" x14ac:dyDescent="0.25">
      <c r="A1443" t="s">
        <v>14</v>
      </c>
      <c r="B1443" t="s">
        <v>1087</v>
      </c>
      <c r="C1443" t="s">
        <v>4412</v>
      </c>
      <c r="D1443" t="s">
        <v>4424</v>
      </c>
      <c r="E1443">
        <v>47300046647</v>
      </c>
      <c r="F1443" t="s">
        <v>16</v>
      </c>
      <c r="G1443" t="s">
        <v>87</v>
      </c>
      <c r="H1443" t="s">
        <v>100</v>
      </c>
      <c r="K1443" t="s">
        <v>3294</v>
      </c>
      <c r="L1443" t="s">
        <v>19</v>
      </c>
      <c r="M1443" t="s">
        <v>46</v>
      </c>
      <c r="N1443" s="2">
        <v>45505</v>
      </c>
      <c r="O1443" s="2">
        <v>45535</v>
      </c>
      <c r="P1443">
        <v>500</v>
      </c>
      <c r="Q1443">
        <v>500</v>
      </c>
      <c r="R1443" t="s">
        <v>3062</v>
      </c>
    </row>
    <row r="1444" spans="1:20" x14ac:dyDescent="0.25">
      <c r="A1444" t="s">
        <v>14</v>
      </c>
      <c r="B1444" t="s">
        <v>1087</v>
      </c>
      <c r="C1444" t="s">
        <v>4398</v>
      </c>
      <c r="D1444" t="s">
        <v>4399</v>
      </c>
      <c r="E1444">
        <v>47300046647</v>
      </c>
      <c r="F1444" t="s">
        <v>16</v>
      </c>
      <c r="G1444" t="s">
        <v>87</v>
      </c>
      <c r="H1444" t="s">
        <v>100</v>
      </c>
      <c r="K1444" t="s">
        <v>2892</v>
      </c>
      <c r="L1444" t="s">
        <v>19</v>
      </c>
      <c r="M1444" t="s">
        <v>46</v>
      </c>
      <c r="N1444" s="2">
        <v>45505</v>
      </c>
      <c r="O1444" s="2">
        <v>45535</v>
      </c>
      <c r="P1444">
        <v>10000</v>
      </c>
      <c r="Q1444">
        <v>10000</v>
      </c>
      <c r="R1444" t="s">
        <v>3062</v>
      </c>
    </row>
    <row r="1445" spans="1:20" x14ac:dyDescent="0.25">
      <c r="A1445" t="s">
        <v>14</v>
      </c>
      <c r="B1445" t="s">
        <v>1085</v>
      </c>
      <c r="C1445" t="s">
        <v>4384</v>
      </c>
      <c r="D1445" t="s">
        <v>4385</v>
      </c>
      <c r="E1445">
        <v>47300070571</v>
      </c>
      <c r="F1445" t="s">
        <v>42</v>
      </c>
      <c r="G1445" t="s">
        <v>28</v>
      </c>
      <c r="H1445" t="s">
        <v>72</v>
      </c>
      <c r="K1445" t="s">
        <v>3795</v>
      </c>
      <c r="L1445" t="s">
        <v>19</v>
      </c>
      <c r="M1445" t="s">
        <v>20</v>
      </c>
      <c r="P1445">
        <v>110000</v>
      </c>
      <c r="Q1445">
        <v>110000</v>
      </c>
      <c r="R1445" t="s">
        <v>3985</v>
      </c>
      <c r="S1445" t="s">
        <v>1086</v>
      </c>
      <c r="T1445">
        <v>457.9</v>
      </c>
    </row>
    <row r="1446" spans="1:20" x14ac:dyDescent="0.25">
      <c r="A1446" t="s">
        <v>14</v>
      </c>
      <c r="B1446" t="s">
        <v>1083</v>
      </c>
      <c r="C1446" t="s">
        <v>4406</v>
      </c>
      <c r="D1446" t="s">
        <v>4394</v>
      </c>
      <c r="E1446">
        <v>47300070514</v>
      </c>
      <c r="F1446" t="s">
        <v>27</v>
      </c>
      <c r="G1446" t="s">
        <v>28</v>
      </c>
      <c r="H1446" t="s">
        <v>29</v>
      </c>
      <c r="K1446" t="s">
        <v>3795</v>
      </c>
      <c r="L1446" t="s">
        <v>19</v>
      </c>
      <c r="M1446" t="s">
        <v>20</v>
      </c>
      <c r="P1446">
        <v>50000</v>
      </c>
      <c r="Q1446">
        <v>50000</v>
      </c>
      <c r="R1446" t="s">
        <v>3986</v>
      </c>
      <c r="S1446" t="s">
        <v>1084</v>
      </c>
      <c r="T1446">
        <v>208.1</v>
      </c>
    </row>
    <row r="1447" spans="1:20" x14ac:dyDescent="0.25">
      <c r="A1447" t="s">
        <v>14</v>
      </c>
      <c r="B1447" t="s">
        <v>1082</v>
      </c>
      <c r="C1447" t="s">
        <v>4414</v>
      </c>
      <c r="D1447" t="s">
        <v>4401</v>
      </c>
      <c r="E1447">
        <v>47300046746</v>
      </c>
      <c r="F1447" t="s">
        <v>16</v>
      </c>
      <c r="G1447" t="s">
        <v>28</v>
      </c>
      <c r="H1447" t="s">
        <v>32</v>
      </c>
      <c r="K1447" t="s">
        <v>3197</v>
      </c>
      <c r="L1447" t="s">
        <v>19</v>
      </c>
      <c r="M1447" t="s">
        <v>46</v>
      </c>
      <c r="N1447" s="2">
        <v>45505</v>
      </c>
      <c r="O1447" s="2">
        <v>45535</v>
      </c>
      <c r="P1447">
        <v>145500</v>
      </c>
      <c r="Q1447">
        <v>145500</v>
      </c>
      <c r="R1447" t="s">
        <v>3222</v>
      </c>
    </row>
    <row r="1448" spans="1:20" x14ac:dyDescent="0.25">
      <c r="A1448" t="s">
        <v>14</v>
      </c>
      <c r="B1448" t="s">
        <v>1080</v>
      </c>
      <c r="C1448" t="s">
        <v>4414</v>
      </c>
      <c r="D1448" t="s">
        <v>4401</v>
      </c>
      <c r="E1448">
        <v>47300046746</v>
      </c>
      <c r="F1448" t="s">
        <v>16</v>
      </c>
      <c r="G1448" t="s">
        <v>28</v>
      </c>
      <c r="H1448" t="s">
        <v>32</v>
      </c>
      <c r="K1448" t="s">
        <v>4266</v>
      </c>
      <c r="L1448" t="s">
        <v>19</v>
      </c>
      <c r="M1448" t="s">
        <v>63</v>
      </c>
      <c r="N1448" s="2">
        <v>45505</v>
      </c>
      <c r="O1448" s="2">
        <v>45535</v>
      </c>
      <c r="P1448">
        <v>10000</v>
      </c>
      <c r="Q1448">
        <v>10000</v>
      </c>
      <c r="R1448" t="s">
        <v>4296</v>
      </c>
      <c r="S1448" t="s">
        <v>1081</v>
      </c>
      <c r="T1448">
        <v>41.7</v>
      </c>
    </row>
    <row r="1449" spans="1:20" x14ac:dyDescent="0.25">
      <c r="A1449" t="s">
        <v>14</v>
      </c>
      <c r="B1449" t="s">
        <v>1079</v>
      </c>
      <c r="C1449" t="s">
        <v>4406</v>
      </c>
      <c r="D1449" t="s">
        <v>4394</v>
      </c>
      <c r="E1449">
        <v>47300070845</v>
      </c>
      <c r="F1449" t="s">
        <v>16</v>
      </c>
      <c r="G1449" t="s">
        <v>23</v>
      </c>
      <c r="H1449" t="s">
        <v>157</v>
      </c>
      <c r="K1449" t="s">
        <v>2892</v>
      </c>
      <c r="L1449" t="s">
        <v>19</v>
      </c>
      <c r="M1449" t="s">
        <v>46</v>
      </c>
      <c r="N1449" s="2">
        <v>45505</v>
      </c>
      <c r="O1449" s="2">
        <v>45535</v>
      </c>
      <c r="P1449">
        <v>10000</v>
      </c>
      <c r="Q1449">
        <v>10000</v>
      </c>
      <c r="R1449" t="s">
        <v>3063</v>
      </c>
    </row>
    <row r="1450" spans="1:20" x14ac:dyDescent="0.25">
      <c r="A1450" t="s">
        <v>14</v>
      </c>
      <c r="B1450" t="s">
        <v>1078</v>
      </c>
      <c r="C1450" t="s">
        <v>4402</v>
      </c>
      <c r="D1450" t="s">
        <v>4403</v>
      </c>
      <c r="E1450">
        <v>47300046688</v>
      </c>
      <c r="F1450" t="s">
        <v>16</v>
      </c>
      <c r="G1450" t="s">
        <v>17</v>
      </c>
      <c r="H1450" t="s">
        <v>154</v>
      </c>
      <c r="K1450" t="s">
        <v>3197</v>
      </c>
      <c r="L1450" t="s">
        <v>19</v>
      </c>
      <c r="M1450" t="s">
        <v>46</v>
      </c>
      <c r="N1450" s="2">
        <v>45505</v>
      </c>
      <c r="O1450" s="2">
        <v>45535</v>
      </c>
      <c r="P1450">
        <v>145500</v>
      </c>
      <c r="Q1450">
        <v>145500</v>
      </c>
      <c r="R1450" t="s">
        <v>3223</v>
      </c>
    </row>
    <row r="1451" spans="1:20" x14ac:dyDescent="0.25">
      <c r="A1451" t="s">
        <v>14</v>
      </c>
      <c r="B1451" t="s">
        <v>1076</v>
      </c>
      <c r="C1451" t="s">
        <v>4369</v>
      </c>
      <c r="D1451" t="s">
        <v>4370</v>
      </c>
      <c r="E1451">
        <v>47300026094</v>
      </c>
      <c r="F1451" t="s">
        <v>35</v>
      </c>
      <c r="G1451" t="s">
        <v>36</v>
      </c>
      <c r="H1451" t="s">
        <v>4359</v>
      </c>
      <c r="K1451" t="s">
        <v>3795</v>
      </c>
      <c r="L1451" t="s">
        <v>19</v>
      </c>
      <c r="M1451" t="s">
        <v>20</v>
      </c>
      <c r="P1451">
        <v>50000</v>
      </c>
      <c r="Q1451">
        <v>50000</v>
      </c>
      <c r="R1451" t="s">
        <v>3987</v>
      </c>
      <c r="S1451" t="s">
        <v>1077</v>
      </c>
      <c r="T1451">
        <v>208.1</v>
      </c>
    </row>
    <row r="1452" spans="1:20" x14ac:dyDescent="0.25">
      <c r="A1452" t="s">
        <v>14</v>
      </c>
      <c r="B1452" t="s">
        <v>1074</v>
      </c>
      <c r="C1452" t="s">
        <v>4398</v>
      </c>
      <c r="D1452" t="s">
        <v>4399</v>
      </c>
      <c r="E1452">
        <v>47300025708</v>
      </c>
      <c r="F1452" t="s">
        <v>35</v>
      </c>
      <c r="G1452" t="s">
        <v>36</v>
      </c>
      <c r="H1452" t="s">
        <v>4360</v>
      </c>
      <c r="K1452" t="s">
        <v>3795</v>
      </c>
      <c r="L1452" t="s">
        <v>19</v>
      </c>
      <c r="M1452" t="s">
        <v>20</v>
      </c>
      <c r="P1452">
        <v>50000</v>
      </c>
      <c r="Q1452">
        <v>50000</v>
      </c>
      <c r="R1452" t="s">
        <v>3988</v>
      </c>
      <c r="S1452" t="s">
        <v>1075</v>
      </c>
      <c r="T1452">
        <v>208.2</v>
      </c>
    </row>
    <row r="1453" spans="1:20" x14ac:dyDescent="0.25">
      <c r="A1453" t="s">
        <v>14</v>
      </c>
      <c r="B1453" t="s">
        <v>1072</v>
      </c>
      <c r="C1453" t="s">
        <v>4369</v>
      </c>
      <c r="D1453" t="s">
        <v>4370</v>
      </c>
      <c r="E1453">
        <v>47300086445</v>
      </c>
      <c r="F1453" t="s">
        <v>16</v>
      </c>
      <c r="G1453" t="s">
        <v>28</v>
      </c>
      <c r="H1453" t="s">
        <v>187</v>
      </c>
      <c r="I1453" t="s">
        <v>2777</v>
      </c>
      <c r="J1453" t="s">
        <v>2776</v>
      </c>
      <c r="K1453" t="s">
        <v>4266</v>
      </c>
      <c r="L1453" t="s">
        <v>19</v>
      </c>
      <c r="M1453" t="s">
        <v>63</v>
      </c>
      <c r="N1453" s="2">
        <v>45505</v>
      </c>
      <c r="O1453" s="2">
        <v>45535</v>
      </c>
      <c r="P1453">
        <v>50000</v>
      </c>
      <c r="Q1453">
        <v>50000</v>
      </c>
      <c r="R1453" t="s">
        <v>3064</v>
      </c>
      <c r="S1453" t="s">
        <v>1073</v>
      </c>
      <c r="T1453">
        <v>208.2</v>
      </c>
    </row>
    <row r="1454" spans="1:20" x14ac:dyDescent="0.25">
      <c r="A1454" t="s">
        <v>14</v>
      </c>
      <c r="B1454" t="s">
        <v>1072</v>
      </c>
      <c r="C1454" t="s">
        <v>4371</v>
      </c>
      <c r="D1454" t="s">
        <v>4368</v>
      </c>
      <c r="E1454">
        <v>47300086445</v>
      </c>
      <c r="F1454" t="s">
        <v>16</v>
      </c>
      <c r="G1454" t="s">
        <v>28</v>
      </c>
      <c r="H1454" t="s">
        <v>187</v>
      </c>
      <c r="I1454" t="s">
        <v>2777</v>
      </c>
      <c r="J1454" t="s">
        <v>2776</v>
      </c>
      <c r="K1454" t="s">
        <v>3294</v>
      </c>
      <c r="L1454" t="s">
        <v>19</v>
      </c>
      <c r="M1454" t="s">
        <v>46</v>
      </c>
      <c r="N1454" s="2">
        <v>45505</v>
      </c>
      <c r="O1454" s="2">
        <v>45535</v>
      </c>
      <c r="P1454">
        <v>500</v>
      </c>
      <c r="Q1454">
        <v>500</v>
      </c>
      <c r="R1454" t="s">
        <v>3064</v>
      </c>
    </row>
    <row r="1455" spans="1:20" x14ac:dyDescent="0.25">
      <c r="A1455" t="s">
        <v>14</v>
      </c>
      <c r="B1455" t="s">
        <v>1072</v>
      </c>
      <c r="C1455" t="s">
        <v>4367</v>
      </c>
      <c r="D1455" t="s">
        <v>4368</v>
      </c>
      <c r="E1455">
        <v>47300086445</v>
      </c>
      <c r="F1455" t="s">
        <v>16</v>
      </c>
      <c r="G1455" t="s">
        <v>28</v>
      </c>
      <c r="H1455" t="s">
        <v>187</v>
      </c>
      <c r="I1455" t="s">
        <v>2777</v>
      </c>
      <c r="J1455" t="s">
        <v>2776</v>
      </c>
      <c r="K1455" t="s">
        <v>3197</v>
      </c>
      <c r="L1455" t="s">
        <v>19</v>
      </c>
      <c r="M1455" t="s">
        <v>46</v>
      </c>
      <c r="N1455" s="2">
        <v>45505</v>
      </c>
      <c r="O1455" s="2">
        <v>45535</v>
      </c>
      <c r="P1455">
        <v>145500</v>
      </c>
      <c r="Q1455">
        <v>145500</v>
      </c>
      <c r="R1455" t="s">
        <v>3064</v>
      </c>
    </row>
    <row r="1456" spans="1:20" x14ac:dyDescent="0.25">
      <c r="A1456" t="s">
        <v>14</v>
      </c>
      <c r="B1456" t="s">
        <v>1072</v>
      </c>
      <c r="C1456" t="s">
        <v>4369</v>
      </c>
      <c r="D1456" t="s">
        <v>4370</v>
      </c>
      <c r="E1456">
        <v>47300086445</v>
      </c>
      <c r="F1456" t="s">
        <v>16</v>
      </c>
      <c r="G1456" t="s">
        <v>28</v>
      </c>
      <c r="H1456" t="s">
        <v>187</v>
      </c>
      <c r="I1456" t="s">
        <v>2777</v>
      </c>
      <c r="J1456" t="s">
        <v>2776</v>
      </c>
      <c r="K1456" t="s">
        <v>2892</v>
      </c>
      <c r="L1456" t="s">
        <v>19</v>
      </c>
      <c r="M1456" t="s">
        <v>46</v>
      </c>
      <c r="N1456" s="2">
        <v>45505</v>
      </c>
      <c r="O1456" s="2">
        <v>45535</v>
      </c>
      <c r="P1456">
        <v>10000</v>
      </c>
      <c r="Q1456">
        <v>10000</v>
      </c>
      <c r="R1456" t="s">
        <v>3064</v>
      </c>
    </row>
    <row r="1457" spans="1:20" x14ac:dyDescent="0.25">
      <c r="A1457" t="s">
        <v>14</v>
      </c>
      <c r="B1457" t="s">
        <v>1070</v>
      </c>
      <c r="C1457" t="s">
        <v>4369</v>
      </c>
      <c r="D1457" t="s">
        <v>4370</v>
      </c>
      <c r="E1457">
        <v>47300046779</v>
      </c>
      <c r="F1457" t="s">
        <v>42</v>
      </c>
      <c r="G1457" t="s">
        <v>28</v>
      </c>
      <c r="H1457" t="s">
        <v>199</v>
      </c>
      <c r="K1457" t="s">
        <v>3795</v>
      </c>
      <c r="L1457" t="s">
        <v>19</v>
      </c>
      <c r="M1457" t="s">
        <v>20</v>
      </c>
      <c r="P1457">
        <v>50000</v>
      </c>
      <c r="Q1457">
        <v>50000</v>
      </c>
      <c r="R1457" t="s">
        <v>3989</v>
      </c>
      <c r="S1457" t="s">
        <v>1071</v>
      </c>
      <c r="T1457">
        <v>208.1</v>
      </c>
    </row>
    <row r="1458" spans="1:20" x14ac:dyDescent="0.25">
      <c r="A1458" t="s">
        <v>14</v>
      </c>
      <c r="B1458" t="s">
        <v>1069</v>
      </c>
      <c r="C1458" t="s">
        <v>4382</v>
      </c>
      <c r="D1458" t="s">
        <v>4383</v>
      </c>
      <c r="E1458">
        <v>47300046365</v>
      </c>
      <c r="F1458" t="s">
        <v>16</v>
      </c>
      <c r="G1458" t="s">
        <v>28</v>
      </c>
      <c r="H1458" t="s">
        <v>62</v>
      </c>
      <c r="K1458" t="s">
        <v>3486</v>
      </c>
      <c r="L1458" t="s">
        <v>47</v>
      </c>
      <c r="N1458" s="2">
        <v>45509</v>
      </c>
      <c r="O1458" s="2">
        <v>45509</v>
      </c>
      <c r="P1458">
        <v>9151.1200000000008</v>
      </c>
      <c r="Q1458">
        <v>9151.1200000000008</v>
      </c>
      <c r="R1458" t="s">
        <v>3488</v>
      </c>
    </row>
    <row r="1459" spans="1:20" x14ac:dyDescent="0.25">
      <c r="A1459" t="s">
        <v>14</v>
      </c>
      <c r="B1459" t="s">
        <v>1067</v>
      </c>
      <c r="C1459" t="s">
        <v>2927</v>
      </c>
      <c r="D1459" t="s">
        <v>4385</v>
      </c>
      <c r="E1459">
        <v>47300047066</v>
      </c>
      <c r="F1459" t="s">
        <v>16</v>
      </c>
      <c r="G1459" t="s">
        <v>28</v>
      </c>
      <c r="H1459" t="s">
        <v>57</v>
      </c>
      <c r="K1459" t="s">
        <v>3795</v>
      </c>
      <c r="L1459" t="s">
        <v>19</v>
      </c>
      <c r="M1459" t="s">
        <v>20</v>
      </c>
      <c r="P1459">
        <v>30000</v>
      </c>
      <c r="Q1459">
        <v>30000</v>
      </c>
      <c r="R1459" t="s">
        <v>3990</v>
      </c>
      <c r="S1459" t="s">
        <v>1068</v>
      </c>
      <c r="T1459">
        <v>124.9</v>
      </c>
    </row>
    <row r="1460" spans="1:20" x14ac:dyDescent="0.25">
      <c r="A1460" t="s">
        <v>14</v>
      </c>
      <c r="B1460" t="s">
        <v>1065</v>
      </c>
      <c r="C1460" t="s">
        <v>4387</v>
      </c>
      <c r="D1460" t="s">
        <v>4388</v>
      </c>
      <c r="E1460">
        <v>47300046761</v>
      </c>
      <c r="F1460" t="s">
        <v>42</v>
      </c>
      <c r="G1460" t="s">
        <v>28</v>
      </c>
      <c r="H1460" t="s">
        <v>43</v>
      </c>
      <c r="K1460" t="s">
        <v>3795</v>
      </c>
      <c r="L1460" t="s">
        <v>19</v>
      </c>
      <c r="M1460" t="s">
        <v>20</v>
      </c>
      <c r="P1460">
        <v>50000</v>
      </c>
      <c r="Q1460">
        <v>50000</v>
      </c>
      <c r="R1460" t="s">
        <v>3991</v>
      </c>
      <c r="S1460" t="s">
        <v>1066</v>
      </c>
      <c r="T1460">
        <v>208.1</v>
      </c>
    </row>
    <row r="1461" spans="1:20" x14ac:dyDescent="0.25">
      <c r="A1461" t="s">
        <v>14</v>
      </c>
      <c r="B1461" t="s">
        <v>1063</v>
      </c>
      <c r="C1461" t="s">
        <v>4419</v>
      </c>
      <c r="D1461" t="s">
        <v>4368</v>
      </c>
      <c r="E1461">
        <v>47300026094</v>
      </c>
      <c r="F1461" t="s">
        <v>35</v>
      </c>
      <c r="G1461" t="s">
        <v>36</v>
      </c>
      <c r="H1461" t="s">
        <v>4359</v>
      </c>
      <c r="K1461" t="s">
        <v>3795</v>
      </c>
      <c r="L1461" t="s">
        <v>19</v>
      </c>
      <c r="M1461" t="s">
        <v>20</v>
      </c>
      <c r="P1461">
        <v>50000</v>
      </c>
      <c r="Q1461">
        <v>50000</v>
      </c>
      <c r="R1461" t="s">
        <v>3992</v>
      </c>
      <c r="S1461" t="s">
        <v>1064</v>
      </c>
      <c r="T1461">
        <v>208.2</v>
      </c>
    </row>
    <row r="1462" spans="1:20" x14ac:dyDescent="0.25">
      <c r="A1462" t="s">
        <v>14</v>
      </c>
      <c r="B1462" t="s">
        <v>1061</v>
      </c>
      <c r="C1462" t="s">
        <v>4371</v>
      </c>
      <c r="D1462" t="s">
        <v>4368</v>
      </c>
      <c r="E1462">
        <v>47300025708</v>
      </c>
      <c r="F1462" t="s">
        <v>35</v>
      </c>
      <c r="G1462" t="s">
        <v>36</v>
      </c>
      <c r="H1462" t="s">
        <v>4360</v>
      </c>
      <c r="K1462" t="s">
        <v>3795</v>
      </c>
      <c r="L1462" t="s">
        <v>19</v>
      </c>
      <c r="M1462" t="s">
        <v>20</v>
      </c>
      <c r="P1462">
        <v>50000</v>
      </c>
      <c r="Q1462">
        <v>50000</v>
      </c>
      <c r="R1462" t="s">
        <v>3993</v>
      </c>
      <c r="S1462" t="s">
        <v>1062</v>
      </c>
      <c r="T1462">
        <v>208.1</v>
      </c>
    </row>
    <row r="1463" spans="1:20" x14ac:dyDescent="0.25">
      <c r="A1463" t="s">
        <v>14</v>
      </c>
      <c r="B1463" t="s">
        <v>1059</v>
      </c>
      <c r="C1463" t="s">
        <v>4367</v>
      </c>
      <c r="D1463" t="s">
        <v>4368</v>
      </c>
      <c r="E1463">
        <v>47300020147</v>
      </c>
      <c r="F1463" t="s">
        <v>35</v>
      </c>
      <c r="G1463" t="s">
        <v>36</v>
      </c>
      <c r="H1463" t="s">
        <v>4363</v>
      </c>
      <c r="K1463" t="s">
        <v>3795</v>
      </c>
      <c r="L1463" t="s">
        <v>19</v>
      </c>
      <c r="M1463" t="s">
        <v>20</v>
      </c>
      <c r="P1463">
        <v>50000</v>
      </c>
      <c r="Q1463">
        <v>50000</v>
      </c>
      <c r="R1463" t="s">
        <v>3994</v>
      </c>
      <c r="S1463" t="s">
        <v>1060</v>
      </c>
      <c r="T1463">
        <v>208.1</v>
      </c>
    </row>
    <row r="1464" spans="1:20" x14ac:dyDescent="0.25">
      <c r="A1464" t="s">
        <v>14</v>
      </c>
      <c r="B1464" t="s">
        <v>1057</v>
      </c>
      <c r="C1464" t="s">
        <v>4414</v>
      </c>
      <c r="D1464" t="s">
        <v>4401</v>
      </c>
      <c r="E1464">
        <v>47300046746</v>
      </c>
      <c r="F1464" t="s">
        <v>16</v>
      </c>
      <c r="G1464" t="s">
        <v>28</v>
      </c>
      <c r="H1464" t="s">
        <v>32</v>
      </c>
      <c r="K1464" t="s">
        <v>3795</v>
      </c>
      <c r="L1464" t="s">
        <v>19</v>
      </c>
      <c r="M1464" t="s">
        <v>20</v>
      </c>
      <c r="P1464">
        <v>10000</v>
      </c>
      <c r="Q1464">
        <v>10000</v>
      </c>
      <c r="R1464" t="s">
        <v>3995</v>
      </c>
      <c r="S1464" t="s">
        <v>1058</v>
      </c>
      <c r="T1464">
        <v>41.6</v>
      </c>
    </row>
    <row r="1465" spans="1:20" x14ac:dyDescent="0.25">
      <c r="A1465" t="s">
        <v>14</v>
      </c>
      <c r="B1465" t="s">
        <v>1055</v>
      </c>
      <c r="C1465" t="s">
        <v>4364</v>
      </c>
      <c r="D1465" t="s">
        <v>4358</v>
      </c>
      <c r="E1465">
        <v>47300070522</v>
      </c>
      <c r="F1465" t="s">
        <v>16</v>
      </c>
      <c r="G1465" t="s">
        <v>17</v>
      </c>
      <c r="H1465" t="s">
        <v>18</v>
      </c>
      <c r="K1465" t="s">
        <v>3795</v>
      </c>
      <c r="L1465" t="s">
        <v>19</v>
      </c>
      <c r="M1465" t="s">
        <v>20</v>
      </c>
      <c r="P1465">
        <v>50000</v>
      </c>
      <c r="Q1465">
        <v>50000</v>
      </c>
      <c r="R1465" t="s">
        <v>3996</v>
      </c>
      <c r="S1465" t="s">
        <v>1056</v>
      </c>
      <c r="T1465">
        <v>208.2</v>
      </c>
    </row>
    <row r="1466" spans="1:20" x14ac:dyDescent="0.25">
      <c r="A1466" t="s">
        <v>14</v>
      </c>
      <c r="B1466" t="s">
        <v>1053</v>
      </c>
      <c r="C1466" t="s">
        <v>4389</v>
      </c>
      <c r="D1466" t="s">
        <v>4375</v>
      </c>
      <c r="E1466">
        <v>47300070514</v>
      </c>
      <c r="F1466" t="s">
        <v>27</v>
      </c>
      <c r="G1466" t="s">
        <v>28</v>
      </c>
      <c r="H1466" t="s">
        <v>29</v>
      </c>
      <c r="K1466" t="s">
        <v>3795</v>
      </c>
      <c r="L1466" t="s">
        <v>19</v>
      </c>
      <c r="M1466" t="s">
        <v>20</v>
      </c>
      <c r="P1466">
        <v>50000</v>
      </c>
      <c r="Q1466">
        <v>50000</v>
      </c>
      <c r="R1466" t="s">
        <v>3997</v>
      </c>
      <c r="S1466" t="s">
        <v>1054</v>
      </c>
      <c r="T1466">
        <v>208.2</v>
      </c>
    </row>
    <row r="1467" spans="1:20" x14ac:dyDescent="0.25">
      <c r="A1467" t="s">
        <v>14</v>
      </c>
      <c r="B1467" t="s">
        <v>1051</v>
      </c>
      <c r="C1467" t="s">
        <v>4400</v>
      </c>
      <c r="D1467" t="s">
        <v>4401</v>
      </c>
      <c r="E1467">
        <v>47300070704</v>
      </c>
      <c r="F1467" t="s">
        <v>16</v>
      </c>
      <c r="G1467" t="s">
        <v>28</v>
      </c>
      <c r="H1467" t="s">
        <v>146</v>
      </c>
      <c r="K1467" t="s">
        <v>3795</v>
      </c>
      <c r="L1467" t="s">
        <v>19</v>
      </c>
      <c r="M1467" t="s">
        <v>20</v>
      </c>
      <c r="P1467">
        <v>250000</v>
      </c>
      <c r="Q1467">
        <v>250000</v>
      </c>
      <c r="R1467" t="s">
        <v>3998</v>
      </c>
      <c r="S1467" t="s">
        <v>1052</v>
      </c>
      <c r="T1467">
        <v>1040.8</v>
      </c>
    </row>
    <row r="1468" spans="1:20" x14ac:dyDescent="0.25">
      <c r="A1468" t="s">
        <v>14</v>
      </c>
      <c r="B1468" t="s">
        <v>1049</v>
      </c>
      <c r="C1468" t="s">
        <v>4380</v>
      </c>
      <c r="D1468" t="s">
        <v>4381</v>
      </c>
      <c r="E1468">
        <v>47300046688</v>
      </c>
      <c r="F1468" t="s">
        <v>16</v>
      </c>
      <c r="G1468" t="s">
        <v>17</v>
      </c>
      <c r="H1468" t="s">
        <v>154</v>
      </c>
      <c r="K1468" t="s">
        <v>4266</v>
      </c>
      <c r="L1468" t="s">
        <v>19</v>
      </c>
      <c r="M1468" t="s">
        <v>63</v>
      </c>
      <c r="N1468" s="2">
        <v>45505</v>
      </c>
      <c r="O1468" s="2">
        <v>45535</v>
      </c>
      <c r="P1468">
        <v>100000</v>
      </c>
      <c r="Q1468">
        <v>100000</v>
      </c>
      <c r="R1468" t="s">
        <v>4297</v>
      </c>
      <c r="S1468" t="s">
        <v>1050</v>
      </c>
      <c r="T1468">
        <v>416.3</v>
      </c>
    </row>
    <row r="1469" spans="1:20" x14ac:dyDescent="0.25">
      <c r="A1469" t="s">
        <v>14</v>
      </c>
      <c r="B1469" t="s">
        <v>1047</v>
      </c>
      <c r="C1469" t="s">
        <v>4406</v>
      </c>
      <c r="D1469" t="s">
        <v>4394</v>
      </c>
      <c r="E1469">
        <v>47300046605</v>
      </c>
      <c r="F1469" t="s">
        <v>16</v>
      </c>
      <c r="G1469" t="s">
        <v>17</v>
      </c>
      <c r="H1469" t="s">
        <v>49</v>
      </c>
      <c r="K1469" t="s">
        <v>4266</v>
      </c>
      <c r="L1469" t="s">
        <v>19</v>
      </c>
      <c r="M1469" t="s">
        <v>63</v>
      </c>
      <c r="N1469" s="2">
        <v>45505</v>
      </c>
      <c r="O1469" s="2">
        <v>45535</v>
      </c>
      <c r="P1469">
        <v>90000</v>
      </c>
      <c r="Q1469">
        <v>90000</v>
      </c>
      <c r="R1469" t="s">
        <v>4298</v>
      </c>
      <c r="S1469" t="s">
        <v>1048</v>
      </c>
      <c r="T1469">
        <v>374.7</v>
      </c>
    </row>
    <row r="1470" spans="1:20" x14ac:dyDescent="0.25">
      <c r="A1470" t="s">
        <v>14</v>
      </c>
      <c r="B1470" t="s">
        <v>1045</v>
      </c>
      <c r="C1470" t="s">
        <v>4394</v>
      </c>
      <c r="D1470" t="s">
        <v>4395</v>
      </c>
      <c r="E1470">
        <v>47300046720</v>
      </c>
      <c r="F1470" t="s">
        <v>16</v>
      </c>
      <c r="G1470" t="s">
        <v>28</v>
      </c>
      <c r="H1470" t="s">
        <v>143</v>
      </c>
      <c r="K1470" t="s">
        <v>3795</v>
      </c>
      <c r="L1470" t="s">
        <v>19</v>
      </c>
      <c r="M1470" t="s">
        <v>20</v>
      </c>
      <c r="P1470">
        <v>25000</v>
      </c>
      <c r="Q1470">
        <v>25000</v>
      </c>
      <c r="R1470" t="s">
        <v>3999</v>
      </c>
      <c r="S1470" t="s">
        <v>1046</v>
      </c>
      <c r="T1470">
        <v>104</v>
      </c>
    </row>
    <row r="1471" spans="1:20" x14ac:dyDescent="0.25">
      <c r="A1471" t="s">
        <v>14</v>
      </c>
      <c r="B1471" t="s">
        <v>1043</v>
      </c>
      <c r="C1471" t="s">
        <v>4387</v>
      </c>
      <c r="D1471" t="s">
        <v>4388</v>
      </c>
      <c r="E1471">
        <v>47300070555</v>
      </c>
      <c r="F1471" t="s">
        <v>35</v>
      </c>
      <c r="G1471" t="s">
        <v>35</v>
      </c>
      <c r="H1471" t="s">
        <v>116</v>
      </c>
      <c r="K1471" t="s">
        <v>3795</v>
      </c>
      <c r="L1471" t="s">
        <v>19</v>
      </c>
      <c r="M1471" t="s">
        <v>20</v>
      </c>
      <c r="P1471">
        <v>50000</v>
      </c>
      <c r="Q1471">
        <v>50000</v>
      </c>
      <c r="R1471" t="s">
        <v>4000</v>
      </c>
      <c r="S1471" t="s">
        <v>1044</v>
      </c>
      <c r="T1471">
        <v>208.2</v>
      </c>
    </row>
    <row r="1472" spans="1:20" x14ac:dyDescent="0.25">
      <c r="A1472" t="s">
        <v>14</v>
      </c>
      <c r="B1472" t="s">
        <v>1041</v>
      </c>
      <c r="C1472" t="s">
        <v>4394</v>
      </c>
      <c r="D1472" t="s">
        <v>4395</v>
      </c>
      <c r="E1472">
        <v>47300025708</v>
      </c>
      <c r="F1472" t="s">
        <v>35</v>
      </c>
      <c r="G1472" t="s">
        <v>36</v>
      </c>
      <c r="H1472" t="s">
        <v>4360</v>
      </c>
      <c r="K1472" t="s">
        <v>3795</v>
      </c>
      <c r="L1472" t="s">
        <v>19</v>
      </c>
      <c r="M1472" t="s">
        <v>20</v>
      </c>
      <c r="P1472">
        <v>50000</v>
      </c>
      <c r="Q1472">
        <v>50000</v>
      </c>
      <c r="R1472" t="s">
        <v>4001</v>
      </c>
      <c r="S1472" t="s">
        <v>1042</v>
      </c>
      <c r="T1472">
        <v>208.2</v>
      </c>
    </row>
    <row r="1473" spans="1:20" x14ac:dyDescent="0.25">
      <c r="A1473" t="s">
        <v>14</v>
      </c>
      <c r="B1473" t="s">
        <v>1039</v>
      </c>
      <c r="C1473" t="s">
        <v>4386</v>
      </c>
      <c r="D1473" t="s">
        <v>4368</v>
      </c>
      <c r="E1473">
        <v>47300025690</v>
      </c>
      <c r="F1473" t="s">
        <v>35</v>
      </c>
      <c r="G1473" t="s">
        <v>36</v>
      </c>
      <c r="H1473" t="s">
        <v>37</v>
      </c>
      <c r="K1473" t="s">
        <v>3795</v>
      </c>
      <c r="L1473" t="s">
        <v>19</v>
      </c>
      <c r="M1473" t="s">
        <v>20</v>
      </c>
      <c r="P1473">
        <v>50000</v>
      </c>
      <c r="Q1473">
        <v>50000</v>
      </c>
      <c r="R1473" t="s">
        <v>4002</v>
      </c>
      <c r="S1473" t="s">
        <v>1040</v>
      </c>
      <c r="T1473">
        <v>208.2</v>
      </c>
    </row>
    <row r="1474" spans="1:20" x14ac:dyDescent="0.25">
      <c r="A1474" t="s">
        <v>14</v>
      </c>
      <c r="B1474" t="s">
        <v>1037</v>
      </c>
      <c r="C1474" t="s">
        <v>4371</v>
      </c>
      <c r="D1474" t="s">
        <v>4368</v>
      </c>
      <c r="E1474">
        <v>47300046241</v>
      </c>
      <c r="F1474" t="s">
        <v>16</v>
      </c>
      <c r="G1474" t="s">
        <v>23</v>
      </c>
      <c r="H1474" t="s">
        <v>24</v>
      </c>
      <c r="I1474" t="s">
        <v>2754</v>
      </c>
      <c r="J1474">
        <v>0</v>
      </c>
      <c r="K1474" t="s">
        <v>4266</v>
      </c>
      <c r="L1474" t="s">
        <v>19</v>
      </c>
      <c r="M1474" t="s">
        <v>63</v>
      </c>
      <c r="N1474" s="2">
        <v>45505</v>
      </c>
      <c r="O1474" s="2">
        <v>45535</v>
      </c>
      <c r="P1474">
        <v>40000</v>
      </c>
      <c r="Q1474">
        <v>40000</v>
      </c>
      <c r="R1474" t="s">
        <v>3065</v>
      </c>
      <c r="S1474" t="s">
        <v>1038</v>
      </c>
      <c r="T1474">
        <v>166.5</v>
      </c>
    </row>
    <row r="1475" spans="1:20" x14ac:dyDescent="0.25">
      <c r="A1475" t="s">
        <v>14</v>
      </c>
      <c r="B1475" t="s">
        <v>1037</v>
      </c>
      <c r="C1475" t="s">
        <v>3300</v>
      </c>
      <c r="D1475" t="s">
        <v>3299</v>
      </c>
      <c r="E1475">
        <v>47300046241</v>
      </c>
      <c r="F1475" t="s">
        <v>16</v>
      </c>
      <c r="G1475" t="s">
        <v>23</v>
      </c>
      <c r="H1475" t="s">
        <v>24</v>
      </c>
      <c r="I1475" t="s">
        <v>2754</v>
      </c>
      <c r="J1475">
        <v>0</v>
      </c>
      <c r="K1475" t="s">
        <v>3294</v>
      </c>
      <c r="L1475" t="s">
        <v>19</v>
      </c>
      <c r="M1475" t="s">
        <v>46</v>
      </c>
      <c r="N1475" s="2">
        <v>45505</v>
      </c>
      <c r="O1475" s="2">
        <v>45535</v>
      </c>
      <c r="P1475">
        <v>500</v>
      </c>
      <c r="Q1475">
        <v>500</v>
      </c>
      <c r="R1475" t="s">
        <v>3065</v>
      </c>
    </row>
    <row r="1476" spans="1:20" x14ac:dyDescent="0.25">
      <c r="A1476" t="s">
        <v>14</v>
      </c>
      <c r="B1476" t="s">
        <v>1037</v>
      </c>
      <c r="C1476" t="s">
        <v>4376</v>
      </c>
      <c r="D1476" t="s">
        <v>4377</v>
      </c>
      <c r="E1476">
        <v>47300046241</v>
      </c>
      <c r="F1476" t="s">
        <v>16</v>
      </c>
      <c r="G1476" t="s">
        <v>23</v>
      </c>
      <c r="H1476" t="s">
        <v>24</v>
      </c>
      <c r="I1476" t="s">
        <v>2754</v>
      </c>
      <c r="J1476">
        <v>0</v>
      </c>
      <c r="K1476" t="s">
        <v>3197</v>
      </c>
      <c r="L1476" t="s">
        <v>19</v>
      </c>
      <c r="M1476" t="s">
        <v>46</v>
      </c>
      <c r="N1476" s="2">
        <v>45505</v>
      </c>
      <c r="O1476" s="2">
        <v>45535</v>
      </c>
      <c r="P1476">
        <v>145500</v>
      </c>
      <c r="Q1476">
        <v>145500</v>
      </c>
      <c r="R1476" t="s">
        <v>3065</v>
      </c>
    </row>
    <row r="1477" spans="1:20" x14ac:dyDescent="0.25">
      <c r="A1477" t="s">
        <v>14</v>
      </c>
      <c r="B1477" t="s">
        <v>1037</v>
      </c>
      <c r="C1477" t="s">
        <v>4394</v>
      </c>
      <c r="D1477" t="s">
        <v>4395</v>
      </c>
      <c r="E1477">
        <v>47300046241</v>
      </c>
      <c r="F1477" t="s">
        <v>16</v>
      </c>
      <c r="G1477" t="s">
        <v>23</v>
      </c>
      <c r="H1477" t="s">
        <v>24</v>
      </c>
      <c r="I1477" t="s">
        <v>2754</v>
      </c>
      <c r="J1477">
        <v>0</v>
      </c>
      <c r="K1477" t="s">
        <v>2892</v>
      </c>
      <c r="L1477" t="s">
        <v>19</v>
      </c>
      <c r="M1477" t="s">
        <v>46</v>
      </c>
      <c r="N1477" s="2">
        <v>45505</v>
      </c>
      <c r="O1477" s="2">
        <v>45535</v>
      </c>
      <c r="P1477">
        <v>10000</v>
      </c>
      <c r="Q1477">
        <v>10000</v>
      </c>
      <c r="R1477" t="s">
        <v>3065</v>
      </c>
    </row>
    <row r="1478" spans="1:20" x14ac:dyDescent="0.25">
      <c r="A1478" t="s">
        <v>14</v>
      </c>
      <c r="B1478" t="s">
        <v>1035</v>
      </c>
      <c r="C1478" t="s">
        <v>4394</v>
      </c>
      <c r="D1478" t="s">
        <v>4395</v>
      </c>
      <c r="E1478">
        <v>47300046761</v>
      </c>
      <c r="F1478" t="s">
        <v>42</v>
      </c>
      <c r="G1478" t="s">
        <v>28</v>
      </c>
      <c r="H1478" t="s">
        <v>43</v>
      </c>
      <c r="K1478" t="s">
        <v>3795</v>
      </c>
      <c r="L1478" t="s">
        <v>19</v>
      </c>
      <c r="M1478" t="s">
        <v>20</v>
      </c>
      <c r="P1478">
        <v>25000</v>
      </c>
      <c r="Q1478">
        <v>25000</v>
      </c>
      <c r="R1478" t="s">
        <v>4003</v>
      </c>
      <c r="S1478" t="s">
        <v>1036</v>
      </c>
      <c r="T1478">
        <v>104.1</v>
      </c>
    </row>
    <row r="1479" spans="1:20" x14ac:dyDescent="0.25">
      <c r="A1479" t="s">
        <v>14</v>
      </c>
      <c r="B1479" t="s">
        <v>1033</v>
      </c>
      <c r="C1479" t="s">
        <v>4402</v>
      </c>
      <c r="D1479" t="s">
        <v>4379</v>
      </c>
      <c r="E1479">
        <v>47300046662</v>
      </c>
      <c r="F1479" t="s">
        <v>16</v>
      </c>
      <c r="G1479" t="s">
        <v>28</v>
      </c>
      <c r="H1479" t="s">
        <v>129</v>
      </c>
      <c r="K1479" t="s">
        <v>4266</v>
      </c>
      <c r="L1479" t="s">
        <v>19</v>
      </c>
      <c r="M1479" t="s">
        <v>63</v>
      </c>
      <c r="N1479" s="2">
        <v>45505</v>
      </c>
      <c r="O1479" s="2">
        <v>45535</v>
      </c>
      <c r="P1479">
        <v>50000</v>
      </c>
      <c r="Q1479">
        <v>50000</v>
      </c>
      <c r="R1479" t="s">
        <v>3066</v>
      </c>
      <c r="S1479" t="s">
        <v>1034</v>
      </c>
      <c r="T1479">
        <v>208.1</v>
      </c>
    </row>
    <row r="1480" spans="1:20" x14ac:dyDescent="0.25">
      <c r="A1480" t="s">
        <v>14</v>
      </c>
      <c r="B1480" t="s">
        <v>1033</v>
      </c>
      <c r="C1480" t="s">
        <v>4396</v>
      </c>
      <c r="D1480" t="s">
        <v>4397</v>
      </c>
      <c r="E1480">
        <v>47300046662</v>
      </c>
      <c r="F1480" t="s">
        <v>16</v>
      </c>
      <c r="G1480" t="s">
        <v>28</v>
      </c>
      <c r="H1480" t="s">
        <v>129</v>
      </c>
      <c r="K1480" t="s">
        <v>3294</v>
      </c>
      <c r="L1480" t="s">
        <v>19</v>
      </c>
      <c r="M1480" t="s">
        <v>46</v>
      </c>
      <c r="N1480" s="2">
        <v>45505</v>
      </c>
      <c r="O1480" s="2">
        <v>45535</v>
      </c>
      <c r="P1480">
        <v>500</v>
      </c>
      <c r="Q1480">
        <v>500</v>
      </c>
      <c r="R1480" t="s">
        <v>3066</v>
      </c>
    </row>
    <row r="1481" spans="1:20" x14ac:dyDescent="0.25">
      <c r="A1481" t="s">
        <v>14</v>
      </c>
      <c r="B1481" t="s">
        <v>1033</v>
      </c>
      <c r="C1481" t="s">
        <v>4402</v>
      </c>
      <c r="D1481" t="s">
        <v>4379</v>
      </c>
      <c r="E1481">
        <v>47300046662</v>
      </c>
      <c r="F1481" t="s">
        <v>16</v>
      </c>
      <c r="G1481" t="s">
        <v>28</v>
      </c>
      <c r="H1481" t="s">
        <v>129</v>
      </c>
      <c r="K1481" t="s">
        <v>3197</v>
      </c>
      <c r="L1481" t="s">
        <v>19</v>
      </c>
      <c r="M1481" t="s">
        <v>46</v>
      </c>
      <c r="N1481" s="2">
        <v>45505</v>
      </c>
      <c r="O1481" s="2">
        <v>45535</v>
      </c>
      <c r="P1481">
        <v>145500</v>
      </c>
      <c r="Q1481">
        <v>145500</v>
      </c>
      <c r="R1481" t="s">
        <v>3066</v>
      </c>
    </row>
    <row r="1482" spans="1:20" x14ac:dyDescent="0.25">
      <c r="A1482" t="s">
        <v>14</v>
      </c>
      <c r="B1482" t="s">
        <v>1033</v>
      </c>
      <c r="C1482" t="s">
        <v>4396</v>
      </c>
      <c r="D1482" t="s">
        <v>4397</v>
      </c>
      <c r="E1482">
        <v>47300046662</v>
      </c>
      <c r="F1482" t="s">
        <v>16</v>
      </c>
      <c r="G1482" t="s">
        <v>28</v>
      </c>
      <c r="H1482" t="s">
        <v>129</v>
      </c>
      <c r="K1482" t="s">
        <v>2892</v>
      </c>
      <c r="L1482" t="s">
        <v>19</v>
      </c>
      <c r="M1482" t="s">
        <v>46</v>
      </c>
      <c r="N1482" s="2">
        <v>45505</v>
      </c>
      <c r="O1482" s="2">
        <v>45535</v>
      </c>
      <c r="P1482">
        <v>10000</v>
      </c>
      <c r="Q1482">
        <v>10000</v>
      </c>
      <c r="R1482" t="s">
        <v>3066</v>
      </c>
    </row>
    <row r="1483" spans="1:20" x14ac:dyDescent="0.25">
      <c r="A1483" t="s">
        <v>14</v>
      </c>
      <c r="B1483" t="s">
        <v>1032</v>
      </c>
      <c r="C1483" t="s">
        <v>4402</v>
      </c>
      <c r="D1483" t="s">
        <v>4379</v>
      </c>
      <c r="E1483">
        <v>47300070597</v>
      </c>
      <c r="F1483" t="s">
        <v>16</v>
      </c>
      <c r="G1483" t="s">
        <v>28</v>
      </c>
      <c r="H1483" t="s">
        <v>77</v>
      </c>
      <c r="K1483" t="s">
        <v>3294</v>
      </c>
      <c r="L1483" t="s">
        <v>19</v>
      </c>
      <c r="M1483" t="s">
        <v>46</v>
      </c>
      <c r="N1483" s="2">
        <v>45505</v>
      </c>
      <c r="O1483" s="2">
        <v>45535</v>
      </c>
      <c r="P1483">
        <v>500</v>
      </c>
      <c r="Q1483">
        <v>500</v>
      </c>
      <c r="R1483" t="s">
        <v>3067</v>
      </c>
    </row>
    <row r="1484" spans="1:20" x14ac:dyDescent="0.25">
      <c r="A1484" t="s">
        <v>14</v>
      </c>
      <c r="B1484" t="s">
        <v>1032</v>
      </c>
      <c r="C1484" t="s">
        <v>4396</v>
      </c>
      <c r="D1484" t="s">
        <v>4397</v>
      </c>
      <c r="E1484">
        <v>47300070597</v>
      </c>
      <c r="F1484" t="s">
        <v>16</v>
      </c>
      <c r="G1484" t="s">
        <v>28</v>
      </c>
      <c r="H1484" t="s">
        <v>77</v>
      </c>
      <c r="K1484" t="s">
        <v>3197</v>
      </c>
      <c r="L1484" t="s">
        <v>19</v>
      </c>
      <c r="M1484" t="s">
        <v>46</v>
      </c>
      <c r="N1484" s="2">
        <v>45505</v>
      </c>
      <c r="O1484" s="2">
        <v>45535</v>
      </c>
      <c r="P1484">
        <v>145500</v>
      </c>
      <c r="Q1484">
        <v>145500</v>
      </c>
      <c r="R1484" t="s">
        <v>3067</v>
      </c>
    </row>
    <row r="1485" spans="1:20" x14ac:dyDescent="0.25">
      <c r="A1485" t="s">
        <v>14</v>
      </c>
      <c r="B1485" t="s">
        <v>1032</v>
      </c>
      <c r="C1485" t="s">
        <v>4402</v>
      </c>
      <c r="D1485" t="s">
        <v>4379</v>
      </c>
      <c r="E1485">
        <v>47300070597</v>
      </c>
      <c r="F1485" t="s">
        <v>16</v>
      </c>
      <c r="G1485" t="s">
        <v>28</v>
      </c>
      <c r="H1485" t="s">
        <v>77</v>
      </c>
      <c r="K1485" t="s">
        <v>2892</v>
      </c>
      <c r="L1485" t="s">
        <v>19</v>
      </c>
      <c r="M1485" t="s">
        <v>46</v>
      </c>
      <c r="N1485" s="2">
        <v>45505</v>
      </c>
      <c r="O1485" s="2">
        <v>45535</v>
      </c>
      <c r="P1485">
        <v>10000</v>
      </c>
      <c r="Q1485">
        <v>10000</v>
      </c>
      <c r="R1485" t="s">
        <v>3067</v>
      </c>
    </row>
    <row r="1486" spans="1:20" x14ac:dyDescent="0.25">
      <c r="A1486" t="s">
        <v>14</v>
      </c>
      <c r="B1486" t="s">
        <v>1030</v>
      </c>
      <c r="C1486" t="s">
        <v>4396</v>
      </c>
      <c r="D1486" t="s">
        <v>4397</v>
      </c>
      <c r="E1486">
        <v>47300070597</v>
      </c>
      <c r="F1486" t="s">
        <v>16</v>
      </c>
      <c r="G1486" t="s">
        <v>28</v>
      </c>
      <c r="H1486" t="s">
        <v>77</v>
      </c>
      <c r="K1486" t="s">
        <v>4266</v>
      </c>
      <c r="L1486" t="s">
        <v>19</v>
      </c>
      <c r="M1486" t="s">
        <v>63</v>
      </c>
      <c r="N1486" s="2">
        <v>45505</v>
      </c>
      <c r="O1486" s="2">
        <v>45535</v>
      </c>
      <c r="P1486">
        <v>50000</v>
      </c>
      <c r="Q1486">
        <v>50000</v>
      </c>
      <c r="R1486" t="s">
        <v>4299</v>
      </c>
      <c r="S1486" t="s">
        <v>1031</v>
      </c>
      <c r="T1486">
        <v>208.1</v>
      </c>
    </row>
    <row r="1487" spans="1:20" x14ac:dyDescent="0.25">
      <c r="A1487" t="s">
        <v>14</v>
      </c>
      <c r="B1487" t="s">
        <v>1028</v>
      </c>
      <c r="C1487" t="s">
        <v>4414</v>
      </c>
      <c r="D1487" t="s">
        <v>4401</v>
      </c>
      <c r="E1487">
        <v>47300046746</v>
      </c>
      <c r="F1487" t="s">
        <v>16</v>
      </c>
      <c r="G1487" t="s">
        <v>28</v>
      </c>
      <c r="H1487" t="s">
        <v>32</v>
      </c>
      <c r="K1487" t="s">
        <v>3795</v>
      </c>
      <c r="L1487" t="s">
        <v>19</v>
      </c>
      <c r="M1487" t="s">
        <v>20</v>
      </c>
      <c r="P1487">
        <v>15000</v>
      </c>
      <c r="Q1487">
        <v>15000</v>
      </c>
      <c r="R1487" t="s">
        <v>4004</v>
      </c>
      <c r="S1487" t="s">
        <v>1029</v>
      </c>
      <c r="T1487">
        <v>62.4</v>
      </c>
    </row>
    <row r="1488" spans="1:20" x14ac:dyDescent="0.25">
      <c r="A1488" t="s">
        <v>14</v>
      </c>
      <c r="B1488" t="s">
        <v>1026</v>
      </c>
      <c r="C1488" t="s">
        <v>2927</v>
      </c>
      <c r="D1488" t="s">
        <v>4385</v>
      </c>
      <c r="E1488">
        <v>47300046365</v>
      </c>
      <c r="F1488" t="s">
        <v>16</v>
      </c>
      <c r="G1488" t="s">
        <v>28</v>
      </c>
      <c r="H1488" t="s">
        <v>62</v>
      </c>
      <c r="K1488" t="s">
        <v>4266</v>
      </c>
      <c r="L1488" t="s">
        <v>19</v>
      </c>
      <c r="M1488" t="s">
        <v>63</v>
      </c>
      <c r="N1488" s="2">
        <v>45505</v>
      </c>
      <c r="O1488" s="2">
        <v>45535</v>
      </c>
      <c r="P1488">
        <v>50000</v>
      </c>
      <c r="Q1488">
        <v>50000</v>
      </c>
      <c r="R1488" t="s">
        <v>3068</v>
      </c>
      <c r="S1488" t="s">
        <v>1027</v>
      </c>
      <c r="T1488">
        <v>208.1</v>
      </c>
    </row>
    <row r="1489" spans="1:25" x14ac:dyDescent="0.25">
      <c r="A1489" t="s">
        <v>14</v>
      </c>
      <c r="B1489" t="s">
        <v>1026</v>
      </c>
      <c r="C1489" t="s">
        <v>4389</v>
      </c>
      <c r="D1489" t="s">
        <v>4390</v>
      </c>
      <c r="E1489">
        <v>47300046365</v>
      </c>
      <c r="F1489" t="s">
        <v>16</v>
      </c>
      <c r="G1489" t="s">
        <v>28</v>
      </c>
      <c r="H1489" t="s">
        <v>62</v>
      </c>
      <c r="K1489" t="s">
        <v>3294</v>
      </c>
      <c r="L1489" t="s">
        <v>19</v>
      </c>
      <c r="M1489" t="s">
        <v>46</v>
      </c>
      <c r="N1489" s="2">
        <v>45505</v>
      </c>
      <c r="O1489" s="2">
        <v>45535</v>
      </c>
      <c r="P1489">
        <v>500</v>
      </c>
      <c r="Q1489">
        <v>500</v>
      </c>
      <c r="R1489" t="s">
        <v>3068</v>
      </c>
    </row>
    <row r="1490" spans="1:25" x14ac:dyDescent="0.25">
      <c r="A1490" t="s">
        <v>14</v>
      </c>
      <c r="B1490" t="s">
        <v>1026</v>
      </c>
      <c r="C1490" t="s">
        <v>4389</v>
      </c>
      <c r="D1490" t="s">
        <v>4375</v>
      </c>
      <c r="E1490">
        <v>47300046365</v>
      </c>
      <c r="F1490" t="s">
        <v>16</v>
      </c>
      <c r="G1490" t="s">
        <v>28</v>
      </c>
      <c r="H1490" t="s">
        <v>62</v>
      </c>
      <c r="K1490" t="s">
        <v>3197</v>
      </c>
      <c r="L1490" t="s">
        <v>19</v>
      </c>
      <c r="M1490" t="s">
        <v>46</v>
      </c>
      <c r="N1490" s="2">
        <v>45505</v>
      </c>
      <c r="O1490" s="2">
        <v>45535</v>
      </c>
      <c r="P1490">
        <v>145500</v>
      </c>
      <c r="Q1490">
        <v>145500</v>
      </c>
      <c r="R1490" t="s">
        <v>3068</v>
      </c>
    </row>
    <row r="1491" spans="1:25" x14ac:dyDescent="0.25">
      <c r="A1491" t="s">
        <v>14</v>
      </c>
      <c r="B1491" t="s">
        <v>1026</v>
      </c>
      <c r="C1491" t="s">
        <v>4398</v>
      </c>
      <c r="D1491" t="s">
        <v>4377</v>
      </c>
      <c r="E1491">
        <v>47300046365</v>
      </c>
      <c r="F1491" t="s">
        <v>16</v>
      </c>
      <c r="G1491" t="s">
        <v>28</v>
      </c>
      <c r="H1491" t="s">
        <v>62</v>
      </c>
      <c r="K1491" t="s">
        <v>2892</v>
      </c>
      <c r="L1491" t="s">
        <v>19</v>
      </c>
      <c r="M1491" t="s">
        <v>46</v>
      </c>
      <c r="N1491" s="2">
        <v>45505</v>
      </c>
      <c r="O1491" s="2">
        <v>45535</v>
      </c>
      <c r="P1491">
        <v>10000</v>
      </c>
      <c r="Q1491">
        <v>10000</v>
      </c>
      <c r="R1491" t="s">
        <v>3068</v>
      </c>
    </row>
    <row r="1492" spans="1:25" x14ac:dyDescent="0.25">
      <c r="A1492" t="s">
        <v>14</v>
      </c>
      <c r="B1492" t="s">
        <v>1024</v>
      </c>
      <c r="C1492" t="s">
        <v>4371</v>
      </c>
      <c r="D1492" t="s">
        <v>4368</v>
      </c>
      <c r="E1492">
        <v>47300026094</v>
      </c>
      <c r="F1492" t="s">
        <v>35</v>
      </c>
      <c r="G1492" t="s">
        <v>36</v>
      </c>
      <c r="H1492" t="s">
        <v>4359</v>
      </c>
      <c r="K1492" t="s">
        <v>3795</v>
      </c>
      <c r="L1492" t="s">
        <v>19</v>
      </c>
      <c r="M1492" t="s">
        <v>20</v>
      </c>
      <c r="P1492">
        <v>50000</v>
      </c>
      <c r="Q1492">
        <v>50000</v>
      </c>
      <c r="R1492" t="s">
        <v>4005</v>
      </c>
      <c r="S1492" t="s">
        <v>1025</v>
      </c>
      <c r="T1492">
        <v>208.1</v>
      </c>
    </row>
    <row r="1493" spans="1:25" x14ac:dyDescent="0.25">
      <c r="A1493" t="s">
        <v>14</v>
      </c>
      <c r="B1493" t="s">
        <v>1022</v>
      </c>
      <c r="C1493" t="s">
        <v>4367</v>
      </c>
      <c r="D1493" t="s">
        <v>4368</v>
      </c>
      <c r="E1493">
        <v>47300025708</v>
      </c>
      <c r="F1493" t="s">
        <v>35</v>
      </c>
      <c r="G1493" t="s">
        <v>36</v>
      </c>
      <c r="H1493" t="s">
        <v>4360</v>
      </c>
      <c r="K1493" t="s">
        <v>3795</v>
      </c>
      <c r="L1493" t="s">
        <v>19</v>
      </c>
      <c r="M1493" t="s">
        <v>20</v>
      </c>
      <c r="P1493">
        <v>50000</v>
      </c>
      <c r="Q1493">
        <v>50000</v>
      </c>
      <c r="R1493" t="s">
        <v>4006</v>
      </c>
      <c r="S1493" t="s">
        <v>1023</v>
      </c>
      <c r="T1493">
        <v>208.1</v>
      </c>
    </row>
    <row r="1494" spans="1:25" x14ac:dyDescent="0.25">
      <c r="A1494" t="s">
        <v>14</v>
      </c>
      <c r="B1494" t="s">
        <v>1020</v>
      </c>
      <c r="C1494" t="s">
        <v>2927</v>
      </c>
      <c r="D1494" t="s">
        <v>4385</v>
      </c>
      <c r="E1494">
        <v>47300046316</v>
      </c>
      <c r="F1494" t="s">
        <v>42</v>
      </c>
      <c r="G1494" t="s">
        <v>28</v>
      </c>
      <c r="H1494" t="s">
        <v>69</v>
      </c>
      <c r="K1494" t="s">
        <v>3795</v>
      </c>
      <c r="L1494" t="s">
        <v>19</v>
      </c>
      <c r="M1494" t="s">
        <v>20</v>
      </c>
      <c r="P1494">
        <v>80000</v>
      </c>
      <c r="Q1494">
        <v>80000</v>
      </c>
      <c r="R1494" t="s">
        <v>4007</v>
      </c>
      <c r="S1494" t="s">
        <v>1021</v>
      </c>
      <c r="T1494">
        <v>333</v>
      </c>
    </row>
    <row r="1495" spans="1:25" x14ac:dyDescent="0.25">
      <c r="A1495" t="s">
        <v>14</v>
      </c>
      <c r="B1495" t="s">
        <v>1018</v>
      </c>
      <c r="C1495" t="s">
        <v>2927</v>
      </c>
      <c r="D1495" t="s">
        <v>4385</v>
      </c>
      <c r="E1495">
        <v>47300070514</v>
      </c>
      <c r="F1495" t="s">
        <v>27</v>
      </c>
      <c r="G1495" t="s">
        <v>28</v>
      </c>
      <c r="H1495" t="s">
        <v>29</v>
      </c>
      <c r="K1495" t="s">
        <v>3795</v>
      </c>
      <c r="L1495" t="s">
        <v>19</v>
      </c>
      <c r="M1495" t="s">
        <v>20</v>
      </c>
      <c r="P1495">
        <v>60000</v>
      </c>
      <c r="Q1495">
        <v>60000</v>
      </c>
      <c r="R1495" t="s">
        <v>4008</v>
      </c>
      <c r="S1495" t="s">
        <v>1019</v>
      </c>
      <c r="T1495">
        <v>249.7</v>
      </c>
    </row>
    <row r="1496" spans="1:25" x14ac:dyDescent="0.25">
      <c r="A1496" t="s">
        <v>14</v>
      </c>
      <c r="B1496" t="s">
        <v>1016</v>
      </c>
      <c r="C1496" t="s">
        <v>2927</v>
      </c>
      <c r="D1496" t="s">
        <v>4385</v>
      </c>
      <c r="E1496">
        <v>47300070571</v>
      </c>
      <c r="F1496" t="s">
        <v>42</v>
      </c>
      <c r="G1496" t="s">
        <v>28</v>
      </c>
      <c r="H1496" t="s">
        <v>72</v>
      </c>
      <c r="K1496" t="s">
        <v>3795</v>
      </c>
      <c r="L1496" t="s">
        <v>19</v>
      </c>
      <c r="M1496" t="s">
        <v>20</v>
      </c>
      <c r="P1496">
        <v>100000</v>
      </c>
      <c r="Q1496">
        <v>100000</v>
      </c>
      <c r="R1496" t="s">
        <v>4009</v>
      </c>
      <c r="S1496" t="s">
        <v>1017</v>
      </c>
      <c r="T1496">
        <v>416.3</v>
      </c>
    </row>
    <row r="1497" spans="1:25" x14ac:dyDescent="0.25">
      <c r="A1497" t="s">
        <v>14</v>
      </c>
      <c r="B1497" t="s">
        <v>1014</v>
      </c>
      <c r="C1497" t="s">
        <v>4374</v>
      </c>
      <c r="D1497" t="s">
        <v>4375</v>
      </c>
      <c r="E1497">
        <v>47300046761</v>
      </c>
      <c r="F1497" t="s">
        <v>42</v>
      </c>
      <c r="G1497" t="s">
        <v>28</v>
      </c>
      <c r="H1497" t="s">
        <v>43</v>
      </c>
      <c r="K1497" t="s">
        <v>3795</v>
      </c>
      <c r="L1497" t="s">
        <v>19</v>
      </c>
      <c r="M1497" t="s">
        <v>20</v>
      </c>
      <c r="P1497">
        <v>50000</v>
      </c>
      <c r="Q1497">
        <v>50000</v>
      </c>
      <c r="R1497" t="s">
        <v>4010</v>
      </c>
      <c r="S1497" t="s">
        <v>1015</v>
      </c>
      <c r="T1497">
        <v>208.2</v>
      </c>
    </row>
    <row r="1498" spans="1:25" x14ac:dyDescent="0.25">
      <c r="A1498" t="s">
        <v>14</v>
      </c>
      <c r="B1498" t="s">
        <v>1012</v>
      </c>
      <c r="C1498" t="s">
        <v>4369</v>
      </c>
      <c r="D1498" t="s">
        <v>4370</v>
      </c>
      <c r="E1498">
        <v>47300086445</v>
      </c>
      <c r="F1498" t="s">
        <v>16</v>
      </c>
      <c r="G1498" t="s">
        <v>28</v>
      </c>
      <c r="H1498" t="s">
        <v>187</v>
      </c>
      <c r="I1498" t="s">
        <v>2777</v>
      </c>
      <c r="J1498" t="s">
        <v>2776</v>
      </c>
      <c r="K1498" t="s">
        <v>3795</v>
      </c>
      <c r="L1498" t="s">
        <v>19</v>
      </c>
      <c r="M1498" t="s">
        <v>20</v>
      </c>
      <c r="P1498">
        <v>50000</v>
      </c>
      <c r="Q1498">
        <v>50000</v>
      </c>
      <c r="R1498" t="s">
        <v>4011</v>
      </c>
      <c r="S1498" t="s">
        <v>1013</v>
      </c>
      <c r="T1498">
        <v>208.1</v>
      </c>
    </row>
    <row r="1499" spans="1:25" x14ac:dyDescent="0.25">
      <c r="A1499" t="s">
        <v>14</v>
      </c>
      <c r="B1499" t="s">
        <v>1010</v>
      </c>
      <c r="C1499" t="s">
        <v>4387</v>
      </c>
      <c r="D1499" t="s">
        <v>4388</v>
      </c>
      <c r="E1499">
        <v>47300070795</v>
      </c>
      <c r="F1499" t="s">
        <v>16</v>
      </c>
      <c r="G1499" t="s">
        <v>87</v>
      </c>
      <c r="H1499" t="s">
        <v>88</v>
      </c>
      <c r="K1499" t="s">
        <v>3795</v>
      </c>
      <c r="L1499" t="s">
        <v>19</v>
      </c>
      <c r="M1499" t="s">
        <v>20</v>
      </c>
      <c r="P1499">
        <v>50000</v>
      </c>
      <c r="Q1499">
        <v>50000</v>
      </c>
      <c r="R1499" t="s">
        <v>4012</v>
      </c>
      <c r="S1499" t="s">
        <v>1011</v>
      </c>
      <c r="T1499">
        <v>208.2</v>
      </c>
    </row>
    <row r="1500" spans="1:25" x14ac:dyDescent="0.25">
      <c r="A1500" t="s">
        <v>14</v>
      </c>
      <c r="B1500" t="s">
        <v>1008</v>
      </c>
      <c r="C1500" t="s">
        <v>4420</v>
      </c>
      <c r="D1500" t="s">
        <v>4394</v>
      </c>
      <c r="E1500">
        <v>47300070498</v>
      </c>
      <c r="F1500" t="s">
        <v>16</v>
      </c>
      <c r="G1500" t="s">
        <v>28</v>
      </c>
      <c r="H1500" t="s">
        <v>794</v>
      </c>
      <c r="I1500" t="s">
        <v>2853</v>
      </c>
      <c r="J1500" t="s">
        <v>2852</v>
      </c>
      <c r="K1500" t="s">
        <v>4266</v>
      </c>
      <c r="L1500" t="s">
        <v>19</v>
      </c>
      <c r="M1500" t="s">
        <v>63</v>
      </c>
      <c r="N1500" s="2">
        <v>45505</v>
      </c>
      <c r="O1500" s="2">
        <v>45535</v>
      </c>
      <c r="P1500">
        <v>65809.490000000005</v>
      </c>
      <c r="Q1500">
        <v>65809.490000000005</v>
      </c>
      <c r="R1500" t="s">
        <v>3069</v>
      </c>
      <c r="S1500" t="s">
        <v>1009</v>
      </c>
      <c r="T1500">
        <v>274</v>
      </c>
    </row>
    <row r="1501" spans="1:25" x14ac:dyDescent="0.25">
      <c r="A1501" t="s">
        <v>14</v>
      </c>
      <c r="B1501" t="s">
        <v>1008</v>
      </c>
      <c r="C1501" t="s">
        <v>4394</v>
      </c>
      <c r="D1501" t="s">
        <v>4421</v>
      </c>
      <c r="E1501">
        <v>47300070498</v>
      </c>
      <c r="F1501" t="s">
        <v>16</v>
      </c>
      <c r="G1501" t="s">
        <v>28</v>
      </c>
      <c r="H1501" t="s">
        <v>794</v>
      </c>
      <c r="I1501" t="s">
        <v>2853</v>
      </c>
      <c r="J1501" t="s">
        <v>2852</v>
      </c>
      <c r="K1501" t="s">
        <v>3294</v>
      </c>
      <c r="L1501" t="s">
        <v>19</v>
      </c>
      <c r="M1501" t="s">
        <v>46</v>
      </c>
      <c r="N1501" s="2">
        <v>45505</v>
      </c>
      <c r="O1501" s="2">
        <v>45535</v>
      </c>
      <c r="P1501">
        <v>500</v>
      </c>
      <c r="Q1501">
        <v>500</v>
      </c>
      <c r="R1501" t="s">
        <v>3069</v>
      </c>
      <c r="X1501" t="s">
        <v>4422</v>
      </c>
      <c r="Y1501" t="s">
        <v>4423</v>
      </c>
    </row>
    <row r="1502" spans="1:25" x14ac:dyDescent="0.25">
      <c r="A1502" t="s">
        <v>14</v>
      </c>
      <c r="B1502" t="s">
        <v>1008</v>
      </c>
      <c r="C1502" t="s">
        <v>4420</v>
      </c>
      <c r="D1502" t="s">
        <v>4394</v>
      </c>
      <c r="E1502">
        <v>47300070498</v>
      </c>
      <c r="F1502" t="s">
        <v>16</v>
      </c>
      <c r="G1502" t="s">
        <v>28</v>
      </c>
      <c r="H1502" t="s">
        <v>794</v>
      </c>
      <c r="I1502" t="s">
        <v>2853</v>
      </c>
      <c r="J1502" t="s">
        <v>2852</v>
      </c>
      <c r="K1502" t="s">
        <v>3197</v>
      </c>
      <c r="L1502" t="s">
        <v>19</v>
      </c>
      <c r="M1502" t="s">
        <v>46</v>
      </c>
      <c r="N1502" s="2">
        <v>45505</v>
      </c>
      <c r="O1502" s="2">
        <v>45535</v>
      </c>
      <c r="P1502">
        <v>145500</v>
      </c>
      <c r="Q1502">
        <v>145500</v>
      </c>
      <c r="R1502" t="s">
        <v>3069</v>
      </c>
    </row>
    <row r="1503" spans="1:25" x14ac:dyDescent="0.25">
      <c r="A1503" t="s">
        <v>14</v>
      </c>
      <c r="B1503" t="s">
        <v>1008</v>
      </c>
      <c r="C1503" t="s">
        <v>4408</v>
      </c>
      <c r="D1503" t="s">
        <v>4407</v>
      </c>
      <c r="E1503">
        <v>47300070498</v>
      </c>
      <c r="F1503" t="s">
        <v>16</v>
      </c>
      <c r="G1503" t="s">
        <v>28</v>
      </c>
      <c r="H1503" t="s">
        <v>794</v>
      </c>
      <c r="I1503" t="s">
        <v>2853</v>
      </c>
      <c r="J1503" t="s">
        <v>2852</v>
      </c>
      <c r="K1503" t="s">
        <v>2892</v>
      </c>
      <c r="L1503" t="s">
        <v>19</v>
      </c>
      <c r="M1503" t="s">
        <v>46</v>
      </c>
      <c r="N1503" s="2">
        <v>45505</v>
      </c>
      <c r="O1503" s="2">
        <v>45535</v>
      </c>
      <c r="P1503">
        <v>10000</v>
      </c>
      <c r="Q1503">
        <v>10000</v>
      </c>
      <c r="R1503" t="s">
        <v>3069</v>
      </c>
    </row>
    <row r="1504" spans="1:25" x14ac:dyDescent="0.25">
      <c r="A1504" t="s">
        <v>14</v>
      </c>
      <c r="B1504" t="s">
        <v>1006</v>
      </c>
      <c r="C1504" t="s">
        <v>4394</v>
      </c>
      <c r="D1504" t="s">
        <v>4421</v>
      </c>
      <c r="E1504">
        <v>47300070753</v>
      </c>
      <c r="F1504" t="s">
        <v>16</v>
      </c>
      <c r="G1504" t="s">
        <v>17</v>
      </c>
      <c r="H1504" t="s">
        <v>82</v>
      </c>
      <c r="K1504" t="s">
        <v>4266</v>
      </c>
      <c r="L1504" t="s">
        <v>19</v>
      </c>
      <c r="M1504" t="s">
        <v>63</v>
      </c>
      <c r="N1504" s="2">
        <v>45505</v>
      </c>
      <c r="O1504" s="2">
        <v>45535</v>
      </c>
      <c r="P1504">
        <v>50000</v>
      </c>
      <c r="Q1504">
        <v>50000</v>
      </c>
      <c r="R1504" t="s">
        <v>4300</v>
      </c>
      <c r="S1504" t="s">
        <v>1007</v>
      </c>
      <c r="T1504">
        <v>208.1</v>
      </c>
      <c r="X1504" t="s">
        <v>4422</v>
      </c>
      <c r="Y1504" t="s">
        <v>4423</v>
      </c>
    </row>
    <row r="1505" spans="1:25" x14ac:dyDescent="0.25">
      <c r="A1505" t="s">
        <v>14</v>
      </c>
      <c r="B1505" t="s">
        <v>1004</v>
      </c>
      <c r="C1505" t="s">
        <v>4420</v>
      </c>
      <c r="D1505" t="s">
        <v>4394</v>
      </c>
      <c r="E1505">
        <v>47300046191</v>
      </c>
      <c r="F1505" t="s">
        <v>16</v>
      </c>
      <c r="G1505" t="s">
        <v>28</v>
      </c>
      <c r="H1505" t="s">
        <v>119</v>
      </c>
      <c r="I1505" t="s">
        <v>2799</v>
      </c>
      <c r="J1505">
        <v>8033011626</v>
      </c>
      <c r="K1505" t="s">
        <v>4266</v>
      </c>
      <c r="L1505" t="s">
        <v>19</v>
      </c>
      <c r="M1505" t="s">
        <v>63</v>
      </c>
      <c r="N1505" s="2">
        <v>45505</v>
      </c>
      <c r="O1505" s="2">
        <v>45535</v>
      </c>
      <c r="P1505">
        <v>80000</v>
      </c>
      <c r="Q1505">
        <v>80000</v>
      </c>
      <c r="R1505" t="s">
        <v>3070</v>
      </c>
      <c r="S1505" t="s">
        <v>1005</v>
      </c>
      <c r="T1505">
        <v>333.1</v>
      </c>
    </row>
    <row r="1506" spans="1:25" x14ac:dyDescent="0.25">
      <c r="A1506" t="s">
        <v>14</v>
      </c>
      <c r="B1506" t="s">
        <v>1004</v>
      </c>
      <c r="C1506" t="s">
        <v>4394</v>
      </c>
      <c r="D1506" t="s">
        <v>4421</v>
      </c>
      <c r="E1506">
        <v>47300046191</v>
      </c>
      <c r="F1506" t="s">
        <v>16</v>
      </c>
      <c r="G1506" t="s">
        <v>28</v>
      </c>
      <c r="H1506" t="s">
        <v>119</v>
      </c>
      <c r="I1506" t="s">
        <v>2799</v>
      </c>
      <c r="J1506">
        <v>8033011626</v>
      </c>
      <c r="K1506" t="s">
        <v>3294</v>
      </c>
      <c r="L1506" t="s">
        <v>19</v>
      </c>
      <c r="M1506" t="s">
        <v>46</v>
      </c>
      <c r="N1506" s="2">
        <v>45505</v>
      </c>
      <c r="O1506" s="2">
        <v>45535</v>
      </c>
      <c r="P1506">
        <v>500</v>
      </c>
      <c r="Q1506">
        <v>500</v>
      </c>
      <c r="R1506" t="s">
        <v>3070</v>
      </c>
      <c r="X1506" t="s">
        <v>4422</v>
      </c>
      <c r="Y1506" t="s">
        <v>4423</v>
      </c>
    </row>
    <row r="1507" spans="1:25" x14ac:dyDescent="0.25">
      <c r="A1507" t="s">
        <v>14</v>
      </c>
      <c r="B1507" t="s">
        <v>1004</v>
      </c>
      <c r="C1507" t="s">
        <v>4420</v>
      </c>
      <c r="D1507" t="s">
        <v>4394</v>
      </c>
      <c r="E1507">
        <v>47300046191</v>
      </c>
      <c r="F1507" t="s">
        <v>16</v>
      </c>
      <c r="G1507" t="s">
        <v>28</v>
      </c>
      <c r="H1507" t="s">
        <v>119</v>
      </c>
      <c r="I1507" t="s">
        <v>2799</v>
      </c>
      <c r="J1507">
        <v>8033011626</v>
      </c>
      <c r="K1507" t="s">
        <v>3197</v>
      </c>
      <c r="L1507" t="s">
        <v>19</v>
      </c>
      <c r="M1507" t="s">
        <v>46</v>
      </c>
      <c r="N1507" s="2">
        <v>45505</v>
      </c>
      <c r="O1507" s="2">
        <v>45535</v>
      </c>
      <c r="P1507">
        <v>145500</v>
      </c>
      <c r="Q1507">
        <v>145500</v>
      </c>
      <c r="R1507" t="s">
        <v>3070</v>
      </c>
    </row>
    <row r="1508" spans="1:25" x14ac:dyDescent="0.25">
      <c r="A1508" t="s">
        <v>14</v>
      </c>
      <c r="B1508" t="s">
        <v>1004</v>
      </c>
      <c r="C1508" t="s">
        <v>4394</v>
      </c>
      <c r="D1508" t="s">
        <v>4421</v>
      </c>
      <c r="E1508">
        <v>47300046191</v>
      </c>
      <c r="F1508" t="s">
        <v>16</v>
      </c>
      <c r="G1508" t="s">
        <v>28</v>
      </c>
      <c r="H1508" t="s">
        <v>119</v>
      </c>
      <c r="I1508" t="s">
        <v>2799</v>
      </c>
      <c r="J1508">
        <v>8033011626</v>
      </c>
      <c r="K1508" t="s">
        <v>2892</v>
      </c>
      <c r="L1508" t="s">
        <v>19</v>
      </c>
      <c r="M1508" t="s">
        <v>46</v>
      </c>
      <c r="N1508" s="2">
        <v>45505</v>
      </c>
      <c r="O1508" s="2">
        <v>45535</v>
      </c>
      <c r="P1508">
        <v>10000</v>
      </c>
      <c r="Q1508">
        <v>10000</v>
      </c>
      <c r="R1508" t="s">
        <v>3070</v>
      </c>
      <c r="X1508" t="s">
        <v>4422</v>
      </c>
      <c r="Y1508" t="s">
        <v>4423</v>
      </c>
    </row>
    <row r="1509" spans="1:25" x14ac:dyDescent="0.25">
      <c r="A1509" t="s">
        <v>14</v>
      </c>
      <c r="B1509" t="s">
        <v>1003</v>
      </c>
      <c r="C1509" t="s">
        <v>4364</v>
      </c>
      <c r="D1509" t="s">
        <v>4358</v>
      </c>
      <c r="E1509">
        <v>47300070571</v>
      </c>
      <c r="F1509" t="s">
        <v>42</v>
      </c>
      <c r="G1509" t="s">
        <v>28</v>
      </c>
      <c r="H1509" t="s">
        <v>72</v>
      </c>
      <c r="K1509" t="s">
        <v>2816</v>
      </c>
      <c r="L1509" t="s">
        <v>47</v>
      </c>
      <c r="N1509" s="2">
        <v>45530</v>
      </c>
      <c r="O1509" s="2">
        <v>45530</v>
      </c>
      <c r="P1509">
        <v>356332.21</v>
      </c>
      <c r="Q1509">
        <v>356332.21</v>
      </c>
      <c r="R1509" t="s">
        <v>2821</v>
      </c>
    </row>
    <row r="1510" spans="1:25" x14ac:dyDescent="0.25">
      <c r="A1510" t="s">
        <v>14</v>
      </c>
      <c r="B1510" t="s">
        <v>1001</v>
      </c>
      <c r="C1510" t="s">
        <v>4364</v>
      </c>
      <c r="D1510" t="s">
        <v>4358</v>
      </c>
      <c r="E1510">
        <v>47300025708</v>
      </c>
      <c r="F1510" t="s">
        <v>35</v>
      </c>
      <c r="G1510" t="s">
        <v>36</v>
      </c>
      <c r="H1510" t="s">
        <v>4360</v>
      </c>
      <c r="K1510" t="s">
        <v>3795</v>
      </c>
      <c r="L1510" t="s">
        <v>19</v>
      </c>
      <c r="M1510" t="s">
        <v>20</v>
      </c>
      <c r="P1510">
        <v>50000</v>
      </c>
      <c r="Q1510">
        <v>50000</v>
      </c>
      <c r="R1510" t="s">
        <v>4013</v>
      </c>
      <c r="S1510" t="s">
        <v>1002</v>
      </c>
      <c r="T1510">
        <v>208.2</v>
      </c>
    </row>
    <row r="1511" spans="1:25" x14ac:dyDescent="0.25">
      <c r="A1511" t="s">
        <v>14</v>
      </c>
      <c r="B1511" t="s">
        <v>999</v>
      </c>
      <c r="C1511" t="s">
        <v>4364</v>
      </c>
      <c r="D1511" t="s">
        <v>4358</v>
      </c>
      <c r="E1511">
        <v>47300046720</v>
      </c>
      <c r="F1511" t="s">
        <v>16</v>
      </c>
      <c r="G1511" t="s">
        <v>28</v>
      </c>
      <c r="H1511" t="s">
        <v>143</v>
      </c>
      <c r="K1511" t="s">
        <v>3795</v>
      </c>
      <c r="L1511" t="s">
        <v>19</v>
      </c>
      <c r="M1511" t="s">
        <v>20</v>
      </c>
      <c r="P1511">
        <v>50000</v>
      </c>
      <c r="Q1511">
        <v>50000</v>
      </c>
      <c r="R1511" t="s">
        <v>4014</v>
      </c>
      <c r="S1511" t="s">
        <v>1000</v>
      </c>
      <c r="T1511">
        <v>208.2</v>
      </c>
    </row>
    <row r="1512" spans="1:25" x14ac:dyDescent="0.25">
      <c r="A1512" t="s">
        <v>14</v>
      </c>
      <c r="B1512" t="s">
        <v>998</v>
      </c>
      <c r="C1512" t="s">
        <v>4376</v>
      </c>
      <c r="D1512" t="s">
        <v>4377</v>
      </c>
      <c r="E1512">
        <v>47300046316</v>
      </c>
      <c r="F1512" t="s">
        <v>42</v>
      </c>
      <c r="G1512" t="s">
        <v>28</v>
      </c>
      <c r="H1512" t="s">
        <v>69</v>
      </c>
      <c r="K1512" t="s">
        <v>2848</v>
      </c>
      <c r="L1512" t="s">
        <v>47</v>
      </c>
      <c r="N1512" s="2">
        <v>45530</v>
      </c>
      <c r="O1512" s="2">
        <v>45530</v>
      </c>
      <c r="P1512">
        <v>145500</v>
      </c>
      <c r="Q1512">
        <v>145500</v>
      </c>
      <c r="R1512" t="s">
        <v>2849</v>
      </c>
    </row>
    <row r="1513" spans="1:25" x14ac:dyDescent="0.25">
      <c r="A1513" t="s">
        <v>14</v>
      </c>
      <c r="B1513" t="s">
        <v>996</v>
      </c>
      <c r="C1513" t="s">
        <v>4371</v>
      </c>
      <c r="D1513" t="s">
        <v>4368</v>
      </c>
      <c r="E1513">
        <v>47300070704</v>
      </c>
      <c r="F1513" t="s">
        <v>16</v>
      </c>
      <c r="G1513" t="s">
        <v>28</v>
      </c>
      <c r="H1513" t="s">
        <v>146</v>
      </c>
      <c r="K1513" t="s">
        <v>3795</v>
      </c>
      <c r="L1513" t="s">
        <v>19</v>
      </c>
      <c r="M1513" t="s">
        <v>20</v>
      </c>
      <c r="P1513">
        <v>250000</v>
      </c>
      <c r="Q1513">
        <v>250000</v>
      </c>
      <c r="R1513" t="s">
        <v>4015</v>
      </c>
      <c r="S1513" t="s">
        <v>997</v>
      </c>
      <c r="T1513">
        <v>1040.8</v>
      </c>
    </row>
    <row r="1514" spans="1:25" x14ac:dyDescent="0.25">
      <c r="A1514" t="s">
        <v>14</v>
      </c>
      <c r="B1514" t="s">
        <v>994</v>
      </c>
      <c r="C1514" t="s">
        <v>4398</v>
      </c>
      <c r="D1514" t="s">
        <v>4377</v>
      </c>
      <c r="E1514">
        <v>47300070704</v>
      </c>
      <c r="F1514" t="s">
        <v>16</v>
      </c>
      <c r="G1514" t="s">
        <v>28</v>
      </c>
      <c r="H1514" t="s">
        <v>146</v>
      </c>
      <c r="K1514" t="s">
        <v>3795</v>
      </c>
      <c r="L1514" t="s">
        <v>19</v>
      </c>
      <c r="M1514" t="s">
        <v>20</v>
      </c>
      <c r="P1514">
        <v>250000</v>
      </c>
      <c r="Q1514">
        <v>250000</v>
      </c>
      <c r="R1514" t="s">
        <v>4016</v>
      </c>
      <c r="S1514" t="s">
        <v>995</v>
      </c>
      <c r="T1514">
        <v>1040.7</v>
      </c>
    </row>
    <row r="1515" spans="1:25" x14ac:dyDescent="0.25">
      <c r="A1515" t="s">
        <v>14</v>
      </c>
      <c r="B1515" t="s">
        <v>992</v>
      </c>
      <c r="C1515" t="s">
        <v>4389</v>
      </c>
      <c r="D1515" t="s">
        <v>4390</v>
      </c>
      <c r="E1515">
        <v>47300070704</v>
      </c>
      <c r="F1515" t="s">
        <v>16</v>
      </c>
      <c r="G1515" t="s">
        <v>28</v>
      </c>
      <c r="H1515" t="s">
        <v>146</v>
      </c>
      <c r="K1515" t="s">
        <v>3795</v>
      </c>
      <c r="L1515" t="s">
        <v>19</v>
      </c>
      <c r="M1515" t="s">
        <v>20</v>
      </c>
      <c r="P1515">
        <v>250000</v>
      </c>
      <c r="Q1515">
        <v>250000</v>
      </c>
      <c r="R1515" t="s">
        <v>4017</v>
      </c>
      <c r="S1515" t="s">
        <v>993</v>
      </c>
      <c r="T1515">
        <v>1040.8</v>
      </c>
    </row>
    <row r="1516" spans="1:25" x14ac:dyDescent="0.25">
      <c r="A1516" t="s">
        <v>14</v>
      </c>
      <c r="B1516" t="s">
        <v>990</v>
      </c>
      <c r="C1516" t="s">
        <v>4392</v>
      </c>
      <c r="D1516" t="s">
        <v>4393</v>
      </c>
      <c r="E1516">
        <v>47300012151</v>
      </c>
      <c r="F1516" t="s">
        <v>35</v>
      </c>
      <c r="G1516" t="s">
        <v>36</v>
      </c>
      <c r="H1516" t="s">
        <v>4362</v>
      </c>
      <c r="K1516" t="s">
        <v>3795</v>
      </c>
      <c r="L1516" t="s">
        <v>19</v>
      </c>
      <c r="M1516" t="s">
        <v>20</v>
      </c>
      <c r="P1516">
        <v>50000</v>
      </c>
      <c r="Q1516">
        <v>50000</v>
      </c>
      <c r="R1516" t="s">
        <v>4018</v>
      </c>
      <c r="S1516" t="s">
        <v>991</v>
      </c>
      <c r="T1516">
        <v>208.1</v>
      </c>
    </row>
    <row r="1517" spans="1:25" x14ac:dyDescent="0.25">
      <c r="A1517" t="s">
        <v>14</v>
      </c>
      <c r="B1517" t="s">
        <v>988</v>
      </c>
      <c r="C1517" t="s">
        <v>4405</v>
      </c>
      <c r="D1517" t="s">
        <v>4390</v>
      </c>
      <c r="E1517">
        <v>47300070605</v>
      </c>
      <c r="F1517" t="s">
        <v>16</v>
      </c>
      <c r="G1517" t="s">
        <v>28</v>
      </c>
      <c r="H1517" t="s">
        <v>178</v>
      </c>
      <c r="K1517" t="s">
        <v>4266</v>
      </c>
      <c r="L1517" t="s">
        <v>19</v>
      </c>
      <c r="M1517" t="s">
        <v>63</v>
      </c>
      <c r="N1517" s="2">
        <v>45505</v>
      </c>
      <c r="O1517" s="2">
        <v>45535</v>
      </c>
      <c r="P1517">
        <v>40000</v>
      </c>
      <c r="Q1517">
        <v>40000</v>
      </c>
      <c r="R1517" t="s">
        <v>3071</v>
      </c>
      <c r="S1517" t="s">
        <v>989</v>
      </c>
      <c r="T1517">
        <v>166.5</v>
      </c>
    </row>
    <row r="1518" spans="1:25" x14ac:dyDescent="0.25">
      <c r="A1518" t="s">
        <v>14</v>
      </c>
      <c r="B1518" t="s">
        <v>988</v>
      </c>
      <c r="C1518" t="s">
        <v>4392</v>
      </c>
      <c r="D1518" t="s">
        <v>4393</v>
      </c>
      <c r="E1518">
        <v>47300070605</v>
      </c>
      <c r="F1518" t="s">
        <v>16</v>
      </c>
      <c r="G1518" t="s">
        <v>28</v>
      </c>
      <c r="H1518" t="s">
        <v>178</v>
      </c>
      <c r="K1518" t="s">
        <v>3294</v>
      </c>
      <c r="L1518" t="s">
        <v>19</v>
      </c>
      <c r="M1518" t="s">
        <v>46</v>
      </c>
      <c r="N1518" s="2">
        <v>45505</v>
      </c>
      <c r="O1518" s="2">
        <v>45535</v>
      </c>
      <c r="P1518">
        <v>500</v>
      </c>
      <c r="Q1518">
        <v>500</v>
      </c>
      <c r="R1518" t="s">
        <v>3071</v>
      </c>
    </row>
    <row r="1519" spans="1:25" x14ac:dyDescent="0.25">
      <c r="A1519" t="s">
        <v>14</v>
      </c>
      <c r="B1519" t="s">
        <v>988</v>
      </c>
      <c r="C1519" t="s">
        <v>4419</v>
      </c>
      <c r="D1519" t="s">
        <v>4368</v>
      </c>
      <c r="E1519">
        <v>47300070605</v>
      </c>
      <c r="F1519" t="s">
        <v>16</v>
      </c>
      <c r="G1519" t="s">
        <v>28</v>
      </c>
      <c r="H1519" t="s">
        <v>178</v>
      </c>
      <c r="K1519" t="s">
        <v>3197</v>
      </c>
      <c r="L1519" t="s">
        <v>19</v>
      </c>
      <c r="M1519" t="s">
        <v>46</v>
      </c>
      <c r="N1519" s="2">
        <v>45505</v>
      </c>
      <c r="O1519" s="2">
        <v>45535</v>
      </c>
      <c r="P1519">
        <v>145500</v>
      </c>
      <c r="Q1519">
        <v>145500</v>
      </c>
      <c r="R1519" t="s">
        <v>3071</v>
      </c>
    </row>
    <row r="1520" spans="1:25" x14ac:dyDescent="0.25">
      <c r="A1520" t="s">
        <v>14</v>
      </c>
      <c r="B1520" t="s">
        <v>988</v>
      </c>
      <c r="C1520" t="s">
        <v>4371</v>
      </c>
      <c r="D1520" t="s">
        <v>4368</v>
      </c>
      <c r="E1520">
        <v>47300070605</v>
      </c>
      <c r="F1520" t="s">
        <v>16</v>
      </c>
      <c r="G1520" t="s">
        <v>28</v>
      </c>
      <c r="H1520" t="s">
        <v>178</v>
      </c>
      <c r="K1520" t="s">
        <v>2892</v>
      </c>
      <c r="L1520" t="s">
        <v>19</v>
      </c>
      <c r="M1520" t="s">
        <v>46</v>
      </c>
      <c r="N1520" s="2">
        <v>45505</v>
      </c>
      <c r="O1520" s="2">
        <v>45535</v>
      </c>
      <c r="P1520">
        <v>10000</v>
      </c>
      <c r="Q1520">
        <v>10000</v>
      </c>
      <c r="R1520" t="s">
        <v>3071</v>
      </c>
    </row>
    <row r="1521" spans="1:20" x14ac:dyDescent="0.25">
      <c r="A1521" t="s">
        <v>14</v>
      </c>
      <c r="B1521" t="s">
        <v>986</v>
      </c>
      <c r="C1521" t="s">
        <v>4409</v>
      </c>
      <c r="D1521" t="s">
        <v>4410</v>
      </c>
      <c r="E1521">
        <v>47300026094</v>
      </c>
      <c r="F1521" t="s">
        <v>35</v>
      </c>
      <c r="G1521" t="s">
        <v>36</v>
      </c>
      <c r="H1521" t="s">
        <v>4359</v>
      </c>
      <c r="K1521" t="s">
        <v>3795</v>
      </c>
      <c r="L1521" t="s">
        <v>19</v>
      </c>
      <c r="M1521" t="s">
        <v>20</v>
      </c>
      <c r="P1521">
        <v>100000</v>
      </c>
      <c r="Q1521">
        <v>100000</v>
      </c>
      <c r="R1521" t="s">
        <v>4019</v>
      </c>
      <c r="S1521" t="s">
        <v>987</v>
      </c>
      <c r="T1521">
        <v>416.3</v>
      </c>
    </row>
    <row r="1522" spans="1:20" x14ac:dyDescent="0.25">
      <c r="A1522" t="s">
        <v>14</v>
      </c>
      <c r="B1522" t="s">
        <v>984</v>
      </c>
      <c r="C1522" t="s">
        <v>2927</v>
      </c>
      <c r="D1522" t="s">
        <v>4375</v>
      </c>
      <c r="E1522">
        <v>47300025690</v>
      </c>
      <c r="F1522" t="s">
        <v>35</v>
      </c>
      <c r="G1522" t="s">
        <v>36</v>
      </c>
      <c r="H1522" t="s">
        <v>37</v>
      </c>
      <c r="K1522" t="s">
        <v>3795</v>
      </c>
      <c r="L1522" t="s">
        <v>19</v>
      </c>
      <c r="M1522" t="s">
        <v>20</v>
      </c>
      <c r="P1522">
        <v>50000</v>
      </c>
      <c r="Q1522">
        <v>50000</v>
      </c>
      <c r="R1522" t="s">
        <v>4020</v>
      </c>
      <c r="S1522" t="s">
        <v>985</v>
      </c>
      <c r="T1522">
        <v>208.1</v>
      </c>
    </row>
    <row r="1523" spans="1:20" x14ac:dyDescent="0.25">
      <c r="A1523" t="s">
        <v>14</v>
      </c>
      <c r="B1523" t="s">
        <v>982</v>
      </c>
      <c r="C1523" t="s">
        <v>4386</v>
      </c>
      <c r="D1523" t="s">
        <v>4368</v>
      </c>
      <c r="E1523">
        <v>47300070837</v>
      </c>
      <c r="F1523" t="s">
        <v>16</v>
      </c>
      <c r="G1523" t="s">
        <v>23</v>
      </c>
      <c r="H1523" t="s">
        <v>165</v>
      </c>
      <c r="K1523" t="s">
        <v>3795</v>
      </c>
      <c r="L1523" t="s">
        <v>19</v>
      </c>
      <c r="M1523" t="s">
        <v>20</v>
      </c>
      <c r="P1523">
        <v>100000</v>
      </c>
      <c r="Q1523">
        <v>100000</v>
      </c>
      <c r="R1523" t="s">
        <v>4021</v>
      </c>
      <c r="S1523" t="s">
        <v>983</v>
      </c>
      <c r="T1523">
        <v>416.3</v>
      </c>
    </row>
    <row r="1524" spans="1:20" x14ac:dyDescent="0.25">
      <c r="A1524" t="s">
        <v>14</v>
      </c>
      <c r="B1524" t="s">
        <v>980</v>
      </c>
      <c r="C1524" t="s">
        <v>4367</v>
      </c>
      <c r="D1524" t="s">
        <v>4368</v>
      </c>
      <c r="E1524">
        <v>47300026185</v>
      </c>
      <c r="F1524" t="s">
        <v>35</v>
      </c>
      <c r="G1524" t="s">
        <v>36</v>
      </c>
      <c r="H1524" t="s">
        <v>4361</v>
      </c>
      <c r="K1524" t="s">
        <v>3795</v>
      </c>
      <c r="L1524" t="s">
        <v>19</v>
      </c>
      <c r="M1524" t="s">
        <v>20</v>
      </c>
      <c r="P1524">
        <v>50000</v>
      </c>
      <c r="Q1524">
        <v>50000</v>
      </c>
      <c r="R1524" t="s">
        <v>4022</v>
      </c>
      <c r="S1524" t="s">
        <v>981</v>
      </c>
      <c r="T1524">
        <v>208.1</v>
      </c>
    </row>
    <row r="1525" spans="1:20" x14ac:dyDescent="0.25">
      <c r="A1525" t="s">
        <v>14</v>
      </c>
      <c r="B1525" t="s">
        <v>978</v>
      </c>
      <c r="C1525" t="s">
        <v>4405</v>
      </c>
      <c r="D1525" t="s">
        <v>4390</v>
      </c>
      <c r="E1525">
        <v>47300025708</v>
      </c>
      <c r="F1525" t="s">
        <v>35</v>
      </c>
      <c r="G1525" t="s">
        <v>36</v>
      </c>
      <c r="H1525" t="s">
        <v>4360</v>
      </c>
      <c r="K1525" t="s">
        <v>3795</v>
      </c>
      <c r="L1525" t="s">
        <v>19</v>
      </c>
      <c r="M1525" t="s">
        <v>20</v>
      </c>
      <c r="P1525">
        <v>100000</v>
      </c>
      <c r="Q1525">
        <v>100000</v>
      </c>
      <c r="R1525" t="s">
        <v>4023</v>
      </c>
      <c r="S1525" t="s">
        <v>979</v>
      </c>
      <c r="T1525">
        <v>416.3</v>
      </c>
    </row>
    <row r="1526" spans="1:20" x14ac:dyDescent="0.25">
      <c r="A1526" t="s">
        <v>14</v>
      </c>
      <c r="B1526" t="s">
        <v>976</v>
      </c>
      <c r="C1526" t="s">
        <v>4418</v>
      </c>
      <c r="D1526" t="s">
        <v>4368</v>
      </c>
      <c r="E1526">
        <v>47300020147</v>
      </c>
      <c r="F1526" t="s">
        <v>35</v>
      </c>
      <c r="G1526" t="s">
        <v>36</v>
      </c>
      <c r="H1526" t="s">
        <v>4363</v>
      </c>
      <c r="K1526" t="s">
        <v>3795</v>
      </c>
      <c r="L1526" t="s">
        <v>19</v>
      </c>
      <c r="M1526" t="s">
        <v>20</v>
      </c>
      <c r="P1526">
        <v>50000</v>
      </c>
      <c r="Q1526">
        <v>50000</v>
      </c>
      <c r="R1526" t="s">
        <v>4024</v>
      </c>
      <c r="S1526" t="s">
        <v>977</v>
      </c>
      <c r="T1526">
        <v>208.2</v>
      </c>
    </row>
    <row r="1527" spans="1:20" x14ac:dyDescent="0.25">
      <c r="A1527" t="s">
        <v>14</v>
      </c>
      <c r="B1527" t="s">
        <v>975</v>
      </c>
      <c r="C1527" t="s">
        <v>4392</v>
      </c>
      <c r="D1527" t="s">
        <v>4393</v>
      </c>
      <c r="E1527">
        <v>47300070688</v>
      </c>
      <c r="F1527" t="s">
        <v>16</v>
      </c>
      <c r="G1527" t="s">
        <v>17</v>
      </c>
      <c r="H1527" t="s">
        <v>149</v>
      </c>
      <c r="K1527" t="s">
        <v>3193</v>
      </c>
      <c r="L1527" t="s">
        <v>47</v>
      </c>
      <c r="N1527" s="2">
        <v>45529</v>
      </c>
      <c r="O1527" s="2">
        <v>45474</v>
      </c>
      <c r="P1527">
        <v>145500</v>
      </c>
      <c r="Q1527">
        <v>145500</v>
      </c>
      <c r="R1527" t="s">
        <v>2830</v>
      </c>
    </row>
    <row r="1528" spans="1:20" x14ac:dyDescent="0.25">
      <c r="A1528" t="s">
        <v>14</v>
      </c>
      <c r="B1528" t="s">
        <v>975</v>
      </c>
      <c r="C1528" t="s">
        <v>4405</v>
      </c>
      <c r="D1528" t="s">
        <v>4390</v>
      </c>
      <c r="E1528">
        <v>47300070688</v>
      </c>
      <c r="F1528" t="s">
        <v>16</v>
      </c>
      <c r="G1528" t="s">
        <v>17</v>
      </c>
      <c r="H1528" t="s">
        <v>149</v>
      </c>
      <c r="K1528" t="s">
        <v>2887</v>
      </c>
      <c r="L1528" t="s">
        <v>47</v>
      </c>
      <c r="N1528" s="2">
        <v>45529</v>
      </c>
      <c r="O1528" s="2">
        <v>45474</v>
      </c>
      <c r="P1528">
        <v>10000</v>
      </c>
      <c r="Q1528">
        <v>10000</v>
      </c>
      <c r="R1528" t="s">
        <v>2830</v>
      </c>
    </row>
    <row r="1529" spans="1:20" x14ac:dyDescent="0.25">
      <c r="A1529" t="s">
        <v>14</v>
      </c>
      <c r="B1529" t="s">
        <v>975</v>
      </c>
      <c r="C1529" t="s">
        <v>4392</v>
      </c>
      <c r="D1529" t="s">
        <v>4393</v>
      </c>
      <c r="E1529">
        <v>47300070688</v>
      </c>
      <c r="F1529" t="s">
        <v>16</v>
      </c>
      <c r="G1529" t="s">
        <v>17</v>
      </c>
      <c r="H1529" t="s">
        <v>149</v>
      </c>
      <c r="K1529" t="s">
        <v>2827</v>
      </c>
      <c r="L1529" t="s">
        <v>47</v>
      </c>
      <c r="N1529" s="2">
        <v>45505</v>
      </c>
      <c r="O1529" s="2">
        <v>45505</v>
      </c>
      <c r="P1529">
        <v>145500</v>
      </c>
      <c r="Q1529">
        <v>145500</v>
      </c>
      <c r="R1529" t="s">
        <v>2830</v>
      </c>
    </row>
    <row r="1530" spans="1:20" x14ac:dyDescent="0.25">
      <c r="A1530" t="s">
        <v>14</v>
      </c>
      <c r="B1530" t="s">
        <v>973</v>
      </c>
      <c r="C1530" t="s">
        <v>4392</v>
      </c>
      <c r="D1530" t="s">
        <v>4393</v>
      </c>
      <c r="E1530">
        <v>47300070688</v>
      </c>
      <c r="F1530" t="s">
        <v>16</v>
      </c>
      <c r="G1530" t="s">
        <v>17</v>
      </c>
      <c r="H1530" t="s">
        <v>149</v>
      </c>
      <c r="K1530" t="s">
        <v>4266</v>
      </c>
      <c r="L1530" t="s">
        <v>19</v>
      </c>
      <c r="M1530" t="s">
        <v>63</v>
      </c>
      <c r="N1530" s="2">
        <v>45505</v>
      </c>
      <c r="O1530" s="2">
        <v>45535</v>
      </c>
      <c r="P1530">
        <v>100000</v>
      </c>
      <c r="Q1530">
        <v>100000</v>
      </c>
      <c r="R1530" t="s">
        <v>3072</v>
      </c>
      <c r="S1530" t="s">
        <v>974</v>
      </c>
      <c r="T1530">
        <v>416.3</v>
      </c>
    </row>
    <row r="1531" spans="1:20" x14ac:dyDescent="0.25">
      <c r="A1531" t="s">
        <v>14</v>
      </c>
      <c r="B1531" t="s">
        <v>973</v>
      </c>
      <c r="C1531" t="s">
        <v>4392</v>
      </c>
      <c r="D1531" t="s">
        <v>4393</v>
      </c>
      <c r="E1531">
        <v>47300070688</v>
      </c>
      <c r="F1531" t="s">
        <v>16</v>
      </c>
      <c r="G1531" t="s">
        <v>17</v>
      </c>
      <c r="H1531" t="s">
        <v>149</v>
      </c>
      <c r="K1531" t="s">
        <v>3294</v>
      </c>
      <c r="L1531" t="s">
        <v>19</v>
      </c>
      <c r="M1531" t="s">
        <v>46</v>
      </c>
      <c r="N1531" s="2">
        <v>45505</v>
      </c>
      <c r="O1531" s="2">
        <v>45535</v>
      </c>
      <c r="P1531">
        <v>500</v>
      </c>
      <c r="Q1531">
        <v>500</v>
      </c>
      <c r="R1531" t="s">
        <v>3072</v>
      </c>
    </row>
    <row r="1532" spans="1:20" x14ac:dyDescent="0.25">
      <c r="A1532" t="s">
        <v>14</v>
      </c>
      <c r="B1532" t="s">
        <v>973</v>
      </c>
      <c r="C1532" t="s">
        <v>4405</v>
      </c>
      <c r="D1532" t="s">
        <v>4390</v>
      </c>
      <c r="E1532">
        <v>47300070688</v>
      </c>
      <c r="F1532" t="s">
        <v>16</v>
      </c>
      <c r="G1532" t="s">
        <v>17</v>
      </c>
      <c r="H1532" t="s">
        <v>149</v>
      </c>
      <c r="K1532" t="s">
        <v>3197</v>
      </c>
      <c r="L1532" t="s">
        <v>19</v>
      </c>
      <c r="M1532" t="s">
        <v>46</v>
      </c>
      <c r="N1532" s="2">
        <v>45505</v>
      </c>
      <c r="O1532" s="2">
        <v>45535</v>
      </c>
      <c r="P1532">
        <v>145500</v>
      </c>
      <c r="Q1532">
        <v>145500</v>
      </c>
      <c r="R1532" t="s">
        <v>3072</v>
      </c>
    </row>
    <row r="1533" spans="1:20" x14ac:dyDescent="0.25">
      <c r="A1533" t="s">
        <v>14</v>
      </c>
      <c r="B1533" t="s">
        <v>973</v>
      </c>
      <c r="C1533" t="s">
        <v>4392</v>
      </c>
      <c r="D1533" t="s">
        <v>4393</v>
      </c>
      <c r="E1533">
        <v>47300070688</v>
      </c>
      <c r="F1533" t="s">
        <v>16</v>
      </c>
      <c r="G1533" t="s">
        <v>17</v>
      </c>
      <c r="H1533" t="s">
        <v>149</v>
      </c>
      <c r="K1533" t="s">
        <v>2892</v>
      </c>
      <c r="L1533" t="s">
        <v>19</v>
      </c>
      <c r="M1533" t="s">
        <v>46</v>
      </c>
      <c r="N1533" s="2">
        <v>45505</v>
      </c>
      <c r="O1533" s="2">
        <v>45535</v>
      </c>
      <c r="P1533">
        <v>10000</v>
      </c>
      <c r="Q1533">
        <v>10000</v>
      </c>
      <c r="R1533" t="s">
        <v>3072</v>
      </c>
    </row>
    <row r="1534" spans="1:20" x14ac:dyDescent="0.25">
      <c r="A1534" t="s">
        <v>14</v>
      </c>
      <c r="B1534" t="s">
        <v>971</v>
      </c>
      <c r="C1534" t="s">
        <v>4382</v>
      </c>
      <c r="D1534" t="s">
        <v>4383</v>
      </c>
      <c r="E1534">
        <v>47300046779</v>
      </c>
      <c r="F1534" t="s">
        <v>42</v>
      </c>
      <c r="G1534" t="s">
        <v>28</v>
      </c>
      <c r="H1534" t="s">
        <v>199</v>
      </c>
      <c r="K1534" t="s">
        <v>3795</v>
      </c>
      <c r="L1534" t="s">
        <v>19</v>
      </c>
      <c r="M1534" t="s">
        <v>20</v>
      </c>
      <c r="P1534">
        <v>50000</v>
      </c>
      <c r="Q1534">
        <v>50000</v>
      </c>
      <c r="R1534" t="s">
        <v>4025</v>
      </c>
      <c r="S1534" t="s">
        <v>972</v>
      </c>
      <c r="T1534">
        <v>208.2</v>
      </c>
    </row>
    <row r="1535" spans="1:20" x14ac:dyDescent="0.25">
      <c r="A1535" t="s">
        <v>14</v>
      </c>
      <c r="B1535" t="s">
        <v>969</v>
      </c>
      <c r="C1535" t="s">
        <v>4398</v>
      </c>
      <c r="D1535" t="s">
        <v>4399</v>
      </c>
      <c r="E1535">
        <v>47300047066</v>
      </c>
      <c r="F1535" t="s">
        <v>16</v>
      </c>
      <c r="G1535" t="s">
        <v>28</v>
      </c>
      <c r="H1535" t="s">
        <v>57</v>
      </c>
      <c r="K1535" t="s">
        <v>3795</v>
      </c>
      <c r="L1535" t="s">
        <v>19</v>
      </c>
      <c r="M1535" t="s">
        <v>20</v>
      </c>
      <c r="P1535">
        <v>70000</v>
      </c>
      <c r="Q1535">
        <v>70000</v>
      </c>
      <c r="R1535" t="s">
        <v>4026</v>
      </c>
      <c r="S1535" t="s">
        <v>970</v>
      </c>
      <c r="T1535">
        <v>291.39999999999998</v>
      </c>
    </row>
    <row r="1536" spans="1:20" x14ac:dyDescent="0.25">
      <c r="A1536" t="s">
        <v>14</v>
      </c>
      <c r="B1536" t="s">
        <v>968</v>
      </c>
      <c r="C1536" t="s">
        <v>4380</v>
      </c>
      <c r="D1536" t="s">
        <v>4381</v>
      </c>
      <c r="E1536">
        <v>47300046605</v>
      </c>
      <c r="F1536" t="s">
        <v>16</v>
      </c>
      <c r="G1536" t="s">
        <v>17</v>
      </c>
      <c r="H1536" t="s">
        <v>49</v>
      </c>
      <c r="K1536" t="s">
        <v>2760</v>
      </c>
      <c r="L1536" t="s">
        <v>47</v>
      </c>
      <c r="N1536" s="2">
        <v>45534</v>
      </c>
      <c r="O1536" s="2">
        <v>45532</v>
      </c>
      <c r="P1536">
        <v>237681.39</v>
      </c>
      <c r="Q1536">
        <v>237681.39</v>
      </c>
      <c r="R1536" t="s">
        <v>2759</v>
      </c>
    </row>
    <row r="1537" spans="1:20" x14ac:dyDescent="0.25">
      <c r="A1537" t="s">
        <v>14</v>
      </c>
      <c r="B1537" t="s">
        <v>967</v>
      </c>
      <c r="C1537" t="s">
        <v>4376</v>
      </c>
      <c r="D1537" t="s">
        <v>4407</v>
      </c>
      <c r="E1537">
        <v>47300070704</v>
      </c>
      <c r="F1537" t="s">
        <v>16</v>
      </c>
      <c r="G1537" t="s">
        <v>28</v>
      </c>
      <c r="H1537" t="s">
        <v>146</v>
      </c>
      <c r="K1537" t="s">
        <v>2760</v>
      </c>
      <c r="L1537" t="s">
        <v>47</v>
      </c>
      <c r="N1537" s="2">
        <v>45534</v>
      </c>
      <c r="O1537" s="2">
        <v>45532</v>
      </c>
      <c r="P1537">
        <v>237681.39</v>
      </c>
      <c r="Q1537">
        <v>237681.39</v>
      </c>
      <c r="R1537" t="s">
        <v>2761</v>
      </c>
    </row>
    <row r="1538" spans="1:20" x14ac:dyDescent="0.25">
      <c r="A1538" t="s">
        <v>14</v>
      </c>
      <c r="B1538" t="s">
        <v>965</v>
      </c>
      <c r="C1538" t="s">
        <v>4376</v>
      </c>
      <c r="D1538" t="s">
        <v>4407</v>
      </c>
      <c r="E1538">
        <v>47300070753</v>
      </c>
      <c r="F1538" t="s">
        <v>16</v>
      </c>
      <c r="G1538" t="s">
        <v>17</v>
      </c>
      <c r="H1538" t="s">
        <v>82</v>
      </c>
      <c r="K1538" t="s">
        <v>3795</v>
      </c>
      <c r="L1538" t="s">
        <v>19</v>
      </c>
      <c r="M1538" t="s">
        <v>20</v>
      </c>
      <c r="P1538">
        <v>50000</v>
      </c>
      <c r="Q1538">
        <v>50000</v>
      </c>
      <c r="R1538" t="s">
        <v>4027</v>
      </c>
      <c r="S1538" t="s">
        <v>966</v>
      </c>
      <c r="T1538">
        <v>208.2</v>
      </c>
    </row>
    <row r="1539" spans="1:20" x14ac:dyDescent="0.25">
      <c r="A1539" t="s">
        <v>14</v>
      </c>
      <c r="B1539" t="s">
        <v>964</v>
      </c>
      <c r="C1539" t="s">
        <v>4408</v>
      </c>
      <c r="D1539" t="s">
        <v>4407</v>
      </c>
      <c r="E1539">
        <v>47300046720</v>
      </c>
      <c r="F1539" t="s">
        <v>16</v>
      </c>
      <c r="G1539" t="s">
        <v>28</v>
      </c>
      <c r="H1539" t="s">
        <v>143</v>
      </c>
      <c r="K1539" t="s">
        <v>2760</v>
      </c>
      <c r="L1539" t="s">
        <v>47</v>
      </c>
      <c r="N1539" s="2">
        <v>45534</v>
      </c>
      <c r="O1539" s="2">
        <v>45532</v>
      </c>
      <c r="P1539">
        <v>237681.39</v>
      </c>
      <c r="Q1539">
        <v>237681.39</v>
      </c>
      <c r="R1539" t="s">
        <v>2762</v>
      </c>
    </row>
    <row r="1540" spans="1:20" x14ac:dyDescent="0.25">
      <c r="A1540" t="s">
        <v>14</v>
      </c>
      <c r="B1540" t="s">
        <v>962</v>
      </c>
      <c r="C1540" t="s">
        <v>4420</v>
      </c>
      <c r="D1540" t="s">
        <v>4394</v>
      </c>
      <c r="E1540">
        <v>47300070589</v>
      </c>
      <c r="F1540" t="s">
        <v>16</v>
      </c>
      <c r="G1540" t="s">
        <v>28</v>
      </c>
      <c r="H1540" t="s">
        <v>221</v>
      </c>
      <c r="K1540" t="s">
        <v>3795</v>
      </c>
      <c r="L1540" t="s">
        <v>19</v>
      </c>
      <c r="M1540" t="s">
        <v>20</v>
      </c>
      <c r="P1540">
        <v>10000</v>
      </c>
      <c r="Q1540">
        <v>10000</v>
      </c>
      <c r="R1540" t="s">
        <v>2763</v>
      </c>
      <c r="S1540" t="s">
        <v>963</v>
      </c>
      <c r="T1540">
        <v>41.7</v>
      </c>
    </row>
    <row r="1541" spans="1:20" x14ac:dyDescent="0.25">
      <c r="A1541" t="s">
        <v>14</v>
      </c>
      <c r="B1541" t="s">
        <v>962</v>
      </c>
      <c r="C1541" t="s">
        <v>4389</v>
      </c>
      <c r="D1541" t="s">
        <v>4375</v>
      </c>
      <c r="E1541">
        <v>47300070589</v>
      </c>
      <c r="F1541" t="s">
        <v>16</v>
      </c>
      <c r="G1541" t="s">
        <v>28</v>
      </c>
      <c r="H1541" t="s">
        <v>221</v>
      </c>
      <c r="K1541" t="s">
        <v>2760</v>
      </c>
      <c r="L1541" t="s">
        <v>47</v>
      </c>
      <c r="N1541" s="2">
        <v>45534</v>
      </c>
      <c r="O1541" s="2">
        <v>45532</v>
      </c>
      <c r="P1541">
        <v>237681.39</v>
      </c>
      <c r="Q1541">
        <v>237681.39</v>
      </c>
      <c r="R1541" t="s">
        <v>2763</v>
      </c>
    </row>
    <row r="1542" spans="1:20" x14ac:dyDescent="0.25">
      <c r="A1542" t="s">
        <v>14</v>
      </c>
      <c r="B1542" t="s">
        <v>961</v>
      </c>
      <c r="C1542" t="s">
        <v>4376</v>
      </c>
      <c r="D1542" t="s">
        <v>4407</v>
      </c>
      <c r="E1542">
        <v>47300070514</v>
      </c>
      <c r="F1542" t="s">
        <v>27</v>
      </c>
      <c r="G1542" t="s">
        <v>28</v>
      </c>
      <c r="H1542" t="s">
        <v>29</v>
      </c>
      <c r="K1542" t="s">
        <v>2760</v>
      </c>
      <c r="L1542" t="s">
        <v>47</v>
      </c>
      <c r="N1542" s="2">
        <v>45534</v>
      </c>
      <c r="O1542" s="2">
        <v>45532</v>
      </c>
      <c r="P1542">
        <v>237681.39</v>
      </c>
      <c r="Q1542">
        <v>237681.39</v>
      </c>
      <c r="R1542" t="s">
        <v>2764</v>
      </c>
    </row>
    <row r="1543" spans="1:20" x14ac:dyDescent="0.25">
      <c r="A1543" t="s">
        <v>14</v>
      </c>
      <c r="B1543" t="s">
        <v>960</v>
      </c>
      <c r="C1543" t="s">
        <v>4376</v>
      </c>
      <c r="D1543" t="s">
        <v>4377</v>
      </c>
      <c r="E1543">
        <v>47300046191</v>
      </c>
      <c r="F1543" t="s">
        <v>16</v>
      </c>
      <c r="G1543" t="s">
        <v>28</v>
      </c>
      <c r="H1543" t="s">
        <v>119</v>
      </c>
      <c r="I1543" t="s">
        <v>2799</v>
      </c>
      <c r="J1543">
        <v>8033011626</v>
      </c>
      <c r="K1543" t="s">
        <v>2801</v>
      </c>
      <c r="L1543" t="s">
        <v>47</v>
      </c>
      <c r="N1543" s="2">
        <v>45532</v>
      </c>
      <c r="O1543" s="2">
        <v>45532</v>
      </c>
      <c r="P1543">
        <v>64844.52</v>
      </c>
      <c r="Q1543">
        <v>64844.52</v>
      </c>
      <c r="R1543" t="s">
        <v>2800</v>
      </c>
    </row>
    <row r="1544" spans="1:20" x14ac:dyDescent="0.25">
      <c r="A1544" t="s">
        <v>14</v>
      </c>
      <c r="B1544" t="s">
        <v>958</v>
      </c>
      <c r="C1544" t="s">
        <v>4364</v>
      </c>
      <c r="D1544" t="s">
        <v>4358</v>
      </c>
      <c r="E1544">
        <v>47300070589</v>
      </c>
      <c r="F1544" t="s">
        <v>16</v>
      </c>
      <c r="G1544" t="s">
        <v>28</v>
      </c>
      <c r="H1544" t="s">
        <v>221</v>
      </c>
      <c r="K1544" t="s">
        <v>3795</v>
      </c>
      <c r="L1544" t="s">
        <v>19</v>
      </c>
      <c r="M1544" t="s">
        <v>20</v>
      </c>
      <c r="P1544">
        <v>100000</v>
      </c>
      <c r="Q1544">
        <v>100000</v>
      </c>
      <c r="R1544" t="s">
        <v>4028</v>
      </c>
      <c r="S1544" t="s">
        <v>959</v>
      </c>
      <c r="T1544">
        <v>416.3</v>
      </c>
    </row>
    <row r="1545" spans="1:20" x14ac:dyDescent="0.25">
      <c r="A1545" t="s">
        <v>14</v>
      </c>
      <c r="B1545" t="s">
        <v>957</v>
      </c>
      <c r="C1545" t="s">
        <v>4413</v>
      </c>
      <c r="D1545" t="s">
        <v>4395</v>
      </c>
      <c r="E1545">
        <v>47300046399</v>
      </c>
      <c r="F1545" t="s">
        <v>16</v>
      </c>
      <c r="G1545" t="s">
        <v>28</v>
      </c>
      <c r="H1545" t="s">
        <v>122</v>
      </c>
      <c r="K1545" t="s">
        <v>2760</v>
      </c>
      <c r="L1545" t="s">
        <v>47</v>
      </c>
      <c r="N1545" s="2">
        <v>45534</v>
      </c>
      <c r="O1545" s="2">
        <v>45532</v>
      </c>
      <c r="P1545">
        <v>237681.39</v>
      </c>
      <c r="Q1545">
        <v>237681.39</v>
      </c>
      <c r="R1545" t="s">
        <v>2765</v>
      </c>
    </row>
    <row r="1546" spans="1:20" x14ac:dyDescent="0.25">
      <c r="A1546" t="s">
        <v>14</v>
      </c>
      <c r="B1546" t="s">
        <v>956</v>
      </c>
      <c r="C1546" t="s">
        <v>4387</v>
      </c>
      <c r="D1546" t="s">
        <v>4388</v>
      </c>
      <c r="E1546">
        <v>47300070548</v>
      </c>
      <c r="F1546" t="s">
        <v>27</v>
      </c>
      <c r="G1546" t="s">
        <v>17</v>
      </c>
      <c r="H1546" t="s">
        <v>51</v>
      </c>
      <c r="K1546" t="s">
        <v>3294</v>
      </c>
      <c r="L1546" t="s">
        <v>19</v>
      </c>
      <c r="M1546" t="s">
        <v>46</v>
      </c>
      <c r="N1546" s="2">
        <v>45505</v>
      </c>
      <c r="O1546" s="2">
        <v>45535</v>
      </c>
      <c r="P1546">
        <v>500</v>
      </c>
      <c r="Q1546">
        <v>500</v>
      </c>
      <c r="R1546" t="s">
        <v>2766</v>
      </c>
    </row>
    <row r="1547" spans="1:20" x14ac:dyDescent="0.25">
      <c r="A1547" t="s">
        <v>14</v>
      </c>
      <c r="B1547" t="s">
        <v>956</v>
      </c>
      <c r="C1547" t="s">
        <v>4413</v>
      </c>
      <c r="D1547" t="s">
        <v>4395</v>
      </c>
      <c r="E1547">
        <v>47300070548</v>
      </c>
      <c r="F1547" t="s">
        <v>27</v>
      </c>
      <c r="G1547" t="s">
        <v>17</v>
      </c>
      <c r="H1547" t="s">
        <v>51</v>
      </c>
      <c r="K1547" t="s">
        <v>3197</v>
      </c>
      <c r="L1547" t="s">
        <v>19</v>
      </c>
      <c r="M1547" t="s">
        <v>46</v>
      </c>
      <c r="N1547" s="2">
        <v>45505</v>
      </c>
      <c r="O1547" s="2">
        <v>45535</v>
      </c>
      <c r="P1547">
        <v>145500</v>
      </c>
      <c r="Q1547">
        <v>145500</v>
      </c>
      <c r="R1547" t="s">
        <v>2766</v>
      </c>
    </row>
    <row r="1548" spans="1:20" x14ac:dyDescent="0.25">
      <c r="A1548" t="s">
        <v>14</v>
      </c>
      <c r="B1548" t="s">
        <v>956</v>
      </c>
      <c r="C1548" t="s">
        <v>4387</v>
      </c>
      <c r="D1548" t="s">
        <v>4388</v>
      </c>
      <c r="E1548">
        <v>47300070548</v>
      </c>
      <c r="F1548" t="s">
        <v>27</v>
      </c>
      <c r="G1548" t="s">
        <v>17</v>
      </c>
      <c r="H1548" t="s">
        <v>51</v>
      </c>
      <c r="K1548" t="s">
        <v>2760</v>
      </c>
      <c r="L1548" t="s">
        <v>47</v>
      </c>
      <c r="N1548" s="2">
        <v>45534</v>
      </c>
      <c r="O1548" s="2">
        <v>45532</v>
      </c>
      <c r="P1548">
        <v>237681.39</v>
      </c>
      <c r="Q1548">
        <v>237681.39</v>
      </c>
      <c r="R1548" t="s">
        <v>2766</v>
      </c>
    </row>
    <row r="1549" spans="1:20" x14ac:dyDescent="0.25">
      <c r="A1549" t="s">
        <v>14</v>
      </c>
      <c r="B1549" t="s">
        <v>954</v>
      </c>
      <c r="C1549" t="s">
        <v>4413</v>
      </c>
      <c r="D1549" t="s">
        <v>4395</v>
      </c>
      <c r="E1549">
        <v>47300046761</v>
      </c>
      <c r="F1549" t="s">
        <v>42</v>
      </c>
      <c r="G1549" t="s">
        <v>28</v>
      </c>
      <c r="H1549" t="s">
        <v>43</v>
      </c>
      <c r="K1549" t="s">
        <v>3795</v>
      </c>
      <c r="L1549" t="s">
        <v>19</v>
      </c>
      <c r="M1549" t="s">
        <v>20</v>
      </c>
      <c r="P1549">
        <v>10000</v>
      </c>
      <c r="Q1549">
        <v>10000</v>
      </c>
      <c r="R1549" t="s">
        <v>2767</v>
      </c>
      <c r="S1549" t="s">
        <v>955</v>
      </c>
      <c r="T1549">
        <v>41.6</v>
      </c>
    </row>
    <row r="1550" spans="1:20" x14ac:dyDescent="0.25">
      <c r="A1550" t="s">
        <v>14</v>
      </c>
      <c r="B1550" t="s">
        <v>954</v>
      </c>
      <c r="C1550" t="s">
        <v>4378</v>
      </c>
      <c r="D1550" t="s">
        <v>4379</v>
      </c>
      <c r="E1550">
        <v>47300046761</v>
      </c>
      <c r="F1550" t="s">
        <v>42</v>
      </c>
      <c r="G1550" t="s">
        <v>28</v>
      </c>
      <c r="H1550" t="s">
        <v>43</v>
      </c>
      <c r="K1550" t="s">
        <v>2760</v>
      </c>
      <c r="L1550" t="s">
        <v>47</v>
      </c>
      <c r="N1550" s="2">
        <v>45534</v>
      </c>
      <c r="O1550" s="2">
        <v>45532</v>
      </c>
      <c r="P1550">
        <v>237681.39</v>
      </c>
      <c r="Q1550">
        <v>237681.39</v>
      </c>
      <c r="R1550" t="s">
        <v>2767</v>
      </c>
    </row>
    <row r="1551" spans="1:20" x14ac:dyDescent="0.25">
      <c r="A1551" t="s">
        <v>14</v>
      </c>
      <c r="B1551" t="s">
        <v>953</v>
      </c>
      <c r="C1551" t="s">
        <v>4376</v>
      </c>
      <c r="D1551" t="s">
        <v>4377</v>
      </c>
      <c r="E1551">
        <v>47300070753</v>
      </c>
      <c r="F1551" t="s">
        <v>16</v>
      </c>
      <c r="G1551" t="s">
        <v>17</v>
      </c>
      <c r="H1551" t="s">
        <v>82</v>
      </c>
      <c r="K1551" t="s">
        <v>3294</v>
      </c>
      <c r="L1551" t="s">
        <v>19</v>
      </c>
      <c r="M1551" t="s">
        <v>46</v>
      </c>
      <c r="N1551" s="2">
        <v>45536</v>
      </c>
      <c r="O1551" s="2">
        <v>45565</v>
      </c>
      <c r="P1551">
        <v>500</v>
      </c>
      <c r="Q1551">
        <v>500</v>
      </c>
      <c r="R1551" t="s">
        <v>3443</v>
      </c>
    </row>
    <row r="1552" spans="1:20" x14ac:dyDescent="0.25">
      <c r="A1552" t="s">
        <v>14</v>
      </c>
      <c r="B1552" t="s">
        <v>952</v>
      </c>
      <c r="C1552" t="s">
        <v>4376</v>
      </c>
      <c r="D1552" t="s">
        <v>4407</v>
      </c>
      <c r="E1552">
        <v>47300070753</v>
      </c>
      <c r="F1552" t="s">
        <v>16</v>
      </c>
      <c r="G1552" t="s">
        <v>17</v>
      </c>
      <c r="H1552" t="s">
        <v>82</v>
      </c>
      <c r="K1552" t="s">
        <v>2892</v>
      </c>
      <c r="L1552" t="s">
        <v>19</v>
      </c>
      <c r="M1552" t="s">
        <v>46</v>
      </c>
      <c r="N1552" s="2">
        <v>45536</v>
      </c>
      <c r="O1552" s="2">
        <v>45565</v>
      </c>
      <c r="P1552">
        <v>10000</v>
      </c>
      <c r="Q1552">
        <v>10000</v>
      </c>
      <c r="R1552" t="s">
        <v>3073</v>
      </c>
    </row>
    <row r="1553" spans="1:20" x14ac:dyDescent="0.25">
      <c r="A1553" t="s">
        <v>14</v>
      </c>
      <c r="B1553" t="s">
        <v>951</v>
      </c>
      <c r="C1553" t="s">
        <v>4378</v>
      </c>
      <c r="D1553" t="s">
        <v>4379</v>
      </c>
      <c r="E1553">
        <v>47300046399</v>
      </c>
      <c r="F1553" t="s">
        <v>16</v>
      </c>
      <c r="G1553" t="s">
        <v>28</v>
      </c>
      <c r="H1553" t="s">
        <v>122</v>
      </c>
      <c r="K1553" t="s">
        <v>3294</v>
      </c>
      <c r="L1553" t="s">
        <v>19</v>
      </c>
      <c r="M1553" t="s">
        <v>46</v>
      </c>
      <c r="N1553" s="2">
        <v>45536</v>
      </c>
      <c r="O1553" s="2">
        <v>45565</v>
      </c>
      <c r="P1553">
        <v>500</v>
      </c>
      <c r="Q1553">
        <v>500</v>
      </c>
      <c r="R1553" t="s">
        <v>3074</v>
      </c>
    </row>
    <row r="1554" spans="1:20" x14ac:dyDescent="0.25">
      <c r="A1554" t="s">
        <v>14</v>
      </c>
      <c r="B1554" t="s">
        <v>951</v>
      </c>
      <c r="C1554" t="s">
        <v>4408</v>
      </c>
      <c r="D1554" t="s">
        <v>4407</v>
      </c>
      <c r="E1554">
        <v>47300046399</v>
      </c>
      <c r="F1554" t="s">
        <v>16</v>
      </c>
      <c r="G1554" t="s">
        <v>28</v>
      </c>
      <c r="H1554" t="s">
        <v>122</v>
      </c>
      <c r="K1554" t="s">
        <v>3197</v>
      </c>
      <c r="L1554" t="s">
        <v>19</v>
      </c>
      <c r="M1554" t="s">
        <v>46</v>
      </c>
      <c r="N1554" s="2">
        <v>45536</v>
      </c>
      <c r="O1554" s="2">
        <v>45565</v>
      </c>
      <c r="P1554">
        <v>145500</v>
      </c>
      <c r="Q1554">
        <v>145500</v>
      </c>
      <c r="R1554" t="s">
        <v>3074</v>
      </c>
    </row>
    <row r="1555" spans="1:20" x14ac:dyDescent="0.25">
      <c r="A1555" t="s">
        <v>14</v>
      </c>
      <c r="B1555" t="s">
        <v>951</v>
      </c>
      <c r="C1555" t="s">
        <v>4376</v>
      </c>
      <c r="D1555" t="s">
        <v>4407</v>
      </c>
      <c r="E1555">
        <v>47300046399</v>
      </c>
      <c r="F1555" t="s">
        <v>16</v>
      </c>
      <c r="G1555" t="s">
        <v>28</v>
      </c>
      <c r="H1555" t="s">
        <v>122</v>
      </c>
      <c r="K1555" t="s">
        <v>2892</v>
      </c>
      <c r="L1555" t="s">
        <v>19</v>
      </c>
      <c r="M1555" t="s">
        <v>46</v>
      </c>
      <c r="N1555" s="2">
        <v>45536</v>
      </c>
      <c r="O1555" s="2">
        <v>45565</v>
      </c>
      <c r="P1555">
        <v>10000</v>
      </c>
      <c r="Q1555">
        <v>10000</v>
      </c>
      <c r="R1555" t="s">
        <v>3074</v>
      </c>
    </row>
    <row r="1556" spans="1:20" x14ac:dyDescent="0.25">
      <c r="A1556" t="s">
        <v>14</v>
      </c>
      <c r="B1556" t="s">
        <v>950</v>
      </c>
      <c r="C1556" t="s">
        <v>4378</v>
      </c>
      <c r="D1556" t="s">
        <v>4379</v>
      </c>
      <c r="E1556">
        <v>47300070589</v>
      </c>
      <c r="F1556" t="s">
        <v>16</v>
      </c>
      <c r="G1556" t="s">
        <v>28</v>
      </c>
      <c r="H1556" t="s">
        <v>221</v>
      </c>
      <c r="K1556" t="s">
        <v>3294</v>
      </c>
      <c r="L1556" t="s">
        <v>19</v>
      </c>
      <c r="M1556" t="s">
        <v>46</v>
      </c>
      <c r="N1556" s="2">
        <v>45536</v>
      </c>
      <c r="O1556" s="2">
        <v>45565</v>
      </c>
      <c r="P1556">
        <v>500</v>
      </c>
      <c r="Q1556">
        <v>500</v>
      </c>
      <c r="R1556" t="s">
        <v>3075</v>
      </c>
    </row>
    <row r="1557" spans="1:20" x14ac:dyDescent="0.25">
      <c r="A1557" t="s">
        <v>14</v>
      </c>
      <c r="B1557" t="s">
        <v>950</v>
      </c>
      <c r="C1557" t="s">
        <v>4376</v>
      </c>
      <c r="D1557" t="s">
        <v>4377</v>
      </c>
      <c r="E1557">
        <v>47300070589</v>
      </c>
      <c r="F1557" t="s">
        <v>16</v>
      </c>
      <c r="G1557" t="s">
        <v>28</v>
      </c>
      <c r="H1557" t="s">
        <v>221</v>
      </c>
      <c r="K1557" t="s">
        <v>3197</v>
      </c>
      <c r="L1557" t="s">
        <v>19</v>
      </c>
      <c r="M1557" t="s">
        <v>46</v>
      </c>
      <c r="N1557" s="2">
        <v>45536</v>
      </c>
      <c r="O1557" s="2">
        <v>45565</v>
      </c>
      <c r="P1557">
        <v>145500</v>
      </c>
      <c r="Q1557">
        <v>145500</v>
      </c>
      <c r="R1557" t="s">
        <v>3075</v>
      </c>
    </row>
    <row r="1558" spans="1:20" x14ac:dyDescent="0.25">
      <c r="A1558" t="s">
        <v>14</v>
      </c>
      <c r="B1558" t="s">
        <v>950</v>
      </c>
      <c r="C1558" t="s">
        <v>4376</v>
      </c>
      <c r="D1558" t="s">
        <v>4407</v>
      </c>
      <c r="E1558">
        <v>47300070589</v>
      </c>
      <c r="F1558" t="s">
        <v>16</v>
      </c>
      <c r="G1558" t="s">
        <v>28</v>
      </c>
      <c r="H1558" t="s">
        <v>221</v>
      </c>
      <c r="K1558" t="s">
        <v>2892</v>
      </c>
      <c r="L1558" t="s">
        <v>19</v>
      </c>
      <c r="M1558" t="s">
        <v>46</v>
      </c>
      <c r="N1558" s="2">
        <v>45536</v>
      </c>
      <c r="O1558" s="2">
        <v>45565</v>
      </c>
      <c r="P1558">
        <v>10000</v>
      </c>
      <c r="Q1558">
        <v>10000</v>
      </c>
      <c r="R1558" t="s">
        <v>3075</v>
      </c>
    </row>
    <row r="1559" spans="1:20" x14ac:dyDescent="0.25">
      <c r="A1559" t="s">
        <v>14</v>
      </c>
      <c r="B1559" t="s">
        <v>949</v>
      </c>
      <c r="C1559" t="s">
        <v>4378</v>
      </c>
      <c r="D1559" t="s">
        <v>4379</v>
      </c>
      <c r="E1559">
        <v>47300046720</v>
      </c>
      <c r="F1559" t="s">
        <v>16</v>
      </c>
      <c r="G1559" t="s">
        <v>28</v>
      </c>
      <c r="H1559" t="s">
        <v>143</v>
      </c>
      <c r="K1559" t="s">
        <v>3294</v>
      </c>
      <c r="L1559" t="s">
        <v>19</v>
      </c>
      <c r="M1559" t="s">
        <v>46</v>
      </c>
      <c r="N1559" s="2">
        <v>45536</v>
      </c>
      <c r="O1559" s="2">
        <v>45565</v>
      </c>
      <c r="P1559">
        <v>500</v>
      </c>
      <c r="Q1559">
        <v>500</v>
      </c>
      <c r="R1559" t="s">
        <v>3076</v>
      </c>
    </row>
    <row r="1560" spans="1:20" x14ac:dyDescent="0.25">
      <c r="A1560" t="s">
        <v>14</v>
      </c>
      <c r="B1560" t="s">
        <v>949</v>
      </c>
      <c r="C1560" t="s">
        <v>4408</v>
      </c>
      <c r="D1560" t="s">
        <v>4407</v>
      </c>
      <c r="E1560">
        <v>47300046720</v>
      </c>
      <c r="F1560" t="s">
        <v>16</v>
      </c>
      <c r="G1560" t="s">
        <v>28</v>
      </c>
      <c r="H1560" t="s">
        <v>143</v>
      </c>
      <c r="K1560" t="s">
        <v>2892</v>
      </c>
      <c r="L1560" t="s">
        <v>19</v>
      </c>
      <c r="M1560" t="s">
        <v>46</v>
      </c>
      <c r="N1560" s="2">
        <v>45536</v>
      </c>
      <c r="O1560" s="2">
        <v>45565</v>
      </c>
      <c r="P1560">
        <v>10000</v>
      </c>
      <c r="Q1560">
        <v>10000</v>
      </c>
      <c r="R1560" t="s">
        <v>3076</v>
      </c>
    </row>
    <row r="1561" spans="1:20" x14ac:dyDescent="0.25">
      <c r="A1561" t="s">
        <v>14</v>
      </c>
      <c r="B1561" t="s">
        <v>948</v>
      </c>
      <c r="C1561" t="s">
        <v>4414</v>
      </c>
      <c r="D1561" t="s">
        <v>4401</v>
      </c>
      <c r="E1561">
        <v>47300046738</v>
      </c>
      <c r="F1561" t="s">
        <v>16</v>
      </c>
      <c r="G1561" t="s">
        <v>28</v>
      </c>
      <c r="H1561" t="s">
        <v>202</v>
      </c>
      <c r="K1561" t="s">
        <v>3294</v>
      </c>
      <c r="L1561" t="s">
        <v>19</v>
      </c>
      <c r="M1561" t="s">
        <v>46</v>
      </c>
      <c r="N1561" s="2">
        <v>45536</v>
      </c>
      <c r="O1561" s="2">
        <v>45565</v>
      </c>
      <c r="P1561">
        <v>500</v>
      </c>
      <c r="Q1561">
        <v>500</v>
      </c>
      <c r="R1561" t="s">
        <v>3077</v>
      </c>
    </row>
    <row r="1562" spans="1:20" x14ac:dyDescent="0.25">
      <c r="A1562" t="s">
        <v>14</v>
      </c>
      <c r="B1562" t="s">
        <v>948</v>
      </c>
      <c r="C1562" t="s">
        <v>4384</v>
      </c>
      <c r="D1562" t="s">
        <v>4391</v>
      </c>
      <c r="E1562">
        <v>47300046738</v>
      </c>
      <c r="F1562" t="s">
        <v>16</v>
      </c>
      <c r="G1562" t="s">
        <v>28</v>
      </c>
      <c r="H1562" t="s">
        <v>202</v>
      </c>
      <c r="K1562" t="s">
        <v>2892</v>
      </c>
      <c r="L1562" t="s">
        <v>19</v>
      </c>
      <c r="M1562" t="s">
        <v>46</v>
      </c>
      <c r="N1562" s="2">
        <v>45536</v>
      </c>
      <c r="O1562" s="2">
        <v>45565</v>
      </c>
      <c r="P1562">
        <v>10000</v>
      </c>
      <c r="Q1562">
        <v>10000</v>
      </c>
      <c r="R1562" t="s">
        <v>3077</v>
      </c>
    </row>
    <row r="1563" spans="1:20" x14ac:dyDescent="0.25">
      <c r="A1563" t="s">
        <v>14</v>
      </c>
      <c r="B1563" t="s">
        <v>947</v>
      </c>
      <c r="C1563" t="s">
        <v>4412</v>
      </c>
      <c r="D1563" t="s">
        <v>4424</v>
      </c>
      <c r="E1563">
        <v>47300046977</v>
      </c>
      <c r="F1563" t="s">
        <v>16</v>
      </c>
      <c r="G1563" t="s">
        <v>17</v>
      </c>
      <c r="H1563" t="s">
        <v>175</v>
      </c>
      <c r="K1563" t="s">
        <v>3294</v>
      </c>
      <c r="L1563" t="s">
        <v>19</v>
      </c>
      <c r="M1563" t="s">
        <v>46</v>
      </c>
      <c r="N1563" s="2">
        <v>45536</v>
      </c>
      <c r="O1563" s="2">
        <v>45565</v>
      </c>
      <c r="P1563">
        <v>500</v>
      </c>
      <c r="Q1563">
        <v>500</v>
      </c>
      <c r="R1563" t="s">
        <v>2757</v>
      </c>
    </row>
    <row r="1564" spans="1:20" x14ac:dyDescent="0.25">
      <c r="A1564" t="s">
        <v>14</v>
      </c>
      <c r="B1564" t="s">
        <v>947</v>
      </c>
      <c r="C1564" t="s">
        <v>4414</v>
      </c>
      <c r="D1564" t="s">
        <v>4401</v>
      </c>
      <c r="E1564">
        <v>47300046977</v>
      </c>
      <c r="F1564" t="s">
        <v>16</v>
      </c>
      <c r="G1564" t="s">
        <v>17</v>
      </c>
      <c r="H1564" t="s">
        <v>175</v>
      </c>
      <c r="K1564" t="s">
        <v>3197</v>
      </c>
      <c r="L1564" t="s">
        <v>19</v>
      </c>
      <c r="M1564" t="s">
        <v>46</v>
      </c>
      <c r="N1564" s="2">
        <v>45536</v>
      </c>
      <c r="O1564" s="2">
        <v>45565</v>
      </c>
      <c r="P1564">
        <v>145500</v>
      </c>
      <c r="Q1564">
        <v>145500</v>
      </c>
      <c r="R1564" t="s">
        <v>2757</v>
      </c>
    </row>
    <row r="1565" spans="1:20" x14ac:dyDescent="0.25">
      <c r="A1565" t="s">
        <v>14</v>
      </c>
      <c r="B1565" t="s">
        <v>947</v>
      </c>
      <c r="C1565" t="s">
        <v>4414</v>
      </c>
      <c r="D1565" t="s">
        <v>4401</v>
      </c>
      <c r="E1565">
        <v>47300046977</v>
      </c>
      <c r="F1565" t="s">
        <v>16</v>
      </c>
      <c r="G1565" t="s">
        <v>17</v>
      </c>
      <c r="H1565" t="s">
        <v>175</v>
      </c>
      <c r="K1565" t="s">
        <v>2892</v>
      </c>
      <c r="L1565" t="s">
        <v>19</v>
      </c>
      <c r="M1565" t="s">
        <v>46</v>
      </c>
      <c r="N1565" s="2">
        <v>45536</v>
      </c>
      <c r="O1565" s="2">
        <v>45565</v>
      </c>
      <c r="P1565">
        <v>10000</v>
      </c>
      <c r="Q1565">
        <v>10000</v>
      </c>
      <c r="R1565" t="s">
        <v>2757</v>
      </c>
    </row>
    <row r="1566" spans="1:20" x14ac:dyDescent="0.25">
      <c r="A1566" t="s">
        <v>14</v>
      </c>
      <c r="B1566" t="s">
        <v>947</v>
      </c>
      <c r="C1566" t="s">
        <v>4414</v>
      </c>
      <c r="D1566" t="s">
        <v>4401</v>
      </c>
      <c r="E1566">
        <v>47300046977</v>
      </c>
      <c r="F1566" t="s">
        <v>16</v>
      </c>
      <c r="G1566" t="s">
        <v>17</v>
      </c>
      <c r="H1566" t="s">
        <v>175</v>
      </c>
      <c r="K1566" t="s">
        <v>2758</v>
      </c>
      <c r="L1566" t="s">
        <v>47</v>
      </c>
      <c r="N1566" s="2">
        <v>45534</v>
      </c>
      <c r="O1566" s="2">
        <v>45532</v>
      </c>
      <c r="P1566">
        <v>59420.35</v>
      </c>
      <c r="Q1566">
        <v>59420.35</v>
      </c>
      <c r="R1566" t="s">
        <v>2757</v>
      </c>
    </row>
    <row r="1567" spans="1:20" x14ac:dyDescent="0.25">
      <c r="A1567" t="s">
        <v>14</v>
      </c>
      <c r="B1567" t="s">
        <v>945</v>
      </c>
      <c r="C1567" t="s">
        <v>4384</v>
      </c>
      <c r="D1567" t="s">
        <v>4391</v>
      </c>
      <c r="E1567">
        <v>47300046746</v>
      </c>
      <c r="F1567" t="s">
        <v>16</v>
      </c>
      <c r="G1567" t="s">
        <v>28</v>
      </c>
      <c r="H1567" t="s">
        <v>32</v>
      </c>
      <c r="K1567" t="s">
        <v>4266</v>
      </c>
      <c r="L1567" t="s">
        <v>19</v>
      </c>
      <c r="M1567" t="s">
        <v>63</v>
      </c>
      <c r="N1567" s="2">
        <v>45536</v>
      </c>
      <c r="O1567" s="2">
        <v>45565</v>
      </c>
      <c r="P1567">
        <v>15000</v>
      </c>
      <c r="Q1567">
        <v>15000</v>
      </c>
      <c r="R1567" t="s">
        <v>2768</v>
      </c>
      <c r="S1567" t="s">
        <v>946</v>
      </c>
      <c r="T1567">
        <v>62.5</v>
      </c>
    </row>
    <row r="1568" spans="1:20" x14ac:dyDescent="0.25">
      <c r="A1568" t="s">
        <v>14</v>
      </c>
      <c r="B1568" t="s">
        <v>945</v>
      </c>
      <c r="C1568" t="s">
        <v>4414</v>
      </c>
      <c r="D1568" t="s">
        <v>4401</v>
      </c>
      <c r="E1568">
        <v>47300046746</v>
      </c>
      <c r="F1568" t="s">
        <v>16</v>
      </c>
      <c r="G1568" t="s">
        <v>28</v>
      </c>
      <c r="H1568" t="s">
        <v>32</v>
      </c>
      <c r="K1568" t="s">
        <v>3294</v>
      </c>
      <c r="L1568" t="s">
        <v>19</v>
      </c>
      <c r="M1568" t="s">
        <v>46</v>
      </c>
      <c r="N1568" s="2">
        <v>45536</v>
      </c>
      <c r="O1568" s="2">
        <v>45565</v>
      </c>
      <c r="P1568">
        <v>500</v>
      </c>
      <c r="Q1568">
        <v>500</v>
      </c>
      <c r="R1568" t="s">
        <v>2768</v>
      </c>
    </row>
    <row r="1569" spans="1:20" x14ac:dyDescent="0.25">
      <c r="A1569" t="s">
        <v>14</v>
      </c>
      <c r="B1569" t="s">
        <v>945</v>
      </c>
      <c r="C1569" t="s">
        <v>4384</v>
      </c>
      <c r="D1569" t="s">
        <v>4391</v>
      </c>
      <c r="E1569">
        <v>47300046746</v>
      </c>
      <c r="F1569" t="s">
        <v>16</v>
      </c>
      <c r="G1569" t="s">
        <v>28</v>
      </c>
      <c r="H1569" t="s">
        <v>32</v>
      </c>
      <c r="K1569" t="s">
        <v>3197</v>
      </c>
      <c r="L1569" t="s">
        <v>19</v>
      </c>
      <c r="M1569" t="s">
        <v>46</v>
      </c>
      <c r="N1569" s="2">
        <v>45536</v>
      </c>
      <c r="O1569" s="2">
        <v>45565</v>
      </c>
      <c r="P1569">
        <v>145500</v>
      </c>
      <c r="Q1569">
        <v>145500</v>
      </c>
      <c r="R1569" t="s">
        <v>2768</v>
      </c>
    </row>
    <row r="1570" spans="1:20" x14ac:dyDescent="0.25">
      <c r="A1570" t="s">
        <v>14</v>
      </c>
      <c r="B1570" t="s">
        <v>945</v>
      </c>
      <c r="C1570" t="s">
        <v>4414</v>
      </c>
      <c r="D1570" t="s">
        <v>4401</v>
      </c>
      <c r="E1570">
        <v>47300046746</v>
      </c>
      <c r="F1570" t="s">
        <v>16</v>
      </c>
      <c r="G1570" t="s">
        <v>28</v>
      </c>
      <c r="H1570" t="s">
        <v>32</v>
      </c>
      <c r="K1570" t="s">
        <v>2892</v>
      </c>
      <c r="L1570" t="s">
        <v>19</v>
      </c>
      <c r="M1570" t="s">
        <v>46</v>
      </c>
      <c r="N1570" s="2">
        <v>45536</v>
      </c>
      <c r="O1570" s="2">
        <v>45565</v>
      </c>
      <c r="P1570">
        <v>10000</v>
      </c>
      <c r="Q1570">
        <v>10000</v>
      </c>
      <c r="R1570" t="s">
        <v>2768</v>
      </c>
    </row>
    <row r="1571" spans="1:20" x14ac:dyDescent="0.25">
      <c r="A1571" t="s">
        <v>14</v>
      </c>
      <c r="B1571" t="s">
        <v>945</v>
      </c>
      <c r="C1571" t="s">
        <v>4384</v>
      </c>
      <c r="D1571" t="s">
        <v>4391</v>
      </c>
      <c r="E1571">
        <v>47300046746</v>
      </c>
      <c r="F1571" t="s">
        <v>16</v>
      </c>
      <c r="G1571" t="s">
        <v>28</v>
      </c>
      <c r="H1571" t="s">
        <v>32</v>
      </c>
      <c r="K1571" t="s">
        <v>2760</v>
      </c>
      <c r="L1571" t="s">
        <v>47</v>
      </c>
      <c r="N1571" s="2">
        <v>45534</v>
      </c>
      <c r="O1571" s="2">
        <v>45532</v>
      </c>
      <c r="P1571">
        <v>237681.39</v>
      </c>
      <c r="Q1571">
        <v>237681.39</v>
      </c>
      <c r="R1571" t="s">
        <v>2768</v>
      </c>
    </row>
    <row r="1572" spans="1:20" x14ac:dyDescent="0.25">
      <c r="A1572" t="s">
        <v>14</v>
      </c>
      <c r="B1572" t="s">
        <v>943</v>
      </c>
      <c r="C1572" t="s">
        <v>4412</v>
      </c>
      <c r="D1572" t="s">
        <v>4424</v>
      </c>
      <c r="E1572">
        <v>47300046746</v>
      </c>
      <c r="F1572" t="s">
        <v>16</v>
      </c>
      <c r="G1572" t="s">
        <v>28</v>
      </c>
      <c r="H1572" t="s">
        <v>32</v>
      </c>
      <c r="K1572" t="s">
        <v>3795</v>
      </c>
      <c r="L1572" t="s">
        <v>19</v>
      </c>
      <c r="M1572" t="s">
        <v>20</v>
      </c>
      <c r="P1572">
        <v>15000</v>
      </c>
      <c r="Q1572">
        <v>15000</v>
      </c>
      <c r="R1572" t="s">
        <v>4029</v>
      </c>
      <c r="S1572" t="s">
        <v>944</v>
      </c>
      <c r="T1572">
        <v>62.4</v>
      </c>
    </row>
    <row r="1573" spans="1:20" x14ac:dyDescent="0.25">
      <c r="A1573" t="s">
        <v>14</v>
      </c>
      <c r="B1573" t="s">
        <v>942</v>
      </c>
      <c r="C1573" t="s">
        <v>4400</v>
      </c>
      <c r="D1573" t="s">
        <v>4401</v>
      </c>
      <c r="E1573">
        <v>47300046688</v>
      </c>
      <c r="F1573" t="s">
        <v>16</v>
      </c>
      <c r="G1573" t="s">
        <v>17</v>
      </c>
      <c r="H1573" t="s">
        <v>154</v>
      </c>
      <c r="K1573" t="s">
        <v>3294</v>
      </c>
      <c r="L1573" t="s">
        <v>19</v>
      </c>
      <c r="M1573" t="s">
        <v>46</v>
      </c>
      <c r="N1573" s="2">
        <v>45536</v>
      </c>
      <c r="O1573" s="2">
        <v>45657</v>
      </c>
      <c r="P1573">
        <v>500</v>
      </c>
      <c r="Q1573">
        <v>2000</v>
      </c>
      <c r="R1573" t="s">
        <v>3078</v>
      </c>
    </row>
    <row r="1574" spans="1:20" x14ac:dyDescent="0.25">
      <c r="A1574" t="s">
        <v>14</v>
      </c>
      <c r="B1574" t="s">
        <v>942</v>
      </c>
      <c r="C1574" t="s">
        <v>4382</v>
      </c>
      <c r="D1574" t="s">
        <v>4383</v>
      </c>
      <c r="E1574">
        <v>47300046688</v>
      </c>
      <c r="F1574" t="s">
        <v>16</v>
      </c>
      <c r="G1574" t="s">
        <v>17</v>
      </c>
      <c r="H1574" t="s">
        <v>154</v>
      </c>
      <c r="K1574" t="s">
        <v>3197</v>
      </c>
      <c r="L1574" t="s">
        <v>19</v>
      </c>
      <c r="M1574" t="s">
        <v>46</v>
      </c>
      <c r="N1574" s="2">
        <v>45536</v>
      </c>
      <c r="O1574" s="2">
        <v>45565</v>
      </c>
      <c r="P1574">
        <v>145500</v>
      </c>
      <c r="Q1574">
        <v>145500</v>
      </c>
      <c r="R1574" t="s">
        <v>3078</v>
      </c>
    </row>
    <row r="1575" spans="1:20" x14ac:dyDescent="0.25">
      <c r="A1575" t="s">
        <v>14</v>
      </c>
      <c r="B1575" t="s">
        <v>942</v>
      </c>
      <c r="C1575" t="s">
        <v>4406</v>
      </c>
      <c r="D1575" t="s">
        <v>4394</v>
      </c>
      <c r="E1575">
        <v>47300046688</v>
      </c>
      <c r="F1575" t="s">
        <v>16</v>
      </c>
      <c r="G1575" t="s">
        <v>17</v>
      </c>
      <c r="H1575" t="s">
        <v>154</v>
      </c>
      <c r="K1575" t="s">
        <v>2892</v>
      </c>
      <c r="L1575" t="s">
        <v>19</v>
      </c>
      <c r="M1575" t="s">
        <v>46</v>
      </c>
      <c r="N1575" s="2">
        <v>45536</v>
      </c>
      <c r="O1575" s="2">
        <v>45565</v>
      </c>
      <c r="P1575">
        <v>10000</v>
      </c>
      <c r="Q1575">
        <v>10000</v>
      </c>
      <c r="R1575" t="s">
        <v>3078</v>
      </c>
    </row>
    <row r="1576" spans="1:20" x14ac:dyDescent="0.25">
      <c r="A1576" t="s">
        <v>14</v>
      </c>
      <c r="B1576" t="s">
        <v>941</v>
      </c>
      <c r="C1576" t="s">
        <v>4400</v>
      </c>
      <c r="D1576" t="s">
        <v>4401</v>
      </c>
      <c r="E1576">
        <v>47300047066</v>
      </c>
      <c r="F1576" t="s">
        <v>16</v>
      </c>
      <c r="G1576" t="s">
        <v>28</v>
      </c>
      <c r="H1576" t="s">
        <v>57</v>
      </c>
      <c r="K1576" t="s">
        <v>3294</v>
      </c>
      <c r="L1576" t="s">
        <v>19</v>
      </c>
      <c r="M1576" t="s">
        <v>46</v>
      </c>
      <c r="N1576" s="2">
        <v>45536</v>
      </c>
      <c r="O1576" s="2">
        <v>45565</v>
      </c>
      <c r="P1576">
        <v>500</v>
      </c>
      <c r="Q1576">
        <v>500</v>
      </c>
      <c r="R1576" t="s">
        <v>3079</v>
      </c>
    </row>
    <row r="1577" spans="1:20" x14ac:dyDescent="0.25">
      <c r="A1577" t="s">
        <v>14</v>
      </c>
      <c r="B1577" t="s">
        <v>941</v>
      </c>
      <c r="C1577" t="s">
        <v>4414</v>
      </c>
      <c r="D1577" t="s">
        <v>4401</v>
      </c>
      <c r="E1577">
        <v>47300047066</v>
      </c>
      <c r="F1577" t="s">
        <v>16</v>
      </c>
      <c r="G1577" t="s">
        <v>28</v>
      </c>
      <c r="H1577" t="s">
        <v>57</v>
      </c>
      <c r="K1577" t="s">
        <v>2892</v>
      </c>
      <c r="L1577" t="s">
        <v>19</v>
      </c>
      <c r="M1577" t="s">
        <v>46</v>
      </c>
      <c r="N1577" s="2">
        <v>45536</v>
      </c>
      <c r="O1577" s="2">
        <v>45565</v>
      </c>
      <c r="P1577">
        <v>10000</v>
      </c>
      <c r="Q1577">
        <v>10000</v>
      </c>
      <c r="R1577" t="s">
        <v>3079</v>
      </c>
    </row>
    <row r="1578" spans="1:20" x14ac:dyDescent="0.25">
      <c r="A1578" t="s">
        <v>14</v>
      </c>
      <c r="B1578" t="s">
        <v>939</v>
      </c>
      <c r="C1578" t="s">
        <v>4400</v>
      </c>
      <c r="D1578" t="s">
        <v>4401</v>
      </c>
      <c r="E1578">
        <v>47300046746</v>
      </c>
      <c r="F1578" t="s">
        <v>16</v>
      </c>
      <c r="G1578" t="s">
        <v>28</v>
      </c>
      <c r="H1578" t="s">
        <v>32</v>
      </c>
      <c r="K1578" t="s">
        <v>3795</v>
      </c>
      <c r="L1578" t="s">
        <v>19</v>
      </c>
      <c r="M1578" t="s">
        <v>20</v>
      </c>
      <c r="P1578">
        <v>15000</v>
      </c>
      <c r="Q1578">
        <v>15000</v>
      </c>
      <c r="R1578" t="s">
        <v>4030</v>
      </c>
      <c r="S1578" t="s">
        <v>940</v>
      </c>
      <c r="T1578">
        <v>62.5</v>
      </c>
    </row>
    <row r="1579" spans="1:20" x14ac:dyDescent="0.25">
      <c r="A1579" t="s">
        <v>14</v>
      </c>
      <c r="B1579" t="s">
        <v>937</v>
      </c>
      <c r="C1579" t="s">
        <v>4406</v>
      </c>
      <c r="D1579" t="s">
        <v>4394</v>
      </c>
      <c r="E1579">
        <v>47300070522</v>
      </c>
      <c r="F1579" t="s">
        <v>16</v>
      </c>
      <c r="G1579" t="s">
        <v>17</v>
      </c>
      <c r="H1579" t="s">
        <v>18</v>
      </c>
      <c r="K1579" t="s">
        <v>4266</v>
      </c>
      <c r="L1579" t="s">
        <v>19</v>
      </c>
      <c r="M1579" t="s">
        <v>63</v>
      </c>
      <c r="N1579" s="2">
        <v>45536</v>
      </c>
      <c r="O1579" s="2">
        <v>45565</v>
      </c>
      <c r="P1579">
        <v>50000</v>
      </c>
      <c r="Q1579">
        <v>50000</v>
      </c>
      <c r="R1579" t="s">
        <v>2769</v>
      </c>
      <c r="S1579" t="s">
        <v>938</v>
      </c>
      <c r="T1579">
        <v>208.1</v>
      </c>
    </row>
    <row r="1580" spans="1:20" x14ac:dyDescent="0.25">
      <c r="A1580" t="s">
        <v>14</v>
      </c>
      <c r="B1580" t="s">
        <v>937</v>
      </c>
      <c r="C1580" t="s">
        <v>4400</v>
      </c>
      <c r="D1580" t="s">
        <v>4401</v>
      </c>
      <c r="E1580">
        <v>47300070522</v>
      </c>
      <c r="F1580" t="s">
        <v>16</v>
      </c>
      <c r="G1580" t="s">
        <v>17</v>
      </c>
      <c r="H1580" t="s">
        <v>18</v>
      </c>
      <c r="K1580" t="s">
        <v>3294</v>
      </c>
      <c r="L1580" t="s">
        <v>19</v>
      </c>
      <c r="M1580" t="s">
        <v>46</v>
      </c>
      <c r="N1580" s="2">
        <v>45536</v>
      </c>
      <c r="O1580" s="2">
        <v>45565</v>
      </c>
      <c r="P1580">
        <v>500</v>
      </c>
      <c r="Q1580">
        <v>500</v>
      </c>
      <c r="R1580" t="s">
        <v>2769</v>
      </c>
    </row>
    <row r="1581" spans="1:20" x14ac:dyDescent="0.25">
      <c r="A1581" t="s">
        <v>14</v>
      </c>
      <c r="B1581" t="s">
        <v>937</v>
      </c>
      <c r="C1581" t="s">
        <v>4400</v>
      </c>
      <c r="D1581" t="s">
        <v>4401</v>
      </c>
      <c r="E1581">
        <v>47300070522</v>
      </c>
      <c r="F1581" t="s">
        <v>16</v>
      </c>
      <c r="G1581" t="s">
        <v>17</v>
      </c>
      <c r="H1581" t="s">
        <v>18</v>
      </c>
      <c r="K1581" t="s">
        <v>3197</v>
      </c>
      <c r="L1581" t="s">
        <v>19</v>
      </c>
      <c r="M1581" t="s">
        <v>46</v>
      </c>
      <c r="N1581" s="2">
        <v>45536</v>
      </c>
      <c r="O1581" s="2">
        <v>45565</v>
      </c>
      <c r="P1581">
        <v>145500</v>
      </c>
      <c r="Q1581">
        <v>145500</v>
      </c>
      <c r="R1581" t="s">
        <v>2769</v>
      </c>
    </row>
    <row r="1582" spans="1:20" x14ac:dyDescent="0.25">
      <c r="A1582" t="s">
        <v>14</v>
      </c>
      <c r="B1582" t="s">
        <v>937</v>
      </c>
      <c r="C1582" t="s">
        <v>4382</v>
      </c>
      <c r="D1582" t="s">
        <v>4383</v>
      </c>
      <c r="E1582">
        <v>47300070522</v>
      </c>
      <c r="F1582" t="s">
        <v>16</v>
      </c>
      <c r="G1582" t="s">
        <v>17</v>
      </c>
      <c r="H1582" t="s">
        <v>18</v>
      </c>
      <c r="K1582" t="s">
        <v>2892</v>
      </c>
      <c r="L1582" t="s">
        <v>19</v>
      </c>
      <c r="M1582" t="s">
        <v>46</v>
      </c>
      <c r="N1582" s="2">
        <v>45536</v>
      </c>
      <c r="O1582" s="2">
        <v>45565</v>
      </c>
      <c r="P1582">
        <v>10000</v>
      </c>
      <c r="Q1582">
        <v>10000</v>
      </c>
      <c r="R1582" t="s">
        <v>2769</v>
      </c>
    </row>
    <row r="1583" spans="1:20" x14ac:dyDescent="0.25">
      <c r="A1583" t="s">
        <v>14</v>
      </c>
      <c r="B1583" t="s">
        <v>937</v>
      </c>
      <c r="C1583" t="s">
        <v>4406</v>
      </c>
      <c r="D1583" t="s">
        <v>4394</v>
      </c>
      <c r="E1583">
        <v>47300070522</v>
      </c>
      <c r="F1583" t="s">
        <v>16</v>
      </c>
      <c r="G1583" t="s">
        <v>17</v>
      </c>
      <c r="H1583" t="s">
        <v>18</v>
      </c>
      <c r="K1583" t="s">
        <v>2760</v>
      </c>
      <c r="L1583" t="s">
        <v>47</v>
      </c>
      <c r="N1583" s="2">
        <v>45534</v>
      </c>
      <c r="O1583" s="2">
        <v>45532</v>
      </c>
      <c r="P1583">
        <v>237681.39</v>
      </c>
      <c r="Q1583">
        <v>237681.39</v>
      </c>
      <c r="R1583" t="s">
        <v>2769</v>
      </c>
    </row>
    <row r="1584" spans="1:20" x14ac:dyDescent="0.25">
      <c r="A1584" t="s">
        <v>14</v>
      </c>
      <c r="B1584" t="s">
        <v>936</v>
      </c>
      <c r="C1584" t="s">
        <v>4371</v>
      </c>
      <c r="D1584" t="s">
        <v>4368</v>
      </c>
      <c r="E1584">
        <v>47300046779</v>
      </c>
      <c r="F1584" t="s">
        <v>42</v>
      </c>
      <c r="G1584" t="s">
        <v>28</v>
      </c>
      <c r="H1584" t="s">
        <v>199</v>
      </c>
      <c r="K1584" t="s">
        <v>3294</v>
      </c>
      <c r="L1584" t="s">
        <v>19</v>
      </c>
      <c r="M1584" t="s">
        <v>46</v>
      </c>
      <c r="N1584" s="2">
        <v>45536</v>
      </c>
      <c r="O1584" s="2">
        <v>45565</v>
      </c>
      <c r="P1584">
        <v>500</v>
      </c>
      <c r="Q1584">
        <v>500</v>
      </c>
      <c r="R1584" t="s">
        <v>3444</v>
      </c>
    </row>
    <row r="1585" spans="1:20" x14ac:dyDescent="0.25">
      <c r="A1585" t="s">
        <v>14</v>
      </c>
      <c r="B1585" t="s">
        <v>934</v>
      </c>
      <c r="C1585" t="s">
        <v>4387</v>
      </c>
      <c r="D1585" t="s">
        <v>4388</v>
      </c>
      <c r="E1585">
        <v>47300046761</v>
      </c>
      <c r="F1585" t="s">
        <v>42</v>
      </c>
      <c r="G1585" t="s">
        <v>28</v>
      </c>
      <c r="H1585" t="s">
        <v>43</v>
      </c>
      <c r="K1585" t="s">
        <v>4266</v>
      </c>
      <c r="L1585" t="s">
        <v>19</v>
      </c>
      <c r="M1585" t="s">
        <v>63</v>
      </c>
      <c r="N1585" s="2">
        <v>45536</v>
      </c>
      <c r="O1585" s="2">
        <v>45565</v>
      </c>
      <c r="P1585">
        <v>25000</v>
      </c>
      <c r="Q1585">
        <v>25000</v>
      </c>
      <c r="R1585" t="s">
        <v>3445</v>
      </c>
      <c r="S1585" t="s">
        <v>935</v>
      </c>
      <c r="T1585">
        <v>104.1</v>
      </c>
    </row>
    <row r="1586" spans="1:20" x14ac:dyDescent="0.25">
      <c r="A1586" t="s">
        <v>14</v>
      </c>
      <c r="B1586" t="s">
        <v>934</v>
      </c>
      <c r="C1586" t="s">
        <v>4398</v>
      </c>
      <c r="D1586" t="s">
        <v>4399</v>
      </c>
      <c r="E1586">
        <v>47300046761</v>
      </c>
      <c r="F1586" t="s">
        <v>42</v>
      </c>
      <c r="G1586" t="s">
        <v>28</v>
      </c>
      <c r="H1586" t="s">
        <v>43</v>
      </c>
      <c r="K1586" t="s">
        <v>3294</v>
      </c>
      <c r="L1586" t="s">
        <v>19</v>
      </c>
      <c r="M1586" t="s">
        <v>46</v>
      </c>
      <c r="N1586" s="2">
        <v>45536</v>
      </c>
      <c r="O1586" s="2">
        <v>45565</v>
      </c>
      <c r="P1586">
        <v>500</v>
      </c>
      <c r="Q1586">
        <v>500</v>
      </c>
      <c r="R1586" t="s">
        <v>3445</v>
      </c>
    </row>
    <row r="1587" spans="1:20" x14ac:dyDescent="0.25">
      <c r="A1587" t="s">
        <v>14</v>
      </c>
      <c r="B1587" t="s">
        <v>932</v>
      </c>
      <c r="C1587" t="s">
        <v>4371</v>
      </c>
      <c r="D1587" t="s">
        <v>4368</v>
      </c>
      <c r="E1587">
        <v>47300025708</v>
      </c>
      <c r="F1587" t="s">
        <v>35</v>
      </c>
      <c r="G1587" t="s">
        <v>36</v>
      </c>
      <c r="H1587" t="s">
        <v>4360</v>
      </c>
      <c r="K1587" t="s">
        <v>4266</v>
      </c>
      <c r="L1587" t="s">
        <v>19</v>
      </c>
      <c r="M1587" t="s">
        <v>63</v>
      </c>
      <c r="N1587" s="2">
        <v>45536</v>
      </c>
      <c r="O1587" s="2">
        <v>45565</v>
      </c>
      <c r="P1587">
        <v>100000</v>
      </c>
      <c r="Q1587">
        <v>100000</v>
      </c>
      <c r="R1587" t="s">
        <v>3446</v>
      </c>
      <c r="S1587" t="s">
        <v>933</v>
      </c>
      <c r="T1587">
        <v>416.3</v>
      </c>
    </row>
    <row r="1588" spans="1:20" x14ac:dyDescent="0.25">
      <c r="A1588" t="s">
        <v>14</v>
      </c>
      <c r="B1588" t="s">
        <v>932</v>
      </c>
      <c r="C1588" t="s">
        <v>4387</v>
      </c>
      <c r="D1588" t="s">
        <v>4388</v>
      </c>
      <c r="E1588">
        <v>47300025708</v>
      </c>
      <c r="F1588" t="s">
        <v>35</v>
      </c>
      <c r="G1588" t="s">
        <v>36</v>
      </c>
      <c r="H1588" t="s">
        <v>4360</v>
      </c>
      <c r="K1588" t="s">
        <v>3294</v>
      </c>
      <c r="L1588" t="s">
        <v>19</v>
      </c>
      <c r="M1588" t="s">
        <v>46</v>
      </c>
      <c r="N1588" s="2">
        <v>45536</v>
      </c>
      <c r="O1588" s="2">
        <v>45565</v>
      </c>
      <c r="P1588">
        <v>500</v>
      </c>
      <c r="Q1588">
        <v>500</v>
      </c>
      <c r="R1588" t="s">
        <v>3446</v>
      </c>
    </row>
    <row r="1589" spans="1:20" x14ac:dyDescent="0.25">
      <c r="A1589" t="s">
        <v>14</v>
      </c>
      <c r="B1589" t="s">
        <v>931</v>
      </c>
      <c r="C1589" t="s">
        <v>4396</v>
      </c>
      <c r="D1589" t="s">
        <v>4397</v>
      </c>
      <c r="E1589">
        <v>47300070571</v>
      </c>
      <c r="F1589" t="s">
        <v>42</v>
      </c>
      <c r="G1589" t="s">
        <v>28</v>
      </c>
      <c r="H1589" t="s">
        <v>72</v>
      </c>
      <c r="K1589" t="s">
        <v>3294</v>
      </c>
      <c r="L1589" t="s">
        <v>19</v>
      </c>
      <c r="M1589" t="s">
        <v>46</v>
      </c>
      <c r="N1589" s="2">
        <v>45536</v>
      </c>
      <c r="O1589" s="2">
        <v>45565</v>
      </c>
      <c r="P1589">
        <v>500</v>
      </c>
      <c r="Q1589">
        <v>500</v>
      </c>
      <c r="R1589" t="s">
        <v>2770</v>
      </c>
    </row>
    <row r="1590" spans="1:20" x14ac:dyDescent="0.25">
      <c r="A1590" t="s">
        <v>14</v>
      </c>
      <c r="B1590" t="s">
        <v>931</v>
      </c>
      <c r="C1590" t="s">
        <v>4389</v>
      </c>
      <c r="D1590" t="s">
        <v>4390</v>
      </c>
      <c r="E1590">
        <v>47300070571</v>
      </c>
      <c r="F1590" t="s">
        <v>42</v>
      </c>
      <c r="G1590" t="s">
        <v>28</v>
      </c>
      <c r="H1590" t="s">
        <v>72</v>
      </c>
      <c r="K1590" t="s">
        <v>2760</v>
      </c>
      <c r="L1590" t="s">
        <v>47</v>
      </c>
      <c r="N1590" s="2">
        <v>45534</v>
      </c>
      <c r="O1590" s="2">
        <v>45532</v>
      </c>
      <c r="P1590">
        <v>237681.39</v>
      </c>
      <c r="Q1590">
        <v>237681.39</v>
      </c>
      <c r="R1590" t="s">
        <v>2770</v>
      </c>
    </row>
    <row r="1591" spans="1:20" x14ac:dyDescent="0.25">
      <c r="A1591" t="s">
        <v>14</v>
      </c>
      <c r="B1591" t="s">
        <v>929</v>
      </c>
      <c r="C1591" t="s">
        <v>4414</v>
      </c>
      <c r="D1591" t="s">
        <v>4401</v>
      </c>
      <c r="E1591">
        <v>47300046779</v>
      </c>
      <c r="F1591" t="s">
        <v>42</v>
      </c>
      <c r="G1591" t="s">
        <v>28</v>
      </c>
      <c r="H1591" t="s">
        <v>199</v>
      </c>
      <c r="K1591" t="s">
        <v>4266</v>
      </c>
      <c r="L1591" t="s">
        <v>19</v>
      </c>
      <c r="M1591" t="s">
        <v>63</v>
      </c>
      <c r="N1591" s="2">
        <v>45536</v>
      </c>
      <c r="O1591" s="2">
        <v>45565</v>
      </c>
      <c r="P1591">
        <v>50000</v>
      </c>
      <c r="Q1591">
        <v>50000</v>
      </c>
      <c r="R1591" t="s">
        <v>4301</v>
      </c>
      <c r="S1591" t="s">
        <v>930</v>
      </c>
      <c r="T1591">
        <v>208.1</v>
      </c>
    </row>
    <row r="1592" spans="1:20" x14ac:dyDescent="0.25">
      <c r="A1592" t="s">
        <v>14</v>
      </c>
      <c r="B1592" t="s">
        <v>927</v>
      </c>
      <c r="C1592" t="s">
        <v>4398</v>
      </c>
      <c r="D1592" t="s">
        <v>4399</v>
      </c>
      <c r="E1592">
        <v>47300046746</v>
      </c>
      <c r="F1592" t="s">
        <v>16</v>
      </c>
      <c r="G1592" t="s">
        <v>28</v>
      </c>
      <c r="H1592" t="s">
        <v>32</v>
      </c>
      <c r="K1592" t="s">
        <v>3795</v>
      </c>
      <c r="L1592" t="s">
        <v>19</v>
      </c>
      <c r="M1592" t="s">
        <v>20</v>
      </c>
      <c r="P1592">
        <v>15000</v>
      </c>
      <c r="Q1592">
        <v>15000</v>
      </c>
      <c r="R1592" t="s">
        <v>4031</v>
      </c>
      <c r="S1592" t="s">
        <v>928</v>
      </c>
      <c r="T1592">
        <v>62.4</v>
      </c>
    </row>
    <row r="1593" spans="1:20" x14ac:dyDescent="0.25">
      <c r="A1593" t="s">
        <v>14</v>
      </c>
      <c r="B1593" t="s">
        <v>926</v>
      </c>
      <c r="C1593" t="s">
        <v>4396</v>
      </c>
      <c r="D1593" t="s">
        <v>4397</v>
      </c>
      <c r="E1593">
        <v>47300070795</v>
      </c>
      <c r="F1593" t="s">
        <v>16</v>
      </c>
      <c r="G1593" t="s">
        <v>87</v>
      </c>
      <c r="H1593" t="s">
        <v>88</v>
      </c>
      <c r="K1593" t="s">
        <v>2760</v>
      </c>
      <c r="L1593" t="s">
        <v>47</v>
      </c>
      <c r="N1593" s="2">
        <v>45534</v>
      </c>
      <c r="O1593" s="2">
        <v>45532</v>
      </c>
      <c r="P1593">
        <v>237681.39</v>
      </c>
      <c r="Q1593">
        <v>237681.39</v>
      </c>
      <c r="R1593" t="s">
        <v>2771</v>
      </c>
    </row>
    <row r="1594" spans="1:20" x14ac:dyDescent="0.25">
      <c r="A1594" t="s">
        <v>14</v>
      </c>
      <c r="B1594" t="s">
        <v>925</v>
      </c>
      <c r="C1594" t="s">
        <v>4396</v>
      </c>
      <c r="D1594" t="s">
        <v>4397</v>
      </c>
      <c r="E1594">
        <v>47300046662</v>
      </c>
      <c r="F1594" t="s">
        <v>16</v>
      </c>
      <c r="G1594" t="s">
        <v>28</v>
      </c>
      <c r="H1594" t="s">
        <v>129</v>
      </c>
      <c r="K1594" t="s">
        <v>3294</v>
      </c>
      <c r="L1594" t="s">
        <v>19</v>
      </c>
      <c r="M1594" t="s">
        <v>46</v>
      </c>
      <c r="N1594" s="2">
        <v>45536</v>
      </c>
      <c r="O1594" s="2">
        <v>45565</v>
      </c>
      <c r="P1594">
        <v>500</v>
      </c>
      <c r="Q1594">
        <v>500</v>
      </c>
      <c r="R1594" t="s">
        <v>2772</v>
      </c>
    </row>
    <row r="1595" spans="1:20" x14ac:dyDescent="0.25">
      <c r="A1595" t="s">
        <v>14</v>
      </c>
      <c r="B1595" t="s">
        <v>925</v>
      </c>
      <c r="C1595" t="s">
        <v>4374</v>
      </c>
      <c r="D1595" t="s">
        <v>4375</v>
      </c>
      <c r="E1595">
        <v>47300046662</v>
      </c>
      <c r="F1595" t="s">
        <v>16</v>
      </c>
      <c r="G1595" t="s">
        <v>28</v>
      </c>
      <c r="H1595" t="s">
        <v>129</v>
      </c>
      <c r="K1595" t="s">
        <v>3197</v>
      </c>
      <c r="L1595" t="s">
        <v>19</v>
      </c>
      <c r="M1595" t="s">
        <v>46</v>
      </c>
      <c r="N1595" s="2">
        <v>45536</v>
      </c>
      <c r="O1595" s="2">
        <v>45565</v>
      </c>
      <c r="P1595">
        <v>145500</v>
      </c>
      <c r="Q1595">
        <v>145500</v>
      </c>
      <c r="R1595" t="s">
        <v>2772</v>
      </c>
    </row>
    <row r="1596" spans="1:20" x14ac:dyDescent="0.25">
      <c r="A1596" t="s">
        <v>14</v>
      </c>
      <c r="B1596" t="s">
        <v>925</v>
      </c>
      <c r="C1596" t="s">
        <v>4389</v>
      </c>
      <c r="D1596" t="s">
        <v>4390</v>
      </c>
      <c r="E1596">
        <v>47300046662</v>
      </c>
      <c r="F1596" t="s">
        <v>16</v>
      </c>
      <c r="G1596" t="s">
        <v>28</v>
      </c>
      <c r="H1596" t="s">
        <v>129</v>
      </c>
      <c r="K1596" t="s">
        <v>2892</v>
      </c>
      <c r="L1596" t="s">
        <v>19</v>
      </c>
      <c r="M1596" t="s">
        <v>46</v>
      </c>
      <c r="N1596" s="2">
        <v>45536</v>
      </c>
      <c r="O1596" s="2">
        <v>45565</v>
      </c>
      <c r="P1596">
        <v>10000</v>
      </c>
      <c r="Q1596">
        <v>10000</v>
      </c>
      <c r="R1596" t="s">
        <v>2772</v>
      </c>
    </row>
    <row r="1597" spans="1:20" x14ac:dyDescent="0.25">
      <c r="A1597" t="s">
        <v>14</v>
      </c>
      <c r="B1597" t="s">
        <v>925</v>
      </c>
      <c r="C1597" t="s">
        <v>4396</v>
      </c>
      <c r="D1597" t="s">
        <v>4397</v>
      </c>
      <c r="E1597">
        <v>47300046662</v>
      </c>
      <c r="F1597" t="s">
        <v>16</v>
      </c>
      <c r="G1597" t="s">
        <v>28</v>
      </c>
      <c r="H1597" t="s">
        <v>129</v>
      </c>
      <c r="K1597" t="s">
        <v>2760</v>
      </c>
      <c r="L1597" t="s">
        <v>47</v>
      </c>
      <c r="N1597" s="2">
        <v>45534</v>
      </c>
      <c r="O1597" s="2">
        <v>45532</v>
      </c>
      <c r="P1597">
        <v>237681.39</v>
      </c>
      <c r="Q1597">
        <v>237681.39</v>
      </c>
      <c r="R1597" t="s">
        <v>2772</v>
      </c>
    </row>
    <row r="1598" spans="1:20" x14ac:dyDescent="0.25">
      <c r="A1598" t="s">
        <v>14</v>
      </c>
      <c r="B1598" t="s">
        <v>924</v>
      </c>
      <c r="C1598" t="s">
        <v>4367</v>
      </c>
      <c r="D1598" t="s">
        <v>4368</v>
      </c>
      <c r="E1598">
        <v>47300070571</v>
      </c>
      <c r="F1598" t="s">
        <v>42</v>
      </c>
      <c r="G1598" t="s">
        <v>28</v>
      </c>
      <c r="H1598" t="s">
        <v>72</v>
      </c>
      <c r="K1598" t="s">
        <v>3536</v>
      </c>
      <c r="L1598" t="s">
        <v>47</v>
      </c>
      <c r="N1598" s="2">
        <v>45541</v>
      </c>
      <c r="O1598" s="2">
        <v>45539</v>
      </c>
      <c r="P1598">
        <v>64912.4</v>
      </c>
      <c r="Q1598">
        <v>64912.4</v>
      </c>
      <c r="R1598" t="s">
        <v>3535</v>
      </c>
    </row>
    <row r="1599" spans="1:20" x14ac:dyDescent="0.25">
      <c r="A1599" t="s">
        <v>14</v>
      </c>
      <c r="B1599" t="s">
        <v>923</v>
      </c>
      <c r="C1599" t="s">
        <v>4398</v>
      </c>
      <c r="D1599" t="s">
        <v>4377</v>
      </c>
      <c r="E1599">
        <v>47300046399</v>
      </c>
      <c r="F1599" t="s">
        <v>16</v>
      </c>
      <c r="G1599" t="s">
        <v>28</v>
      </c>
      <c r="H1599" t="s">
        <v>122</v>
      </c>
      <c r="K1599" t="s">
        <v>3536</v>
      </c>
      <c r="L1599" t="s">
        <v>47</v>
      </c>
      <c r="N1599" s="2">
        <v>45541</v>
      </c>
      <c r="O1599" s="2">
        <v>45539</v>
      </c>
      <c r="P1599">
        <v>64912.4</v>
      </c>
      <c r="Q1599">
        <v>64912.4</v>
      </c>
      <c r="R1599" t="s">
        <v>3537</v>
      </c>
    </row>
    <row r="1600" spans="1:20" x14ac:dyDescent="0.25">
      <c r="A1600" t="s">
        <v>14</v>
      </c>
      <c r="B1600" t="s">
        <v>922</v>
      </c>
      <c r="C1600" t="s">
        <v>4384</v>
      </c>
      <c r="D1600" t="s">
        <v>4385</v>
      </c>
      <c r="E1600">
        <v>47300047066</v>
      </c>
      <c r="F1600" t="s">
        <v>16</v>
      </c>
      <c r="G1600" t="s">
        <v>28</v>
      </c>
      <c r="H1600" t="s">
        <v>57</v>
      </c>
      <c r="K1600" t="s">
        <v>3536</v>
      </c>
      <c r="L1600" t="s">
        <v>47</v>
      </c>
      <c r="N1600" s="2">
        <v>45541</v>
      </c>
      <c r="O1600" s="2">
        <v>45539</v>
      </c>
      <c r="P1600">
        <v>64912.4</v>
      </c>
      <c r="Q1600">
        <v>64912.4</v>
      </c>
      <c r="R1600" t="s">
        <v>3538</v>
      </c>
    </row>
    <row r="1601" spans="1:20" x14ac:dyDescent="0.25">
      <c r="A1601" t="s">
        <v>14</v>
      </c>
      <c r="B1601" t="s">
        <v>921</v>
      </c>
      <c r="C1601" t="s">
        <v>4367</v>
      </c>
      <c r="D1601" t="s">
        <v>4368</v>
      </c>
      <c r="E1601">
        <v>47300046688</v>
      </c>
      <c r="F1601" t="s">
        <v>16</v>
      </c>
      <c r="G1601" t="s">
        <v>17</v>
      </c>
      <c r="H1601" t="s">
        <v>154</v>
      </c>
      <c r="K1601" t="s">
        <v>3536</v>
      </c>
      <c r="L1601" t="s">
        <v>47</v>
      </c>
      <c r="N1601" s="2">
        <v>45541</v>
      </c>
      <c r="O1601" s="2">
        <v>45539</v>
      </c>
      <c r="P1601">
        <v>64912.4</v>
      </c>
      <c r="Q1601">
        <v>64912.4</v>
      </c>
      <c r="R1601" t="s">
        <v>3539</v>
      </c>
    </row>
    <row r="1602" spans="1:20" x14ac:dyDescent="0.25">
      <c r="A1602" t="s">
        <v>14</v>
      </c>
      <c r="B1602" t="s">
        <v>920</v>
      </c>
      <c r="C1602" t="s">
        <v>4400</v>
      </c>
      <c r="D1602" t="s">
        <v>4401</v>
      </c>
      <c r="E1602">
        <v>47300046779</v>
      </c>
      <c r="F1602" t="s">
        <v>42</v>
      </c>
      <c r="G1602" t="s">
        <v>28</v>
      </c>
      <c r="H1602" t="s">
        <v>199</v>
      </c>
      <c r="K1602" t="s">
        <v>3536</v>
      </c>
      <c r="L1602" t="s">
        <v>47</v>
      </c>
      <c r="N1602" s="2">
        <v>45541</v>
      </c>
      <c r="O1602" s="2">
        <v>45539</v>
      </c>
      <c r="P1602">
        <v>64912.4</v>
      </c>
      <c r="Q1602">
        <v>64912.4</v>
      </c>
      <c r="R1602" t="s">
        <v>3540</v>
      </c>
    </row>
    <row r="1603" spans="1:20" x14ac:dyDescent="0.25">
      <c r="A1603" t="s">
        <v>14</v>
      </c>
      <c r="B1603" t="s">
        <v>919</v>
      </c>
      <c r="C1603" t="s">
        <v>4414</v>
      </c>
      <c r="D1603" t="s">
        <v>4401</v>
      </c>
      <c r="E1603">
        <v>47300070753</v>
      </c>
      <c r="F1603" t="s">
        <v>16</v>
      </c>
      <c r="G1603" t="s">
        <v>17</v>
      </c>
      <c r="H1603" t="s">
        <v>82</v>
      </c>
      <c r="K1603" t="s">
        <v>3536</v>
      </c>
      <c r="L1603" t="s">
        <v>47</v>
      </c>
      <c r="N1603" s="2">
        <v>45541</v>
      </c>
      <c r="O1603" s="2">
        <v>45539</v>
      </c>
      <c r="P1603">
        <v>64912.4</v>
      </c>
      <c r="Q1603">
        <v>64912.4</v>
      </c>
      <c r="R1603" t="s">
        <v>3541</v>
      </c>
    </row>
    <row r="1604" spans="1:20" x14ac:dyDescent="0.25">
      <c r="A1604" t="s">
        <v>14</v>
      </c>
      <c r="B1604" t="s">
        <v>918</v>
      </c>
      <c r="C1604" t="s">
        <v>4398</v>
      </c>
      <c r="D1604" t="s">
        <v>4377</v>
      </c>
      <c r="E1604">
        <v>47300046720</v>
      </c>
      <c r="F1604" t="s">
        <v>16</v>
      </c>
      <c r="G1604" t="s">
        <v>28</v>
      </c>
      <c r="H1604" t="s">
        <v>143</v>
      </c>
      <c r="K1604" t="s">
        <v>3536</v>
      </c>
      <c r="L1604" t="s">
        <v>47</v>
      </c>
      <c r="N1604" s="2">
        <v>45541</v>
      </c>
      <c r="O1604" s="2">
        <v>45539</v>
      </c>
      <c r="P1604">
        <v>64912.4</v>
      </c>
      <c r="Q1604">
        <v>64912.4</v>
      </c>
      <c r="R1604" t="s">
        <v>3542</v>
      </c>
    </row>
    <row r="1605" spans="1:20" x14ac:dyDescent="0.25">
      <c r="A1605" t="s">
        <v>14</v>
      </c>
      <c r="B1605" t="s">
        <v>917</v>
      </c>
      <c r="C1605" t="s">
        <v>4384</v>
      </c>
      <c r="D1605" t="s">
        <v>4385</v>
      </c>
      <c r="E1605">
        <v>47300046738</v>
      </c>
      <c r="F1605" t="s">
        <v>16</v>
      </c>
      <c r="G1605" t="s">
        <v>28</v>
      </c>
      <c r="H1605" t="s">
        <v>202</v>
      </c>
      <c r="K1605" t="s">
        <v>3536</v>
      </c>
      <c r="L1605" t="s">
        <v>47</v>
      </c>
      <c r="N1605" s="2">
        <v>45541</v>
      </c>
      <c r="O1605" s="2">
        <v>45539</v>
      </c>
      <c r="P1605">
        <v>64912.4</v>
      </c>
      <c r="Q1605">
        <v>64912.4</v>
      </c>
      <c r="R1605" t="s">
        <v>3543</v>
      </c>
    </row>
    <row r="1606" spans="1:20" x14ac:dyDescent="0.25">
      <c r="A1606" t="s">
        <v>14</v>
      </c>
      <c r="B1606" t="s">
        <v>916</v>
      </c>
      <c r="C1606" t="s">
        <v>4412</v>
      </c>
      <c r="D1606" t="s">
        <v>4424</v>
      </c>
      <c r="E1606">
        <v>47300046647</v>
      </c>
      <c r="F1606" t="s">
        <v>16</v>
      </c>
      <c r="G1606" t="s">
        <v>87</v>
      </c>
      <c r="H1606" t="s">
        <v>100</v>
      </c>
      <c r="K1606" t="s">
        <v>3536</v>
      </c>
      <c r="L1606" t="s">
        <v>47</v>
      </c>
      <c r="N1606" s="2">
        <v>45541</v>
      </c>
      <c r="O1606" s="2">
        <v>45539</v>
      </c>
      <c r="P1606">
        <v>64912.4</v>
      </c>
      <c r="Q1606">
        <v>64912.4</v>
      </c>
      <c r="R1606" t="s">
        <v>3080</v>
      </c>
    </row>
    <row r="1607" spans="1:20" x14ac:dyDescent="0.25">
      <c r="A1607" t="s">
        <v>14</v>
      </c>
      <c r="B1607" t="s">
        <v>916</v>
      </c>
      <c r="C1607" t="s">
        <v>4376</v>
      </c>
      <c r="D1607" t="s">
        <v>4377</v>
      </c>
      <c r="E1607">
        <v>47300046647</v>
      </c>
      <c r="F1607" t="s">
        <v>16</v>
      </c>
      <c r="G1607" t="s">
        <v>87</v>
      </c>
      <c r="H1607" t="s">
        <v>100</v>
      </c>
      <c r="K1607" t="s">
        <v>3294</v>
      </c>
      <c r="L1607" t="s">
        <v>19</v>
      </c>
      <c r="M1607" t="s">
        <v>46</v>
      </c>
      <c r="N1607" s="2">
        <v>45536</v>
      </c>
      <c r="O1607" s="2">
        <v>45565</v>
      </c>
      <c r="P1607">
        <v>500</v>
      </c>
      <c r="Q1607">
        <v>500</v>
      </c>
      <c r="R1607" t="s">
        <v>3080</v>
      </c>
    </row>
    <row r="1608" spans="1:20" x14ac:dyDescent="0.25">
      <c r="A1608" t="s">
        <v>14</v>
      </c>
      <c r="B1608" t="s">
        <v>916</v>
      </c>
      <c r="C1608" t="s">
        <v>4408</v>
      </c>
      <c r="D1608" t="s">
        <v>4407</v>
      </c>
      <c r="E1608">
        <v>47300046647</v>
      </c>
      <c r="F1608" t="s">
        <v>16</v>
      </c>
      <c r="G1608" t="s">
        <v>87</v>
      </c>
      <c r="H1608" t="s">
        <v>100</v>
      </c>
      <c r="K1608" t="s">
        <v>2892</v>
      </c>
      <c r="L1608" t="s">
        <v>19</v>
      </c>
      <c r="M1608" t="s">
        <v>46</v>
      </c>
      <c r="N1608" s="2">
        <v>45536</v>
      </c>
      <c r="O1608" s="2">
        <v>45565</v>
      </c>
      <c r="P1608">
        <v>10000</v>
      </c>
      <c r="Q1608">
        <v>10000</v>
      </c>
      <c r="R1608" t="s">
        <v>3080</v>
      </c>
    </row>
    <row r="1609" spans="1:20" x14ac:dyDescent="0.25">
      <c r="A1609" t="s">
        <v>14</v>
      </c>
      <c r="B1609" t="s">
        <v>915</v>
      </c>
      <c r="C1609" t="s">
        <v>4398</v>
      </c>
      <c r="D1609" t="s">
        <v>4399</v>
      </c>
      <c r="E1609">
        <v>47300046316</v>
      </c>
      <c r="F1609" t="s">
        <v>42</v>
      </c>
      <c r="G1609" t="s">
        <v>28</v>
      </c>
      <c r="H1609" t="s">
        <v>69</v>
      </c>
      <c r="K1609" t="s">
        <v>3536</v>
      </c>
      <c r="L1609" t="s">
        <v>47</v>
      </c>
      <c r="N1609" s="2">
        <v>45541</v>
      </c>
      <c r="O1609" s="2">
        <v>45539</v>
      </c>
      <c r="P1609">
        <v>64912.4</v>
      </c>
      <c r="Q1609">
        <v>64912.4</v>
      </c>
      <c r="R1609" t="s">
        <v>3447</v>
      </c>
    </row>
    <row r="1610" spans="1:20" x14ac:dyDescent="0.25">
      <c r="A1610" t="s">
        <v>14</v>
      </c>
      <c r="B1610" t="s">
        <v>915</v>
      </c>
      <c r="C1610" t="s">
        <v>4406</v>
      </c>
      <c r="D1610" t="s">
        <v>4394</v>
      </c>
      <c r="E1610">
        <v>47300046316</v>
      </c>
      <c r="F1610" t="s">
        <v>42</v>
      </c>
      <c r="G1610" t="s">
        <v>28</v>
      </c>
      <c r="H1610" t="s">
        <v>69</v>
      </c>
      <c r="K1610" t="s">
        <v>3294</v>
      </c>
      <c r="L1610" t="s">
        <v>19</v>
      </c>
      <c r="M1610" t="s">
        <v>46</v>
      </c>
      <c r="N1610" s="2">
        <v>45536</v>
      </c>
      <c r="O1610" s="2">
        <v>45565</v>
      </c>
      <c r="P1610">
        <v>500</v>
      </c>
      <c r="Q1610">
        <v>500</v>
      </c>
      <c r="R1610" t="s">
        <v>3447</v>
      </c>
    </row>
    <row r="1611" spans="1:20" x14ac:dyDescent="0.25">
      <c r="A1611" t="s">
        <v>14</v>
      </c>
      <c r="B1611" t="s">
        <v>914</v>
      </c>
      <c r="C1611" t="s">
        <v>4382</v>
      </c>
      <c r="D1611" t="s">
        <v>4383</v>
      </c>
      <c r="E1611">
        <v>47300046746</v>
      </c>
      <c r="F1611" t="s">
        <v>16</v>
      </c>
      <c r="G1611" t="s">
        <v>28</v>
      </c>
      <c r="H1611" t="s">
        <v>32</v>
      </c>
      <c r="K1611" t="s">
        <v>3536</v>
      </c>
      <c r="L1611" t="s">
        <v>47</v>
      </c>
      <c r="N1611" s="2">
        <v>45541</v>
      </c>
      <c r="O1611" s="2">
        <v>45539</v>
      </c>
      <c r="P1611">
        <v>64912.4</v>
      </c>
      <c r="Q1611">
        <v>64912.4</v>
      </c>
      <c r="R1611" t="s">
        <v>3544</v>
      </c>
    </row>
    <row r="1612" spans="1:20" x14ac:dyDescent="0.25">
      <c r="A1612" t="s">
        <v>14</v>
      </c>
      <c r="B1612" t="s">
        <v>912</v>
      </c>
      <c r="C1612" t="s">
        <v>4378</v>
      </c>
      <c r="D1612" t="s">
        <v>4379</v>
      </c>
      <c r="E1612">
        <v>47300026094</v>
      </c>
      <c r="F1612" t="s">
        <v>35</v>
      </c>
      <c r="G1612" t="s">
        <v>36</v>
      </c>
      <c r="H1612" t="s">
        <v>4359</v>
      </c>
      <c r="K1612" t="s">
        <v>4266</v>
      </c>
      <c r="L1612" t="s">
        <v>19</v>
      </c>
      <c r="M1612" t="s">
        <v>63</v>
      </c>
      <c r="N1612" s="2">
        <v>45536</v>
      </c>
      <c r="O1612" s="2">
        <v>45565</v>
      </c>
      <c r="P1612">
        <v>50000</v>
      </c>
      <c r="Q1612">
        <v>50000</v>
      </c>
      <c r="R1612" t="s">
        <v>3448</v>
      </c>
      <c r="S1612" t="s">
        <v>913</v>
      </c>
      <c r="T1612">
        <v>208.2</v>
      </c>
    </row>
    <row r="1613" spans="1:20" x14ac:dyDescent="0.25">
      <c r="A1613" t="s">
        <v>14</v>
      </c>
      <c r="B1613" t="s">
        <v>912</v>
      </c>
      <c r="C1613" t="s">
        <v>4389</v>
      </c>
      <c r="D1613" t="s">
        <v>4390</v>
      </c>
      <c r="E1613">
        <v>47300026094</v>
      </c>
      <c r="F1613" t="s">
        <v>35</v>
      </c>
      <c r="G1613" t="s">
        <v>36</v>
      </c>
      <c r="H1613" t="s">
        <v>4359</v>
      </c>
      <c r="K1613" t="s">
        <v>3294</v>
      </c>
      <c r="L1613" t="s">
        <v>19</v>
      </c>
      <c r="M1613" t="s">
        <v>46</v>
      </c>
      <c r="N1613" s="2">
        <v>45536</v>
      </c>
      <c r="O1613" s="2">
        <v>45565</v>
      </c>
      <c r="P1613">
        <v>500</v>
      </c>
      <c r="Q1613">
        <v>500</v>
      </c>
      <c r="R1613" t="s">
        <v>3448</v>
      </c>
    </row>
    <row r="1614" spans="1:20" x14ac:dyDescent="0.25">
      <c r="A1614" t="s">
        <v>14</v>
      </c>
      <c r="B1614" t="s">
        <v>911</v>
      </c>
      <c r="C1614" t="s">
        <v>4384</v>
      </c>
      <c r="D1614" t="s">
        <v>4385</v>
      </c>
      <c r="E1614">
        <v>47300070522</v>
      </c>
      <c r="F1614" t="s">
        <v>16</v>
      </c>
      <c r="G1614" t="s">
        <v>17</v>
      </c>
      <c r="H1614" t="s">
        <v>18</v>
      </c>
      <c r="K1614" t="s">
        <v>3536</v>
      </c>
      <c r="L1614" t="s">
        <v>47</v>
      </c>
      <c r="N1614" s="2">
        <v>45541</v>
      </c>
      <c r="O1614" s="2">
        <v>45539</v>
      </c>
      <c r="P1614">
        <v>64912.4</v>
      </c>
      <c r="Q1614">
        <v>64912.4</v>
      </c>
      <c r="R1614" t="s">
        <v>3545</v>
      </c>
    </row>
    <row r="1615" spans="1:20" x14ac:dyDescent="0.25">
      <c r="A1615" t="s">
        <v>14</v>
      </c>
      <c r="B1615" t="s">
        <v>910</v>
      </c>
      <c r="C1615" t="s">
        <v>4417</v>
      </c>
      <c r="D1615" t="s">
        <v>4397</v>
      </c>
      <c r="E1615">
        <v>47300047280</v>
      </c>
      <c r="F1615" t="s">
        <v>16</v>
      </c>
      <c r="G1615" t="s">
        <v>28</v>
      </c>
      <c r="H1615" t="s">
        <v>274</v>
      </c>
      <c r="K1615" t="s">
        <v>3536</v>
      </c>
      <c r="L1615" t="s">
        <v>47</v>
      </c>
      <c r="N1615" s="2">
        <v>45541</v>
      </c>
      <c r="O1615" s="2">
        <v>45539</v>
      </c>
      <c r="P1615">
        <v>64912.4</v>
      </c>
      <c r="Q1615">
        <v>64912.4</v>
      </c>
      <c r="R1615" t="s">
        <v>2773</v>
      </c>
    </row>
    <row r="1616" spans="1:20" x14ac:dyDescent="0.25">
      <c r="A1616" t="s">
        <v>14</v>
      </c>
      <c r="B1616" t="s">
        <v>910</v>
      </c>
      <c r="C1616" t="s">
        <v>4417</v>
      </c>
      <c r="D1616" t="s">
        <v>4397</v>
      </c>
      <c r="E1616">
        <v>47300047280</v>
      </c>
      <c r="F1616" t="s">
        <v>16</v>
      </c>
      <c r="G1616" t="s">
        <v>28</v>
      </c>
      <c r="H1616" t="s">
        <v>274</v>
      </c>
      <c r="K1616" t="s">
        <v>3291</v>
      </c>
      <c r="L1616" t="s">
        <v>47</v>
      </c>
      <c r="N1616" s="2">
        <v>45505</v>
      </c>
      <c r="O1616" s="2">
        <v>45535</v>
      </c>
      <c r="P1616">
        <v>500</v>
      </c>
      <c r="Q1616">
        <v>500</v>
      </c>
      <c r="R1616" t="s">
        <v>2773</v>
      </c>
    </row>
    <row r="1617" spans="1:20" x14ac:dyDescent="0.25">
      <c r="A1617" t="s">
        <v>14</v>
      </c>
      <c r="B1617" t="s">
        <v>910</v>
      </c>
      <c r="C1617" t="s">
        <v>4374</v>
      </c>
      <c r="D1617" t="s">
        <v>4375</v>
      </c>
      <c r="E1617">
        <v>47300047280</v>
      </c>
      <c r="F1617" t="s">
        <v>16</v>
      </c>
      <c r="G1617" t="s">
        <v>28</v>
      </c>
      <c r="H1617" t="s">
        <v>274</v>
      </c>
      <c r="K1617" t="s">
        <v>3286</v>
      </c>
      <c r="L1617" t="s">
        <v>47</v>
      </c>
      <c r="N1617" s="2">
        <v>45474</v>
      </c>
      <c r="O1617" s="2">
        <v>45504</v>
      </c>
      <c r="P1617">
        <v>500</v>
      </c>
      <c r="Q1617">
        <v>500</v>
      </c>
      <c r="R1617" t="s">
        <v>2773</v>
      </c>
    </row>
    <row r="1618" spans="1:20" x14ac:dyDescent="0.25">
      <c r="A1618" t="s">
        <v>14</v>
      </c>
      <c r="B1618" t="s">
        <v>910</v>
      </c>
      <c r="C1618" t="s">
        <v>4364</v>
      </c>
      <c r="D1618" t="s">
        <v>4358</v>
      </c>
      <c r="E1618">
        <v>47300047280</v>
      </c>
      <c r="F1618" t="s">
        <v>16</v>
      </c>
      <c r="G1618" t="s">
        <v>28</v>
      </c>
      <c r="H1618" t="s">
        <v>274</v>
      </c>
      <c r="K1618" t="s">
        <v>2890</v>
      </c>
      <c r="L1618" t="s">
        <v>47</v>
      </c>
      <c r="N1618" s="2">
        <v>45505</v>
      </c>
      <c r="O1618" s="2">
        <v>45535</v>
      </c>
      <c r="P1618">
        <v>10000</v>
      </c>
      <c r="Q1618">
        <v>10000</v>
      </c>
      <c r="R1618" t="s">
        <v>2773</v>
      </c>
    </row>
    <row r="1619" spans="1:20" x14ac:dyDescent="0.25">
      <c r="A1619" t="s">
        <v>14</v>
      </c>
      <c r="B1619" t="s">
        <v>910</v>
      </c>
      <c r="C1619" t="s">
        <v>4380</v>
      </c>
      <c r="D1619" t="s">
        <v>4381</v>
      </c>
      <c r="E1619">
        <v>47300047280</v>
      </c>
      <c r="F1619" t="s">
        <v>16</v>
      </c>
      <c r="G1619" t="s">
        <v>28</v>
      </c>
      <c r="H1619" t="s">
        <v>274</v>
      </c>
      <c r="K1619" t="s">
        <v>2887</v>
      </c>
      <c r="L1619" t="s">
        <v>47</v>
      </c>
      <c r="N1619" s="2">
        <v>45474</v>
      </c>
      <c r="O1619" s="2">
        <v>45504</v>
      </c>
      <c r="P1619">
        <v>10000</v>
      </c>
      <c r="Q1619">
        <v>10000</v>
      </c>
      <c r="R1619" t="s">
        <v>2773</v>
      </c>
    </row>
    <row r="1620" spans="1:20" x14ac:dyDescent="0.25">
      <c r="A1620" t="s">
        <v>14</v>
      </c>
      <c r="B1620" t="s">
        <v>910</v>
      </c>
      <c r="C1620" t="s">
        <v>4417</v>
      </c>
      <c r="D1620" t="s">
        <v>4397</v>
      </c>
      <c r="E1620">
        <v>47300047280</v>
      </c>
      <c r="F1620" t="s">
        <v>16</v>
      </c>
      <c r="G1620" t="s">
        <v>28</v>
      </c>
      <c r="H1620" t="s">
        <v>274</v>
      </c>
      <c r="K1620" t="s">
        <v>2760</v>
      </c>
      <c r="L1620" t="s">
        <v>47</v>
      </c>
      <c r="N1620" s="2">
        <v>45534</v>
      </c>
      <c r="O1620" s="2">
        <v>45532</v>
      </c>
      <c r="P1620">
        <v>237681.39</v>
      </c>
      <c r="Q1620">
        <v>237681.39</v>
      </c>
      <c r="R1620" t="s">
        <v>2773</v>
      </c>
    </row>
    <row r="1621" spans="1:20" x14ac:dyDescent="0.25">
      <c r="A1621" t="s">
        <v>14</v>
      </c>
      <c r="B1621" t="s">
        <v>909</v>
      </c>
      <c r="C1621" t="s">
        <v>4417</v>
      </c>
      <c r="D1621" t="s">
        <v>4397</v>
      </c>
      <c r="E1621">
        <v>47300046605</v>
      </c>
      <c r="F1621" t="s">
        <v>16</v>
      </c>
      <c r="G1621" t="s">
        <v>17</v>
      </c>
      <c r="H1621" t="s">
        <v>49</v>
      </c>
      <c r="K1621" t="s">
        <v>3536</v>
      </c>
      <c r="L1621" t="s">
        <v>47</v>
      </c>
      <c r="N1621" s="2">
        <v>45541</v>
      </c>
      <c r="O1621" s="2">
        <v>45539</v>
      </c>
      <c r="P1621">
        <v>64912.4</v>
      </c>
      <c r="Q1621">
        <v>64912.4</v>
      </c>
      <c r="R1621" t="s">
        <v>3546</v>
      </c>
    </row>
    <row r="1622" spans="1:20" x14ac:dyDescent="0.25">
      <c r="A1622" t="s">
        <v>14</v>
      </c>
      <c r="B1622" t="s">
        <v>908</v>
      </c>
      <c r="C1622" t="s">
        <v>4417</v>
      </c>
      <c r="D1622" t="s">
        <v>4397</v>
      </c>
      <c r="E1622">
        <v>47300070704</v>
      </c>
      <c r="F1622" t="s">
        <v>16</v>
      </c>
      <c r="G1622" t="s">
        <v>28</v>
      </c>
      <c r="H1622" t="s">
        <v>146</v>
      </c>
      <c r="K1622" t="s">
        <v>3536</v>
      </c>
      <c r="L1622" t="s">
        <v>47</v>
      </c>
      <c r="N1622" s="2">
        <v>45541</v>
      </c>
      <c r="O1622" s="2">
        <v>45539</v>
      </c>
      <c r="P1622">
        <v>64912.4</v>
      </c>
      <c r="Q1622">
        <v>64912.4</v>
      </c>
      <c r="R1622" t="s">
        <v>3547</v>
      </c>
    </row>
    <row r="1623" spans="1:20" x14ac:dyDescent="0.25">
      <c r="A1623" t="s">
        <v>14</v>
      </c>
      <c r="B1623" t="s">
        <v>907</v>
      </c>
      <c r="C1623" t="s">
        <v>4417</v>
      </c>
      <c r="D1623" t="s">
        <v>4397</v>
      </c>
      <c r="E1623">
        <v>47300070795</v>
      </c>
      <c r="F1623" t="s">
        <v>16</v>
      </c>
      <c r="G1623" t="s">
        <v>87</v>
      </c>
      <c r="H1623" t="s">
        <v>88</v>
      </c>
      <c r="K1623" t="s">
        <v>3536</v>
      </c>
      <c r="L1623" t="s">
        <v>47</v>
      </c>
      <c r="N1623" s="2">
        <v>45541</v>
      </c>
      <c r="O1623" s="2">
        <v>45539</v>
      </c>
      <c r="P1623">
        <v>64912.4</v>
      </c>
      <c r="Q1623">
        <v>64912.4</v>
      </c>
      <c r="R1623" t="s">
        <v>3548</v>
      </c>
    </row>
    <row r="1624" spans="1:20" x14ac:dyDescent="0.25">
      <c r="A1624" t="s">
        <v>14</v>
      </c>
      <c r="B1624" t="s">
        <v>905</v>
      </c>
      <c r="C1624" t="s">
        <v>4389</v>
      </c>
      <c r="D1624" t="s">
        <v>4375</v>
      </c>
      <c r="E1624">
        <v>47300046241</v>
      </c>
      <c r="F1624" t="s">
        <v>16</v>
      </c>
      <c r="G1624" t="s">
        <v>23</v>
      </c>
      <c r="H1624" t="s">
        <v>24</v>
      </c>
      <c r="I1624" t="s">
        <v>2754</v>
      </c>
      <c r="J1624">
        <v>0</v>
      </c>
      <c r="K1624" t="s">
        <v>4266</v>
      </c>
      <c r="L1624" t="s">
        <v>19</v>
      </c>
      <c r="M1624" t="s">
        <v>63</v>
      </c>
      <c r="N1624" s="2">
        <v>45536</v>
      </c>
      <c r="O1624" s="2">
        <v>45565</v>
      </c>
      <c r="P1624">
        <v>30000</v>
      </c>
      <c r="Q1624">
        <v>30000</v>
      </c>
      <c r="R1624" t="s">
        <v>3081</v>
      </c>
      <c r="S1624" t="s">
        <v>906</v>
      </c>
      <c r="T1624">
        <v>124.9</v>
      </c>
    </row>
    <row r="1625" spans="1:20" x14ac:dyDescent="0.25">
      <c r="A1625" t="s">
        <v>14</v>
      </c>
      <c r="B1625" t="s">
        <v>905</v>
      </c>
      <c r="C1625" t="s">
        <v>4394</v>
      </c>
      <c r="D1625" t="s">
        <v>4395</v>
      </c>
      <c r="E1625">
        <v>47300046241</v>
      </c>
      <c r="F1625" t="s">
        <v>16</v>
      </c>
      <c r="G1625" t="s">
        <v>23</v>
      </c>
      <c r="H1625" t="s">
        <v>24</v>
      </c>
      <c r="I1625" t="s">
        <v>2754</v>
      </c>
      <c r="J1625">
        <v>0</v>
      </c>
      <c r="K1625" t="s">
        <v>3536</v>
      </c>
      <c r="L1625" t="s">
        <v>47</v>
      </c>
      <c r="N1625" s="2">
        <v>45541</v>
      </c>
      <c r="O1625" s="2">
        <v>45539</v>
      </c>
      <c r="P1625">
        <v>64912.4</v>
      </c>
      <c r="Q1625">
        <v>64912.4</v>
      </c>
      <c r="R1625" t="s">
        <v>3081</v>
      </c>
    </row>
    <row r="1626" spans="1:20" x14ac:dyDescent="0.25">
      <c r="A1626" t="s">
        <v>14</v>
      </c>
      <c r="B1626" t="s">
        <v>905</v>
      </c>
      <c r="C1626" t="s">
        <v>4376</v>
      </c>
      <c r="D1626" t="s">
        <v>4377</v>
      </c>
      <c r="E1626">
        <v>47300046241</v>
      </c>
      <c r="F1626" t="s">
        <v>16</v>
      </c>
      <c r="G1626" t="s">
        <v>23</v>
      </c>
      <c r="H1626" t="s">
        <v>24</v>
      </c>
      <c r="I1626" t="s">
        <v>2754</v>
      </c>
      <c r="J1626">
        <v>0</v>
      </c>
      <c r="K1626" t="s">
        <v>3294</v>
      </c>
      <c r="L1626" t="s">
        <v>19</v>
      </c>
      <c r="M1626" t="s">
        <v>46</v>
      </c>
      <c r="N1626" s="2">
        <v>45536</v>
      </c>
      <c r="O1626" s="2">
        <v>45565</v>
      </c>
      <c r="P1626">
        <v>500</v>
      </c>
      <c r="Q1626">
        <v>500</v>
      </c>
      <c r="R1626" t="s">
        <v>3081</v>
      </c>
    </row>
    <row r="1627" spans="1:20" x14ac:dyDescent="0.25">
      <c r="A1627" t="s">
        <v>14</v>
      </c>
      <c r="B1627" t="s">
        <v>905</v>
      </c>
      <c r="C1627" t="s">
        <v>4389</v>
      </c>
      <c r="D1627" t="s">
        <v>4375</v>
      </c>
      <c r="E1627">
        <v>47300046241</v>
      </c>
      <c r="F1627" t="s">
        <v>16</v>
      </c>
      <c r="G1627" t="s">
        <v>23</v>
      </c>
      <c r="H1627" t="s">
        <v>24</v>
      </c>
      <c r="I1627" t="s">
        <v>2754</v>
      </c>
      <c r="J1627">
        <v>0</v>
      </c>
      <c r="K1627" t="s">
        <v>2892</v>
      </c>
      <c r="L1627" t="s">
        <v>19</v>
      </c>
      <c r="M1627" t="s">
        <v>46</v>
      </c>
      <c r="N1627" s="2">
        <v>45536</v>
      </c>
      <c r="O1627" s="2">
        <v>45565</v>
      </c>
      <c r="P1627">
        <v>10000</v>
      </c>
      <c r="Q1627">
        <v>10000</v>
      </c>
      <c r="R1627" t="s">
        <v>3081</v>
      </c>
    </row>
    <row r="1628" spans="1:20" x14ac:dyDescent="0.25">
      <c r="A1628" t="s">
        <v>14</v>
      </c>
      <c r="B1628" t="s">
        <v>904</v>
      </c>
      <c r="C1628" t="s">
        <v>4394</v>
      </c>
      <c r="D1628" t="s">
        <v>4395</v>
      </c>
      <c r="E1628">
        <v>47300070514</v>
      </c>
      <c r="F1628" t="s">
        <v>27</v>
      </c>
      <c r="G1628" t="s">
        <v>28</v>
      </c>
      <c r="H1628" t="s">
        <v>29</v>
      </c>
      <c r="K1628" t="s">
        <v>3536</v>
      </c>
      <c r="L1628" t="s">
        <v>47</v>
      </c>
      <c r="N1628" s="2">
        <v>45541</v>
      </c>
      <c r="O1628" s="2">
        <v>45539</v>
      </c>
      <c r="P1628">
        <v>64912.4</v>
      </c>
      <c r="Q1628">
        <v>64912.4</v>
      </c>
      <c r="R1628" t="s">
        <v>3449</v>
      </c>
    </row>
    <row r="1629" spans="1:20" x14ac:dyDescent="0.25">
      <c r="A1629" t="s">
        <v>14</v>
      </c>
      <c r="B1629" t="s">
        <v>904</v>
      </c>
      <c r="C1629" t="s">
        <v>4389</v>
      </c>
      <c r="D1629" t="s">
        <v>4375</v>
      </c>
      <c r="E1629">
        <v>47300070514</v>
      </c>
      <c r="F1629" t="s">
        <v>27</v>
      </c>
      <c r="G1629" t="s">
        <v>28</v>
      </c>
      <c r="H1629" t="s">
        <v>29</v>
      </c>
      <c r="K1629" t="s">
        <v>3294</v>
      </c>
      <c r="L1629" t="s">
        <v>19</v>
      </c>
      <c r="M1629" t="s">
        <v>46</v>
      </c>
      <c r="N1629" s="2">
        <v>45536</v>
      </c>
      <c r="O1629" s="2">
        <v>45565</v>
      </c>
      <c r="P1629">
        <v>500</v>
      </c>
      <c r="Q1629">
        <v>500</v>
      </c>
      <c r="R1629" t="s">
        <v>3449</v>
      </c>
    </row>
    <row r="1630" spans="1:20" x14ac:dyDescent="0.25">
      <c r="A1630" t="s">
        <v>14</v>
      </c>
      <c r="B1630" t="s">
        <v>902</v>
      </c>
      <c r="C1630" t="s">
        <v>4394</v>
      </c>
      <c r="D1630" t="s">
        <v>4395</v>
      </c>
      <c r="E1630">
        <v>47300070514</v>
      </c>
      <c r="F1630" t="s">
        <v>27</v>
      </c>
      <c r="G1630" t="s">
        <v>28</v>
      </c>
      <c r="H1630" t="s">
        <v>29</v>
      </c>
      <c r="K1630" t="s">
        <v>4266</v>
      </c>
      <c r="L1630" t="s">
        <v>19</v>
      </c>
      <c r="M1630" t="s">
        <v>63</v>
      </c>
      <c r="N1630" s="2">
        <v>45536</v>
      </c>
      <c r="O1630" s="2">
        <v>45565</v>
      </c>
      <c r="P1630">
        <v>100000</v>
      </c>
      <c r="Q1630">
        <v>100000</v>
      </c>
      <c r="R1630" t="s">
        <v>4302</v>
      </c>
      <c r="S1630" t="s">
        <v>903</v>
      </c>
      <c r="T1630">
        <v>416.3</v>
      </c>
    </row>
    <row r="1631" spans="1:20" x14ac:dyDescent="0.25">
      <c r="A1631" t="s">
        <v>14</v>
      </c>
      <c r="B1631" t="s">
        <v>900</v>
      </c>
      <c r="C1631" t="s">
        <v>4394</v>
      </c>
      <c r="D1631" t="s">
        <v>4395</v>
      </c>
      <c r="E1631">
        <v>47300046720</v>
      </c>
      <c r="F1631" t="s">
        <v>16</v>
      </c>
      <c r="G1631" t="s">
        <v>28</v>
      </c>
      <c r="H1631" t="s">
        <v>143</v>
      </c>
      <c r="K1631" t="s">
        <v>4266</v>
      </c>
      <c r="L1631" t="s">
        <v>19</v>
      </c>
      <c r="M1631" t="s">
        <v>63</v>
      </c>
      <c r="N1631" s="2">
        <v>45536</v>
      </c>
      <c r="O1631" s="2">
        <v>45565</v>
      </c>
      <c r="P1631">
        <v>50000</v>
      </c>
      <c r="Q1631">
        <v>50000</v>
      </c>
      <c r="R1631" t="s">
        <v>4303</v>
      </c>
      <c r="S1631" t="s">
        <v>901</v>
      </c>
      <c r="T1631">
        <v>208.1</v>
      </c>
    </row>
    <row r="1632" spans="1:20" x14ac:dyDescent="0.25">
      <c r="A1632" t="s">
        <v>14</v>
      </c>
      <c r="B1632" t="s">
        <v>899</v>
      </c>
      <c r="C1632" t="s">
        <v>4398</v>
      </c>
      <c r="D1632" t="s">
        <v>4399</v>
      </c>
      <c r="E1632">
        <v>47300046779</v>
      </c>
      <c r="F1632" t="s">
        <v>42</v>
      </c>
      <c r="G1632" t="s">
        <v>28</v>
      </c>
      <c r="H1632" t="s">
        <v>199</v>
      </c>
      <c r="K1632" t="s">
        <v>2892</v>
      </c>
      <c r="L1632" t="s">
        <v>19</v>
      </c>
      <c r="M1632" t="s">
        <v>46</v>
      </c>
      <c r="N1632" s="2">
        <v>45536</v>
      </c>
      <c r="O1632" s="2">
        <v>45565</v>
      </c>
      <c r="P1632">
        <v>10000</v>
      </c>
      <c r="Q1632">
        <v>10000</v>
      </c>
      <c r="R1632" t="s">
        <v>3082</v>
      </c>
    </row>
    <row r="1633" spans="1:20" x14ac:dyDescent="0.25">
      <c r="A1633" t="s">
        <v>14</v>
      </c>
      <c r="B1633" t="s">
        <v>898</v>
      </c>
      <c r="C1633" t="s">
        <v>4402</v>
      </c>
      <c r="D1633" t="s">
        <v>4403</v>
      </c>
      <c r="E1633">
        <v>47300070845</v>
      </c>
      <c r="F1633" t="s">
        <v>16</v>
      </c>
      <c r="G1633" t="s">
        <v>23</v>
      </c>
      <c r="H1633" t="s">
        <v>157</v>
      </c>
      <c r="K1633" t="s">
        <v>3536</v>
      </c>
      <c r="L1633" t="s">
        <v>47</v>
      </c>
      <c r="N1633" s="2">
        <v>45541</v>
      </c>
      <c r="O1633" s="2">
        <v>45539</v>
      </c>
      <c r="P1633">
        <v>64912.4</v>
      </c>
      <c r="Q1633">
        <v>64912.4</v>
      </c>
      <c r="R1633" t="s">
        <v>3083</v>
      </c>
    </row>
    <row r="1634" spans="1:20" x14ac:dyDescent="0.25">
      <c r="A1634" t="s">
        <v>14</v>
      </c>
      <c r="B1634" t="s">
        <v>898</v>
      </c>
      <c r="C1634" t="s">
        <v>4398</v>
      </c>
      <c r="D1634" t="s">
        <v>4399</v>
      </c>
      <c r="E1634">
        <v>47300070845</v>
      </c>
      <c r="F1634" t="s">
        <v>16</v>
      </c>
      <c r="G1634" t="s">
        <v>23</v>
      </c>
      <c r="H1634" t="s">
        <v>157</v>
      </c>
      <c r="K1634" t="s">
        <v>3294</v>
      </c>
      <c r="L1634" t="s">
        <v>19</v>
      </c>
      <c r="M1634" t="s">
        <v>46</v>
      </c>
      <c r="N1634" s="2">
        <v>45536</v>
      </c>
      <c r="O1634" s="2">
        <v>45565</v>
      </c>
      <c r="P1634">
        <v>500</v>
      </c>
      <c r="Q1634">
        <v>500</v>
      </c>
      <c r="R1634" t="s">
        <v>3083</v>
      </c>
    </row>
    <row r="1635" spans="1:20" x14ac:dyDescent="0.25">
      <c r="A1635" t="s">
        <v>14</v>
      </c>
      <c r="B1635" t="s">
        <v>898</v>
      </c>
      <c r="C1635" t="s">
        <v>4371</v>
      </c>
      <c r="D1635" t="s">
        <v>4368</v>
      </c>
      <c r="E1635">
        <v>47300070845</v>
      </c>
      <c r="F1635" t="s">
        <v>16</v>
      </c>
      <c r="G1635" t="s">
        <v>23</v>
      </c>
      <c r="H1635" t="s">
        <v>157</v>
      </c>
      <c r="K1635" t="s">
        <v>2892</v>
      </c>
      <c r="L1635" t="s">
        <v>19</v>
      </c>
      <c r="M1635" t="s">
        <v>46</v>
      </c>
      <c r="N1635" s="2">
        <v>45536</v>
      </c>
      <c r="O1635" s="2">
        <v>45565</v>
      </c>
      <c r="P1635">
        <v>10000</v>
      </c>
      <c r="Q1635">
        <v>10000</v>
      </c>
      <c r="R1635" t="s">
        <v>3083</v>
      </c>
    </row>
    <row r="1636" spans="1:20" x14ac:dyDescent="0.25">
      <c r="A1636" t="s">
        <v>14</v>
      </c>
      <c r="B1636" t="s">
        <v>896</v>
      </c>
      <c r="C1636" t="s">
        <v>4405</v>
      </c>
      <c r="D1636" t="s">
        <v>4390</v>
      </c>
      <c r="E1636">
        <v>47300025708</v>
      </c>
      <c r="F1636" t="s">
        <v>35</v>
      </c>
      <c r="G1636" t="s">
        <v>36</v>
      </c>
      <c r="H1636" t="s">
        <v>4360</v>
      </c>
      <c r="K1636" t="s">
        <v>3795</v>
      </c>
      <c r="L1636" t="s">
        <v>19</v>
      </c>
      <c r="M1636" t="s">
        <v>20</v>
      </c>
      <c r="P1636">
        <v>100000</v>
      </c>
      <c r="Q1636">
        <v>100000</v>
      </c>
      <c r="R1636" t="s">
        <v>4032</v>
      </c>
      <c r="S1636" t="s">
        <v>897</v>
      </c>
      <c r="T1636">
        <v>416.3</v>
      </c>
    </row>
    <row r="1637" spans="1:20" x14ac:dyDescent="0.25">
      <c r="A1637" t="s">
        <v>14</v>
      </c>
      <c r="B1637" t="s">
        <v>895</v>
      </c>
      <c r="C1637" t="s">
        <v>4402</v>
      </c>
      <c r="D1637" t="s">
        <v>4403</v>
      </c>
      <c r="E1637">
        <v>47300070605</v>
      </c>
      <c r="F1637" t="s">
        <v>16</v>
      </c>
      <c r="G1637" t="s">
        <v>28</v>
      </c>
      <c r="H1637" t="s">
        <v>178</v>
      </c>
      <c r="K1637" t="s">
        <v>3536</v>
      </c>
      <c r="L1637" t="s">
        <v>47</v>
      </c>
      <c r="N1637" s="2">
        <v>45541</v>
      </c>
      <c r="O1637" s="2">
        <v>45539</v>
      </c>
      <c r="P1637">
        <v>64912.4</v>
      </c>
      <c r="Q1637">
        <v>64912.4</v>
      </c>
      <c r="R1637" t="s">
        <v>3549</v>
      </c>
    </row>
    <row r="1638" spans="1:20" x14ac:dyDescent="0.25">
      <c r="A1638" t="s">
        <v>14</v>
      </c>
      <c r="B1638" t="s">
        <v>893</v>
      </c>
      <c r="C1638" t="s">
        <v>4402</v>
      </c>
      <c r="D1638" t="s">
        <v>4403</v>
      </c>
      <c r="E1638">
        <v>47300046779</v>
      </c>
      <c r="F1638" t="s">
        <v>42</v>
      </c>
      <c r="G1638" t="s">
        <v>28</v>
      </c>
      <c r="H1638" t="s">
        <v>199</v>
      </c>
      <c r="K1638" t="s">
        <v>3795</v>
      </c>
      <c r="L1638" t="s">
        <v>19</v>
      </c>
      <c r="M1638" t="s">
        <v>20</v>
      </c>
      <c r="P1638">
        <v>100000</v>
      </c>
      <c r="Q1638">
        <v>100000</v>
      </c>
      <c r="R1638" t="s">
        <v>4033</v>
      </c>
      <c r="S1638" t="s">
        <v>894</v>
      </c>
      <c r="T1638">
        <v>416.3</v>
      </c>
    </row>
    <row r="1639" spans="1:20" x14ac:dyDescent="0.25">
      <c r="A1639" t="s">
        <v>14</v>
      </c>
      <c r="B1639" t="s">
        <v>891</v>
      </c>
      <c r="C1639" t="s">
        <v>4412</v>
      </c>
      <c r="D1639" t="s">
        <v>4377</v>
      </c>
      <c r="E1639">
        <v>47300070795</v>
      </c>
      <c r="F1639" t="s">
        <v>16</v>
      </c>
      <c r="G1639" t="s">
        <v>87</v>
      </c>
      <c r="H1639" t="s">
        <v>88</v>
      </c>
      <c r="K1639" t="s">
        <v>4266</v>
      </c>
      <c r="L1639" t="s">
        <v>19</v>
      </c>
      <c r="M1639" t="s">
        <v>63</v>
      </c>
      <c r="N1639" s="2">
        <v>45536</v>
      </c>
      <c r="O1639" s="2">
        <v>45565</v>
      </c>
      <c r="P1639">
        <v>50000</v>
      </c>
      <c r="Q1639">
        <v>50000</v>
      </c>
      <c r="R1639" t="s">
        <v>3084</v>
      </c>
      <c r="S1639" t="s">
        <v>892</v>
      </c>
      <c r="T1639">
        <v>208.1</v>
      </c>
    </row>
    <row r="1640" spans="1:20" x14ac:dyDescent="0.25">
      <c r="A1640" t="s">
        <v>14</v>
      </c>
      <c r="B1640" t="s">
        <v>891</v>
      </c>
      <c r="C1640" t="s">
        <v>4409</v>
      </c>
      <c r="D1640" t="s">
        <v>4410</v>
      </c>
      <c r="E1640">
        <v>47300070795</v>
      </c>
      <c r="F1640" t="s">
        <v>16</v>
      </c>
      <c r="G1640" t="s">
        <v>87</v>
      </c>
      <c r="H1640" t="s">
        <v>88</v>
      </c>
      <c r="K1640" t="s">
        <v>3294</v>
      </c>
      <c r="L1640" t="s">
        <v>19</v>
      </c>
      <c r="M1640" t="s">
        <v>46</v>
      </c>
      <c r="N1640" s="2">
        <v>45536</v>
      </c>
      <c r="O1640" s="2">
        <v>45565</v>
      </c>
      <c r="P1640">
        <v>500</v>
      </c>
      <c r="Q1640">
        <v>500</v>
      </c>
      <c r="R1640" t="s">
        <v>3084</v>
      </c>
    </row>
    <row r="1641" spans="1:20" x14ac:dyDescent="0.25">
      <c r="A1641" t="s">
        <v>14</v>
      </c>
      <c r="B1641" t="s">
        <v>891</v>
      </c>
      <c r="C1641" t="s">
        <v>4418</v>
      </c>
      <c r="D1641" t="s">
        <v>4368</v>
      </c>
      <c r="E1641">
        <v>47300070795</v>
      </c>
      <c r="F1641" t="s">
        <v>16</v>
      </c>
      <c r="G1641" t="s">
        <v>87</v>
      </c>
      <c r="H1641" t="s">
        <v>88</v>
      </c>
      <c r="K1641" t="s">
        <v>2892</v>
      </c>
      <c r="L1641" t="s">
        <v>19</v>
      </c>
      <c r="M1641" t="s">
        <v>46</v>
      </c>
      <c r="N1641" s="2">
        <v>45536</v>
      </c>
      <c r="O1641" s="2">
        <v>45565</v>
      </c>
      <c r="P1641">
        <v>10000</v>
      </c>
      <c r="Q1641">
        <v>10000</v>
      </c>
      <c r="R1641" t="s">
        <v>3084</v>
      </c>
    </row>
    <row r="1642" spans="1:20" x14ac:dyDescent="0.25">
      <c r="A1642" t="s">
        <v>14</v>
      </c>
      <c r="B1642" t="s">
        <v>889</v>
      </c>
      <c r="C1642" t="s">
        <v>3300</v>
      </c>
      <c r="D1642" t="s">
        <v>3299</v>
      </c>
      <c r="E1642">
        <v>47300070555</v>
      </c>
      <c r="F1642" t="s">
        <v>35</v>
      </c>
      <c r="G1642" t="s">
        <v>35</v>
      </c>
      <c r="H1642" t="s">
        <v>116</v>
      </c>
      <c r="K1642" t="s">
        <v>4266</v>
      </c>
      <c r="L1642" t="s">
        <v>19</v>
      </c>
      <c r="M1642" t="s">
        <v>63</v>
      </c>
      <c r="N1642" s="2">
        <v>45536</v>
      </c>
      <c r="O1642" s="2">
        <v>45565</v>
      </c>
      <c r="P1642">
        <v>50000</v>
      </c>
      <c r="Q1642">
        <v>50000</v>
      </c>
      <c r="R1642" t="s">
        <v>3450</v>
      </c>
      <c r="S1642" t="s">
        <v>890</v>
      </c>
      <c r="T1642">
        <v>208.1</v>
      </c>
    </row>
    <row r="1643" spans="1:20" x14ac:dyDescent="0.25">
      <c r="A1643" t="s">
        <v>14</v>
      </c>
      <c r="B1643" t="s">
        <v>889</v>
      </c>
      <c r="C1643" t="s">
        <v>4374</v>
      </c>
      <c r="D1643" t="s">
        <v>4375</v>
      </c>
      <c r="E1643">
        <v>47300070555</v>
      </c>
      <c r="F1643" t="s">
        <v>35</v>
      </c>
      <c r="G1643" t="s">
        <v>35</v>
      </c>
      <c r="H1643" t="s">
        <v>116</v>
      </c>
      <c r="K1643" t="s">
        <v>3294</v>
      </c>
      <c r="L1643" t="s">
        <v>19</v>
      </c>
      <c r="M1643" t="s">
        <v>46</v>
      </c>
      <c r="N1643" s="2">
        <v>45536</v>
      </c>
      <c r="O1643" s="2">
        <v>45565</v>
      </c>
      <c r="P1643">
        <v>500</v>
      </c>
      <c r="Q1643">
        <v>500</v>
      </c>
      <c r="R1643" t="s">
        <v>3450</v>
      </c>
    </row>
    <row r="1644" spans="1:20" x14ac:dyDescent="0.25">
      <c r="A1644" t="s">
        <v>14</v>
      </c>
      <c r="B1644" t="s">
        <v>887</v>
      </c>
      <c r="C1644" t="s">
        <v>4412</v>
      </c>
      <c r="D1644" t="s">
        <v>4377</v>
      </c>
      <c r="E1644">
        <v>47300012151</v>
      </c>
      <c r="F1644" t="s">
        <v>35</v>
      </c>
      <c r="G1644" t="s">
        <v>36</v>
      </c>
      <c r="H1644" t="s">
        <v>4362</v>
      </c>
      <c r="K1644" t="s">
        <v>4266</v>
      </c>
      <c r="L1644" t="s">
        <v>19</v>
      </c>
      <c r="M1644" t="s">
        <v>63</v>
      </c>
      <c r="N1644" s="2">
        <v>45536</v>
      </c>
      <c r="O1644" s="2">
        <v>45565</v>
      </c>
      <c r="P1644">
        <v>50000</v>
      </c>
      <c r="Q1644">
        <v>50000</v>
      </c>
      <c r="R1644" t="s">
        <v>3451</v>
      </c>
      <c r="S1644" t="s">
        <v>888</v>
      </c>
      <c r="T1644">
        <v>208.2</v>
      </c>
    </row>
    <row r="1645" spans="1:20" x14ac:dyDescent="0.25">
      <c r="A1645" t="s">
        <v>14</v>
      </c>
      <c r="B1645" t="s">
        <v>887</v>
      </c>
      <c r="C1645" t="s">
        <v>4409</v>
      </c>
      <c r="D1645" t="s">
        <v>4410</v>
      </c>
      <c r="E1645">
        <v>47300012151</v>
      </c>
      <c r="F1645" t="s">
        <v>35</v>
      </c>
      <c r="G1645" t="s">
        <v>36</v>
      </c>
      <c r="H1645" t="s">
        <v>4362</v>
      </c>
      <c r="K1645" t="s">
        <v>3294</v>
      </c>
      <c r="L1645" t="s">
        <v>19</v>
      </c>
      <c r="M1645" t="s">
        <v>46</v>
      </c>
      <c r="N1645" s="2">
        <v>45536</v>
      </c>
      <c r="O1645" s="2">
        <v>45565</v>
      </c>
      <c r="P1645">
        <v>500</v>
      </c>
      <c r="Q1645">
        <v>500</v>
      </c>
      <c r="R1645" t="s">
        <v>3451</v>
      </c>
    </row>
    <row r="1646" spans="1:20" x14ac:dyDescent="0.25">
      <c r="A1646" t="s">
        <v>14</v>
      </c>
      <c r="B1646" t="s">
        <v>885</v>
      </c>
      <c r="C1646" t="s">
        <v>4418</v>
      </c>
      <c r="D1646" t="s">
        <v>4368</v>
      </c>
      <c r="E1646">
        <v>47300026185</v>
      </c>
      <c r="F1646" t="s">
        <v>35</v>
      </c>
      <c r="G1646" t="s">
        <v>36</v>
      </c>
      <c r="H1646" t="s">
        <v>4361</v>
      </c>
      <c r="K1646" t="s">
        <v>4266</v>
      </c>
      <c r="L1646" t="s">
        <v>19</v>
      </c>
      <c r="M1646" t="s">
        <v>63</v>
      </c>
      <c r="N1646" s="2">
        <v>45536</v>
      </c>
      <c r="O1646" s="2">
        <v>45565</v>
      </c>
      <c r="P1646">
        <v>50000</v>
      </c>
      <c r="Q1646">
        <v>50000</v>
      </c>
      <c r="R1646" t="s">
        <v>3452</v>
      </c>
      <c r="S1646" t="s">
        <v>886</v>
      </c>
      <c r="T1646">
        <v>208.2</v>
      </c>
    </row>
    <row r="1647" spans="1:20" x14ac:dyDescent="0.25">
      <c r="A1647" t="s">
        <v>14</v>
      </c>
      <c r="B1647" t="s">
        <v>885</v>
      </c>
      <c r="C1647" t="s">
        <v>3300</v>
      </c>
      <c r="D1647" t="s">
        <v>3299</v>
      </c>
      <c r="E1647">
        <v>47300026185</v>
      </c>
      <c r="F1647" t="s">
        <v>35</v>
      </c>
      <c r="G1647" t="s">
        <v>36</v>
      </c>
      <c r="H1647" t="s">
        <v>4361</v>
      </c>
      <c r="K1647" t="s">
        <v>3294</v>
      </c>
      <c r="L1647" t="s">
        <v>19</v>
      </c>
      <c r="M1647" t="s">
        <v>46</v>
      </c>
      <c r="N1647" s="2">
        <v>45536</v>
      </c>
      <c r="O1647" s="2">
        <v>45565</v>
      </c>
      <c r="P1647">
        <v>500</v>
      </c>
      <c r="Q1647">
        <v>500</v>
      </c>
      <c r="R1647" t="s">
        <v>3452</v>
      </c>
    </row>
    <row r="1648" spans="1:20" x14ac:dyDescent="0.25">
      <c r="A1648" t="s">
        <v>14</v>
      </c>
      <c r="B1648" t="s">
        <v>883</v>
      </c>
      <c r="C1648" t="s">
        <v>4374</v>
      </c>
      <c r="D1648" t="s">
        <v>4375</v>
      </c>
      <c r="E1648">
        <v>47300046258</v>
      </c>
      <c r="F1648" t="s">
        <v>16</v>
      </c>
      <c r="G1648" t="s">
        <v>28</v>
      </c>
      <c r="H1648" t="s">
        <v>160</v>
      </c>
      <c r="K1648" t="s">
        <v>4266</v>
      </c>
      <c r="L1648" t="s">
        <v>19</v>
      </c>
      <c r="M1648" t="s">
        <v>63</v>
      </c>
      <c r="N1648" s="2">
        <v>45536</v>
      </c>
      <c r="O1648" s="2">
        <v>45565</v>
      </c>
      <c r="P1648">
        <v>50000</v>
      </c>
      <c r="Q1648">
        <v>50000</v>
      </c>
      <c r="R1648" t="s">
        <v>2774</v>
      </c>
      <c r="S1648" t="s">
        <v>884</v>
      </c>
      <c r="T1648">
        <v>208.2</v>
      </c>
    </row>
    <row r="1649" spans="1:20" x14ac:dyDescent="0.25">
      <c r="A1649" t="s">
        <v>14</v>
      </c>
      <c r="B1649" t="s">
        <v>883</v>
      </c>
      <c r="C1649" t="s">
        <v>4412</v>
      </c>
      <c r="D1649" t="s">
        <v>4377</v>
      </c>
      <c r="E1649">
        <v>47300046258</v>
      </c>
      <c r="F1649" t="s">
        <v>16</v>
      </c>
      <c r="G1649" t="s">
        <v>28</v>
      </c>
      <c r="H1649" t="s">
        <v>160</v>
      </c>
      <c r="K1649" t="s">
        <v>3536</v>
      </c>
      <c r="L1649" t="s">
        <v>47</v>
      </c>
      <c r="N1649" s="2">
        <v>45541</v>
      </c>
      <c r="O1649" s="2">
        <v>45539</v>
      </c>
      <c r="P1649">
        <v>64912.4</v>
      </c>
      <c r="Q1649">
        <v>64912.4</v>
      </c>
      <c r="R1649" t="s">
        <v>2774</v>
      </c>
    </row>
    <row r="1650" spans="1:20" x14ac:dyDescent="0.25">
      <c r="A1650" t="s">
        <v>14</v>
      </c>
      <c r="B1650" t="s">
        <v>883</v>
      </c>
      <c r="C1650" t="s">
        <v>4412</v>
      </c>
      <c r="D1650" t="s">
        <v>4377</v>
      </c>
      <c r="E1650">
        <v>47300046258</v>
      </c>
      <c r="F1650" t="s">
        <v>16</v>
      </c>
      <c r="G1650" t="s">
        <v>28</v>
      </c>
      <c r="H1650" t="s">
        <v>160</v>
      </c>
      <c r="K1650" t="s">
        <v>3294</v>
      </c>
      <c r="L1650" t="s">
        <v>19</v>
      </c>
      <c r="M1650" t="s">
        <v>46</v>
      </c>
      <c r="N1650" s="2">
        <v>45536</v>
      </c>
      <c r="O1650" s="2">
        <v>45565</v>
      </c>
      <c r="P1650">
        <v>500</v>
      </c>
      <c r="Q1650">
        <v>500</v>
      </c>
      <c r="R1650" t="s">
        <v>2774</v>
      </c>
    </row>
    <row r="1651" spans="1:20" x14ac:dyDescent="0.25">
      <c r="A1651" t="s">
        <v>14</v>
      </c>
      <c r="B1651" t="s">
        <v>883</v>
      </c>
      <c r="C1651" t="s">
        <v>4412</v>
      </c>
      <c r="D1651" t="s">
        <v>4377</v>
      </c>
      <c r="E1651">
        <v>47300046258</v>
      </c>
      <c r="F1651" t="s">
        <v>16</v>
      </c>
      <c r="G1651" t="s">
        <v>28</v>
      </c>
      <c r="H1651" t="s">
        <v>160</v>
      </c>
      <c r="K1651" t="s">
        <v>2892</v>
      </c>
      <c r="L1651" t="s">
        <v>19</v>
      </c>
      <c r="M1651" t="s">
        <v>46</v>
      </c>
      <c r="N1651" s="2">
        <v>45536</v>
      </c>
      <c r="O1651" s="2">
        <v>45565</v>
      </c>
      <c r="P1651">
        <v>10000</v>
      </c>
      <c r="Q1651">
        <v>10000</v>
      </c>
      <c r="R1651" t="s">
        <v>2774</v>
      </c>
    </row>
    <row r="1652" spans="1:20" x14ac:dyDescent="0.25">
      <c r="A1652" t="s">
        <v>14</v>
      </c>
      <c r="B1652" t="s">
        <v>883</v>
      </c>
      <c r="C1652" t="s">
        <v>4374</v>
      </c>
      <c r="D1652" t="s">
        <v>4375</v>
      </c>
      <c r="E1652">
        <v>47300046258</v>
      </c>
      <c r="F1652" t="s">
        <v>16</v>
      </c>
      <c r="G1652" t="s">
        <v>28</v>
      </c>
      <c r="H1652" t="s">
        <v>160</v>
      </c>
      <c r="K1652" t="s">
        <v>2760</v>
      </c>
      <c r="L1652" t="s">
        <v>47</v>
      </c>
      <c r="N1652" s="2">
        <v>45534</v>
      </c>
      <c r="O1652" s="2">
        <v>45532</v>
      </c>
      <c r="P1652">
        <v>237681.39</v>
      </c>
      <c r="Q1652">
        <v>237681.39</v>
      </c>
      <c r="R1652" t="s">
        <v>2774</v>
      </c>
    </row>
    <row r="1653" spans="1:20" x14ac:dyDescent="0.25">
      <c r="A1653" t="s">
        <v>14</v>
      </c>
      <c r="B1653" t="s">
        <v>882</v>
      </c>
      <c r="C1653" t="s">
        <v>4417</v>
      </c>
      <c r="D1653" t="s">
        <v>4397</v>
      </c>
      <c r="E1653">
        <v>47300046761</v>
      </c>
      <c r="F1653" t="s">
        <v>42</v>
      </c>
      <c r="G1653" t="s">
        <v>28</v>
      </c>
      <c r="H1653" t="s">
        <v>43</v>
      </c>
      <c r="K1653" t="s">
        <v>3536</v>
      </c>
      <c r="L1653" t="s">
        <v>47</v>
      </c>
      <c r="N1653" s="2">
        <v>45541</v>
      </c>
      <c r="O1653" s="2">
        <v>45539</v>
      </c>
      <c r="P1653">
        <v>64912.4</v>
      </c>
      <c r="Q1653">
        <v>64912.4</v>
      </c>
      <c r="R1653" t="s">
        <v>3085</v>
      </c>
    </row>
    <row r="1654" spans="1:20" x14ac:dyDescent="0.25">
      <c r="A1654" t="s">
        <v>14</v>
      </c>
      <c r="B1654" t="s">
        <v>882</v>
      </c>
      <c r="C1654" t="s">
        <v>4417</v>
      </c>
      <c r="D1654" t="s">
        <v>4397</v>
      </c>
      <c r="E1654">
        <v>47300046761</v>
      </c>
      <c r="F1654" t="s">
        <v>42</v>
      </c>
      <c r="G1654" t="s">
        <v>28</v>
      </c>
      <c r="H1654" t="s">
        <v>43</v>
      </c>
      <c r="K1654" t="s">
        <v>2892</v>
      </c>
      <c r="L1654" t="s">
        <v>19</v>
      </c>
      <c r="M1654" t="s">
        <v>46</v>
      </c>
      <c r="N1654" s="2">
        <v>45536</v>
      </c>
      <c r="O1654" s="2">
        <v>45565</v>
      </c>
      <c r="P1654">
        <v>10000</v>
      </c>
      <c r="Q1654">
        <v>10000</v>
      </c>
      <c r="R1654" t="s">
        <v>3085</v>
      </c>
    </row>
    <row r="1655" spans="1:20" x14ac:dyDescent="0.25">
      <c r="A1655" t="s">
        <v>14</v>
      </c>
      <c r="B1655" t="s">
        <v>880</v>
      </c>
      <c r="C1655" t="s">
        <v>4387</v>
      </c>
      <c r="D1655" t="s">
        <v>4388</v>
      </c>
      <c r="E1655">
        <v>47300046761</v>
      </c>
      <c r="F1655" t="s">
        <v>42</v>
      </c>
      <c r="G1655" t="s">
        <v>28</v>
      </c>
      <c r="H1655" t="s">
        <v>43</v>
      </c>
      <c r="K1655" t="s">
        <v>3795</v>
      </c>
      <c r="L1655" t="s">
        <v>19</v>
      </c>
      <c r="M1655" t="s">
        <v>20</v>
      </c>
      <c r="P1655">
        <v>10000</v>
      </c>
      <c r="Q1655">
        <v>10000</v>
      </c>
      <c r="R1655" t="s">
        <v>4034</v>
      </c>
      <c r="S1655" t="s">
        <v>881</v>
      </c>
      <c r="T1655">
        <v>41.6</v>
      </c>
    </row>
    <row r="1656" spans="1:20" x14ac:dyDescent="0.25">
      <c r="A1656" t="s">
        <v>14</v>
      </c>
      <c r="B1656" t="s">
        <v>878</v>
      </c>
      <c r="C1656" t="s">
        <v>4387</v>
      </c>
      <c r="D1656" t="s">
        <v>4388</v>
      </c>
      <c r="E1656">
        <v>47300047280</v>
      </c>
      <c r="F1656" t="s">
        <v>16</v>
      </c>
      <c r="G1656" t="s">
        <v>28</v>
      </c>
      <c r="H1656" t="s">
        <v>274</v>
      </c>
      <c r="K1656" t="s">
        <v>4266</v>
      </c>
      <c r="L1656" t="s">
        <v>19</v>
      </c>
      <c r="M1656" t="s">
        <v>63</v>
      </c>
      <c r="N1656" s="2">
        <v>45536</v>
      </c>
      <c r="O1656" s="2">
        <v>45565</v>
      </c>
      <c r="P1656">
        <v>100000</v>
      </c>
      <c r="Q1656">
        <v>100000</v>
      </c>
      <c r="R1656" t="s">
        <v>3086</v>
      </c>
      <c r="S1656" t="s">
        <v>879</v>
      </c>
      <c r="T1656">
        <v>416.3</v>
      </c>
    </row>
    <row r="1657" spans="1:20" x14ac:dyDescent="0.25">
      <c r="A1657" t="s">
        <v>14</v>
      </c>
      <c r="B1657" t="s">
        <v>878</v>
      </c>
      <c r="C1657" t="s">
        <v>4417</v>
      </c>
      <c r="D1657" t="s">
        <v>4397</v>
      </c>
      <c r="E1657">
        <v>47300047280</v>
      </c>
      <c r="F1657" t="s">
        <v>16</v>
      </c>
      <c r="G1657" t="s">
        <v>28</v>
      </c>
      <c r="H1657" t="s">
        <v>274</v>
      </c>
      <c r="K1657" t="s">
        <v>3294</v>
      </c>
      <c r="L1657" t="s">
        <v>19</v>
      </c>
      <c r="M1657" t="s">
        <v>46</v>
      </c>
      <c r="N1657" s="2">
        <v>45536</v>
      </c>
      <c r="O1657" s="2">
        <v>45565</v>
      </c>
      <c r="P1657">
        <v>500</v>
      </c>
      <c r="Q1657">
        <v>500</v>
      </c>
      <c r="R1657" t="s">
        <v>3086</v>
      </c>
    </row>
    <row r="1658" spans="1:20" x14ac:dyDescent="0.25">
      <c r="A1658" t="s">
        <v>14</v>
      </c>
      <c r="B1658" t="s">
        <v>878</v>
      </c>
      <c r="C1658" t="s">
        <v>4387</v>
      </c>
      <c r="D1658" t="s">
        <v>4388</v>
      </c>
      <c r="E1658">
        <v>47300047280</v>
      </c>
      <c r="F1658" t="s">
        <v>16</v>
      </c>
      <c r="G1658" t="s">
        <v>28</v>
      </c>
      <c r="H1658" t="s">
        <v>274</v>
      </c>
      <c r="K1658" t="s">
        <v>2892</v>
      </c>
      <c r="L1658" t="s">
        <v>19</v>
      </c>
      <c r="M1658" t="s">
        <v>46</v>
      </c>
      <c r="N1658" s="2">
        <v>45536</v>
      </c>
      <c r="O1658" s="2">
        <v>45565</v>
      </c>
      <c r="P1658">
        <v>10000</v>
      </c>
      <c r="Q1658">
        <v>10000</v>
      </c>
      <c r="R1658" t="s">
        <v>3086</v>
      </c>
    </row>
    <row r="1659" spans="1:20" x14ac:dyDescent="0.25">
      <c r="A1659" t="s">
        <v>14</v>
      </c>
      <c r="B1659" t="s">
        <v>876</v>
      </c>
      <c r="C1659" t="s">
        <v>4367</v>
      </c>
      <c r="D1659" t="s">
        <v>4368</v>
      </c>
      <c r="E1659">
        <v>47300026094</v>
      </c>
      <c r="F1659" t="s">
        <v>35</v>
      </c>
      <c r="G1659" t="s">
        <v>36</v>
      </c>
      <c r="H1659" t="s">
        <v>4359</v>
      </c>
      <c r="K1659" t="s">
        <v>3795</v>
      </c>
      <c r="L1659" t="s">
        <v>19</v>
      </c>
      <c r="M1659" t="s">
        <v>20</v>
      </c>
      <c r="P1659">
        <v>40000</v>
      </c>
      <c r="Q1659">
        <v>40000</v>
      </c>
      <c r="R1659" t="s">
        <v>4035</v>
      </c>
      <c r="S1659" t="s">
        <v>877</v>
      </c>
      <c r="T1659">
        <v>166.5</v>
      </c>
    </row>
    <row r="1660" spans="1:20" x14ac:dyDescent="0.25">
      <c r="A1660" t="s">
        <v>14</v>
      </c>
      <c r="B1660" t="s">
        <v>874</v>
      </c>
      <c r="C1660" t="s">
        <v>4369</v>
      </c>
      <c r="D1660" t="s">
        <v>4370</v>
      </c>
      <c r="E1660">
        <v>47300046761</v>
      </c>
      <c r="F1660" t="s">
        <v>42</v>
      </c>
      <c r="G1660" t="s">
        <v>28</v>
      </c>
      <c r="H1660" t="s">
        <v>43</v>
      </c>
      <c r="K1660" t="s">
        <v>3795</v>
      </c>
      <c r="L1660" t="s">
        <v>19</v>
      </c>
      <c r="M1660" t="s">
        <v>20</v>
      </c>
      <c r="P1660">
        <v>15000</v>
      </c>
      <c r="Q1660">
        <v>15000</v>
      </c>
      <c r="R1660" t="s">
        <v>4036</v>
      </c>
      <c r="S1660" t="s">
        <v>875</v>
      </c>
      <c r="T1660">
        <v>62.5</v>
      </c>
    </row>
    <row r="1661" spans="1:20" x14ac:dyDescent="0.25">
      <c r="A1661" t="s">
        <v>14</v>
      </c>
      <c r="B1661" t="s">
        <v>872</v>
      </c>
      <c r="C1661" t="s">
        <v>4419</v>
      </c>
      <c r="D1661" t="s">
        <v>4368</v>
      </c>
      <c r="E1661">
        <v>47300046688</v>
      </c>
      <c r="F1661" t="s">
        <v>16</v>
      </c>
      <c r="G1661" t="s">
        <v>17</v>
      </c>
      <c r="H1661" t="s">
        <v>154</v>
      </c>
      <c r="K1661" t="s">
        <v>4266</v>
      </c>
      <c r="L1661" t="s">
        <v>19</v>
      </c>
      <c r="M1661" t="s">
        <v>63</v>
      </c>
      <c r="N1661" s="2">
        <v>45536</v>
      </c>
      <c r="O1661" s="2">
        <v>45565</v>
      </c>
      <c r="P1661">
        <v>35000</v>
      </c>
      <c r="Q1661">
        <v>35000</v>
      </c>
      <c r="R1661" t="s">
        <v>4304</v>
      </c>
      <c r="S1661" t="s">
        <v>873</v>
      </c>
      <c r="T1661">
        <v>145.69999999999999</v>
      </c>
    </row>
    <row r="1662" spans="1:20" x14ac:dyDescent="0.25">
      <c r="A1662" t="s">
        <v>14</v>
      </c>
      <c r="B1662" t="s">
        <v>870</v>
      </c>
      <c r="C1662" t="s">
        <v>4386</v>
      </c>
      <c r="D1662" t="s">
        <v>4368</v>
      </c>
      <c r="E1662">
        <v>47300026094</v>
      </c>
      <c r="F1662" t="s">
        <v>35</v>
      </c>
      <c r="G1662" t="s">
        <v>36</v>
      </c>
      <c r="H1662" t="s">
        <v>4359</v>
      </c>
      <c r="K1662" t="s">
        <v>3795</v>
      </c>
      <c r="L1662" t="s">
        <v>19</v>
      </c>
      <c r="M1662" t="s">
        <v>20</v>
      </c>
      <c r="P1662">
        <v>50000</v>
      </c>
      <c r="Q1662">
        <v>50000</v>
      </c>
      <c r="R1662" t="s">
        <v>4037</v>
      </c>
      <c r="S1662" t="s">
        <v>871</v>
      </c>
      <c r="T1662">
        <v>208.2</v>
      </c>
    </row>
    <row r="1663" spans="1:20" x14ac:dyDescent="0.25">
      <c r="A1663" t="s">
        <v>14</v>
      </c>
      <c r="B1663" t="s">
        <v>868</v>
      </c>
      <c r="C1663" t="s">
        <v>4369</v>
      </c>
      <c r="D1663" t="s">
        <v>4370</v>
      </c>
      <c r="E1663">
        <v>47300025690</v>
      </c>
      <c r="F1663" t="s">
        <v>35</v>
      </c>
      <c r="G1663" t="s">
        <v>36</v>
      </c>
      <c r="H1663" t="s">
        <v>37</v>
      </c>
      <c r="K1663" t="s">
        <v>4266</v>
      </c>
      <c r="L1663" t="s">
        <v>19</v>
      </c>
      <c r="M1663" t="s">
        <v>63</v>
      </c>
      <c r="N1663" s="2">
        <v>45536</v>
      </c>
      <c r="O1663" s="2">
        <v>45565</v>
      </c>
      <c r="P1663">
        <v>50000</v>
      </c>
      <c r="Q1663">
        <v>50000</v>
      </c>
      <c r="R1663" t="s">
        <v>3453</v>
      </c>
      <c r="S1663" t="s">
        <v>869</v>
      </c>
      <c r="T1663">
        <v>208.2</v>
      </c>
    </row>
    <row r="1664" spans="1:20" x14ac:dyDescent="0.25">
      <c r="A1664" t="s">
        <v>14</v>
      </c>
      <c r="B1664" t="s">
        <v>868</v>
      </c>
      <c r="C1664" t="s">
        <v>4419</v>
      </c>
      <c r="D1664" t="s">
        <v>4368</v>
      </c>
      <c r="E1664">
        <v>47300025690</v>
      </c>
      <c r="F1664" t="s">
        <v>35</v>
      </c>
      <c r="G1664" t="s">
        <v>36</v>
      </c>
      <c r="H1664" t="s">
        <v>37</v>
      </c>
      <c r="K1664" t="s">
        <v>3294</v>
      </c>
      <c r="L1664" t="s">
        <v>19</v>
      </c>
      <c r="M1664" t="s">
        <v>46</v>
      </c>
      <c r="N1664" s="2">
        <v>45536</v>
      </c>
      <c r="O1664" s="2">
        <v>45565</v>
      </c>
      <c r="P1664">
        <v>500</v>
      </c>
      <c r="Q1664">
        <v>500</v>
      </c>
      <c r="R1664" t="s">
        <v>3453</v>
      </c>
    </row>
    <row r="1665" spans="1:20" x14ac:dyDescent="0.25">
      <c r="A1665" t="s">
        <v>14</v>
      </c>
      <c r="B1665" t="s">
        <v>866</v>
      </c>
      <c r="C1665" t="s">
        <v>4371</v>
      </c>
      <c r="D1665" t="s">
        <v>4368</v>
      </c>
      <c r="E1665">
        <v>47300025708</v>
      </c>
      <c r="F1665" t="s">
        <v>35</v>
      </c>
      <c r="G1665" t="s">
        <v>36</v>
      </c>
      <c r="H1665" t="s">
        <v>4360</v>
      </c>
      <c r="K1665" t="s">
        <v>3795</v>
      </c>
      <c r="L1665" t="s">
        <v>19</v>
      </c>
      <c r="M1665" t="s">
        <v>20</v>
      </c>
      <c r="P1665">
        <v>50000</v>
      </c>
      <c r="Q1665">
        <v>50000</v>
      </c>
      <c r="R1665" t="s">
        <v>4038</v>
      </c>
      <c r="S1665" t="s">
        <v>867</v>
      </c>
      <c r="T1665">
        <v>208.1</v>
      </c>
    </row>
    <row r="1666" spans="1:20" x14ac:dyDescent="0.25">
      <c r="A1666" t="s">
        <v>14</v>
      </c>
      <c r="B1666" t="s">
        <v>864</v>
      </c>
      <c r="C1666" t="s">
        <v>4386</v>
      </c>
      <c r="D1666" t="s">
        <v>4368</v>
      </c>
      <c r="E1666">
        <v>47300020147</v>
      </c>
      <c r="F1666" t="s">
        <v>35</v>
      </c>
      <c r="G1666" t="s">
        <v>36</v>
      </c>
      <c r="H1666" t="s">
        <v>4363</v>
      </c>
      <c r="K1666" t="s">
        <v>4266</v>
      </c>
      <c r="L1666" t="s">
        <v>19</v>
      </c>
      <c r="M1666" t="s">
        <v>63</v>
      </c>
      <c r="N1666" s="2">
        <v>45536</v>
      </c>
      <c r="O1666" s="2">
        <v>45565</v>
      </c>
      <c r="P1666">
        <v>50000</v>
      </c>
      <c r="Q1666">
        <v>50000</v>
      </c>
      <c r="R1666" t="s">
        <v>3454</v>
      </c>
      <c r="S1666" t="s">
        <v>865</v>
      </c>
      <c r="T1666">
        <v>208.1</v>
      </c>
    </row>
    <row r="1667" spans="1:20" x14ac:dyDescent="0.25">
      <c r="A1667" t="s">
        <v>14</v>
      </c>
      <c r="B1667" t="s">
        <v>864</v>
      </c>
      <c r="C1667" t="s">
        <v>4367</v>
      </c>
      <c r="D1667" t="s">
        <v>4368</v>
      </c>
      <c r="E1667">
        <v>47300020147</v>
      </c>
      <c r="F1667" t="s">
        <v>35</v>
      </c>
      <c r="G1667" t="s">
        <v>36</v>
      </c>
      <c r="H1667" t="s">
        <v>4363</v>
      </c>
      <c r="K1667" t="s">
        <v>3294</v>
      </c>
      <c r="L1667" t="s">
        <v>19</v>
      </c>
      <c r="M1667" t="s">
        <v>46</v>
      </c>
      <c r="N1667" s="2">
        <v>45536</v>
      </c>
      <c r="O1667" s="2">
        <v>45565</v>
      </c>
      <c r="P1667">
        <v>500</v>
      </c>
      <c r="Q1667">
        <v>500</v>
      </c>
      <c r="R1667" t="s">
        <v>3454</v>
      </c>
    </row>
    <row r="1668" spans="1:20" x14ac:dyDescent="0.25">
      <c r="A1668" t="s">
        <v>14</v>
      </c>
      <c r="B1668" t="s">
        <v>862</v>
      </c>
      <c r="C1668" t="s">
        <v>4406</v>
      </c>
      <c r="D1668" t="s">
        <v>4394</v>
      </c>
      <c r="E1668">
        <v>47300086445</v>
      </c>
      <c r="F1668" t="s">
        <v>16</v>
      </c>
      <c r="G1668" t="s">
        <v>28</v>
      </c>
      <c r="H1668" t="s">
        <v>187</v>
      </c>
      <c r="I1668" t="s">
        <v>2777</v>
      </c>
      <c r="J1668" t="s">
        <v>2776</v>
      </c>
      <c r="K1668" t="s">
        <v>4266</v>
      </c>
      <c r="L1668" t="s">
        <v>19</v>
      </c>
      <c r="M1668" t="s">
        <v>63</v>
      </c>
      <c r="N1668" s="2">
        <v>45536</v>
      </c>
      <c r="O1668" s="2">
        <v>45565</v>
      </c>
      <c r="P1668">
        <v>35100</v>
      </c>
      <c r="Q1668">
        <v>35100</v>
      </c>
      <c r="R1668" t="s">
        <v>2775</v>
      </c>
      <c r="S1668" t="s">
        <v>863</v>
      </c>
      <c r="T1668">
        <v>146.1</v>
      </c>
    </row>
    <row r="1669" spans="1:20" x14ac:dyDescent="0.25">
      <c r="A1669" t="s">
        <v>14</v>
      </c>
      <c r="B1669" t="s">
        <v>862</v>
      </c>
      <c r="C1669" t="s">
        <v>4387</v>
      </c>
      <c r="D1669" t="s">
        <v>4388</v>
      </c>
      <c r="E1669">
        <v>47300086445</v>
      </c>
      <c r="F1669" t="s">
        <v>16</v>
      </c>
      <c r="G1669" t="s">
        <v>28</v>
      </c>
      <c r="H1669" t="s">
        <v>187</v>
      </c>
      <c r="I1669" t="s">
        <v>2777</v>
      </c>
      <c r="J1669" t="s">
        <v>2776</v>
      </c>
      <c r="K1669" t="s">
        <v>3536</v>
      </c>
      <c r="L1669" t="s">
        <v>47</v>
      </c>
      <c r="N1669" s="2">
        <v>45540</v>
      </c>
      <c r="O1669" s="2">
        <v>45539</v>
      </c>
      <c r="P1669">
        <v>64912.4</v>
      </c>
      <c r="Q1669">
        <v>64912.4</v>
      </c>
      <c r="R1669" t="s">
        <v>2775</v>
      </c>
    </row>
    <row r="1670" spans="1:20" x14ac:dyDescent="0.25">
      <c r="A1670" t="s">
        <v>14</v>
      </c>
      <c r="B1670" t="s">
        <v>862</v>
      </c>
      <c r="C1670" t="s">
        <v>4369</v>
      </c>
      <c r="D1670" t="s">
        <v>4370</v>
      </c>
      <c r="E1670">
        <v>47300086445</v>
      </c>
      <c r="F1670" t="s">
        <v>16</v>
      </c>
      <c r="G1670" t="s">
        <v>28</v>
      </c>
      <c r="H1670" t="s">
        <v>187</v>
      </c>
      <c r="I1670" t="s">
        <v>2777</v>
      </c>
      <c r="J1670" t="s">
        <v>2776</v>
      </c>
      <c r="K1670" t="s">
        <v>3294</v>
      </c>
      <c r="L1670" t="s">
        <v>19</v>
      </c>
      <c r="M1670" t="s">
        <v>46</v>
      </c>
      <c r="N1670" s="2">
        <v>45536</v>
      </c>
      <c r="O1670" s="2">
        <v>45565</v>
      </c>
      <c r="P1670">
        <v>500</v>
      </c>
      <c r="Q1670">
        <v>500</v>
      </c>
      <c r="R1670" t="s">
        <v>2775</v>
      </c>
    </row>
    <row r="1671" spans="1:20" x14ac:dyDescent="0.25">
      <c r="A1671" t="s">
        <v>14</v>
      </c>
      <c r="B1671" t="s">
        <v>862</v>
      </c>
      <c r="C1671" t="s">
        <v>4369</v>
      </c>
      <c r="D1671" t="s">
        <v>4370</v>
      </c>
      <c r="E1671">
        <v>47300086445</v>
      </c>
      <c r="F1671" t="s">
        <v>16</v>
      </c>
      <c r="G1671" t="s">
        <v>28</v>
      </c>
      <c r="H1671" t="s">
        <v>187</v>
      </c>
      <c r="I1671" t="s">
        <v>2777</v>
      </c>
      <c r="J1671" t="s">
        <v>2776</v>
      </c>
      <c r="K1671" t="s">
        <v>2892</v>
      </c>
      <c r="L1671" t="s">
        <v>19</v>
      </c>
      <c r="M1671" t="s">
        <v>46</v>
      </c>
      <c r="N1671" s="2">
        <v>45536</v>
      </c>
      <c r="O1671" s="2">
        <v>45565</v>
      </c>
      <c r="P1671">
        <v>10000</v>
      </c>
      <c r="Q1671">
        <v>10000</v>
      </c>
      <c r="R1671" t="s">
        <v>2775</v>
      </c>
    </row>
    <row r="1672" spans="1:20" x14ac:dyDescent="0.25">
      <c r="A1672" t="s">
        <v>14</v>
      </c>
      <c r="B1672" t="s">
        <v>862</v>
      </c>
      <c r="C1672" t="s">
        <v>4369</v>
      </c>
      <c r="D1672" t="s">
        <v>4370</v>
      </c>
      <c r="E1672">
        <v>47300086445</v>
      </c>
      <c r="F1672" t="s">
        <v>16</v>
      </c>
      <c r="G1672" t="s">
        <v>28</v>
      </c>
      <c r="H1672" t="s">
        <v>187</v>
      </c>
      <c r="I1672" t="s">
        <v>2777</v>
      </c>
      <c r="J1672" t="s">
        <v>2776</v>
      </c>
      <c r="K1672" t="s">
        <v>2760</v>
      </c>
      <c r="L1672" t="s">
        <v>47</v>
      </c>
      <c r="N1672" s="2">
        <v>45534</v>
      </c>
      <c r="O1672" s="2">
        <v>45532</v>
      </c>
      <c r="P1672">
        <v>237681.39</v>
      </c>
      <c r="Q1672">
        <v>237681.39</v>
      </c>
      <c r="R1672" t="s">
        <v>2775</v>
      </c>
    </row>
    <row r="1673" spans="1:20" x14ac:dyDescent="0.25">
      <c r="A1673" t="s">
        <v>14</v>
      </c>
      <c r="B1673" t="s">
        <v>860</v>
      </c>
      <c r="C1673" t="s">
        <v>4414</v>
      </c>
      <c r="D1673" t="s">
        <v>4401</v>
      </c>
      <c r="E1673">
        <v>47300046316</v>
      </c>
      <c r="F1673" t="s">
        <v>42</v>
      </c>
      <c r="G1673" t="s">
        <v>28</v>
      </c>
      <c r="H1673" t="s">
        <v>69</v>
      </c>
      <c r="K1673" t="s">
        <v>4266</v>
      </c>
      <c r="L1673" t="s">
        <v>19</v>
      </c>
      <c r="M1673" t="s">
        <v>63</v>
      </c>
      <c r="N1673" s="2">
        <v>45536</v>
      </c>
      <c r="O1673" s="2">
        <v>45565</v>
      </c>
      <c r="P1673">
        <v>40000</v>
      </c>
      <c r="Q1673">
        <v>40000</v>
      </c>
      <c r="R1673" t="s">
        <v>3087</v>
      </c>
      <c r="S1673" t="s">
        <v>861</v>
      </c>
      <c r="T1673">
        <v>166.5</v>
      </c>
    </row>
    <row r="1674" spans="1:20" x14ac:dyDescent="0.25">
      <c r="A1674" t="s">
        <v>14</v>
      </c>
      <c r="B1674" t="s">
        <v>860</v>
      </c>
      <c r="C1674" t="s">
        <v>4398</v>
      </c>
      <c r="D1674" t="s">
        <v>4377</v>
      </c>
      <c r="E1674">
        <v>47300046316</v>
      </c>
      <c r="F1674" t="s">
        <v>42</v>
      </c>
      <c r="G1674" t="s">
        <v>28</v>
      </c>
      <c r="H1674" t="s">
        <v>69</v>
      </c>
      <c r="K1674" t="s">
        <v>2892</v>
      </c>
      <c r="L1674" t="s">
        <v>19</v>
      </c>
      <c r="M1674" t="s">
        <v>46</v>
      </c>
      <c r="N1674" s="2">
        <v>45536</v>
      </c>
      <c r="O1674" s="2">
        <v>45565</v>
      </c>
      <c r="P1674">
        <v>10000</v>
      </c>
      <c r="Q1674">
        <v>10000</v>
      </c>
      <c r="R1674" t="s">
        <v>3087</v>
      </c>
    </row>
    <row r="1675" spans="1:20" x14ac:dyDescent="0.25">
      <c r="A1675" t="s">
        <v>14</v>
      </c>
      <c r="B1675" t="s">
        <v>858</v>
      </c>
      <c r="C1675" t="s">
        <v>4398</v>
      </c>
      <c r="D1675" t="s">
        <v>4377</v>
      </c>
      <c r="E1675">
        <v>47300046746</v>
      </c>
      <c r="F1675" t="s">
        <v>16</v>
      </c>
      <c r="G1675" t="s">
        <v>28</v>
      </c>
      <c r="H1675" t="s">
        <v>32</v>
      </c>
      <c r="K1675" t="s">
        <v>3795</v>
      </c>
      <c r="L1675" t="s">
        <v>19</v>
      </c>
      <c r="M1675" t="s">
        <v>20</v>
      </c>
      <c r="P1675">
        <v>10000</v>
      </c>
      <c r="Q1675">
        <v>10000</v>
      </c>
      <c r="R1675" t="s">
        <v>4039</v>
      </c>
      <c r="S1675" t="s">
        <v>859</v>
      </c>
      <c r="T1675">
        <v>41.7</v>
      </c>
    </row>
    <row r="1676" spans="1:20" x14ac:dyDescent="0.25">
      <c r="A1676" t="s">
        <v>14</v>
      </c>
      <c r="B1676" t="s">
        <v>856</v>
      </c>
      <c r="C1676" t="s">
        <v>4412</v>
      </c>
      <c r="D1676" t="s">
        <v>4424</v>
      </c>
      <c r="E1676">
        <v>47300046761</v>
      </c>
      <c r="F1676" t="s">
        <v>42</v>
      </c>
      <c r="G1676" t="s">
        <v>28</v>
      </c>
      <c r="H1676" t="s">
        <v>43</v>
      </c>
      <c r="K1676" t="s">
        <v>3795</v>
      </c>
      <c r="L1676" t="s">
        <v>19</v>
      </c>
      <c r="M1676" t="s">
        <v>20</v>
      </c>
      <c r="P1676">
        <v>25000</v>
      </c>
      <c r="Q1676">
        <v>25000</v>
      </c>
      <c r="R1676" t="s">
        <v>4040</v>
      </c>
      <c r="S1676" t="s">
        <v>857</v>
      </c>
      <c r="T1676">
        <v>104</v>
      </c>
    </row>
    <row r="1677" spans="1:20" x14ac:dyDescent="0.25">
      <c r="A1677" t="s">
        <v>14</v>
      </c>
      <c r="B1677" t="s">
        <v>855</v>
      </c>
      <c r="C1677" t="s">
        <v>4387</v>
      </c>
      <c r="D1677" t="s">
        <v>4388</v>
      </c>
      <c r="E1677">
        <v>47300070589</v>
      </c>
      <c r="F1677" t="s">
        <v>16</v>
      </c>
      <c r="G1677" t="s">
        <v>28</v>
      </c>
      <c r="H1677" t="s">
        <v>221</v>
      </c>
      <c r="K1677" t="s">
        <v>3536</v>
      </c>
      <c r="L1677" t="s">
        <v>47</v>
      </c>
      <c r="N1677" s="2">
        <v>45541</v>
      </c>
      <c r="O1677" s="2">
        <v>45539</v>
      </c>
      <c r="P1677">
        <v>64912.4</v>
      </c>
      <c r="Q1677">
        <v>64912.4</v>
      </c>
      <c r="R1677" t="s">
        <v>3550</v>
      </c>
    </row>
    <row r="1678" spans="1:20" x14ac:dyDescent="0.25">
      <c r="A1678" t="s">
        <v>14</v>
      </c>
      <c r="B1678" t="s">
        <v>853</v>
      </c>
      <c r="C1678" t="s">
        <v>4376</v>
      </c>
      <c r="D1678" t="s">
        <v>4407</v>
      </c>
      <c r="E1678">
        <v>47300046738</v>
      </c>
      <c r="F1678" t="s">
        <v>16</v>
      </c>
      <c r="G1678" t="s">
        <v>28</v>
      </c>
      <c r="H1678" t="s">
        <v>202</v>
      </c>
      <c r="K1678" t="s">
        <v>4266</v>
      </c>
      <c r="L1678" t="s">
        <v>19</v>
      </c>
      <c r="M1678" t="s">
        <v>63</v>
      </c>
      <c r="N1678" s="2">
        <v>45536</v>
      </c>
      <c r="O1678" s="2">
        <v>45565</v>
      </c>
      <c r="P1678">
        <v>180000</v>
      </c>
      <c r="Q1678">
        <v>180000</v>
      </c>
      <c r="R1678" t="s">
        <v>4305</v>
      </c>
      <c r="S1678" t="s">
        <v>854</v>
      </c>
      <c r="T1678">
        <v>749.3</v>
      </c>
    </row>
    <row r="1679" spans="1:20" x14ac:dyDescent="0.25">
      <c r="A1679" t="s">
        <v>14</v>
      </c>
      <c r="B1679" t="s">
        <v>851</v>
      </c>
      <c r="C1679" t="s">
        <v>4396</v>
      </c>
      <c r="D1679" t="s">
        <v>4397</v>
      </c>
      <c r="E1679">
        <v>47300046662</v>
      </c>
      <c r="F1679" t="s">
        <v>16</v>
      </c>
      <c r="G1679" t="s">
        <v>28</v>
      </c>
      <c r="H1679" t="s">
        <v>129</v>
      </c>
      <c r="K1679" t="s">
        <v>4266</v>
      </c>
      <c r="L1679" t="s">
        <v>19</v>
      </c>
      <c r="M1679" t="s">
        <v>63</v>
      </c>
      <c r="N1679" s="2">
        <v>45536</v>
      </c>
      <c r="O1679" s="2">
        <v>45565</v>
      </c>
      <c r="P1679">
        <v>45000</v>
      </c>
      <c r="Q1679">
        <v>45000</v>
      </c>
      <c r="R1679" t="s">
        <v>3551</v>
      </c>
      <c r="S1679" t="s">
        <v>852</v>
      </c>
      <c r="T1679">
        <v>187.3</v>
      </c>
    </row>
    <row r="1680" spans="1:20" x14ac:dyDescent="0.25">
      <c r="A1680" t="s">
        <v>14</v>
      </c>
      <c r="B1680" t="s">
        <v>851</v>
      </c>
      <c r="C1680" t="s">
        <v>4396</v>
      </c>
      <c r="D1680" t="s">
        <v>4397</v>
      </c>
      <c r="E1680">
        <v>47300046662</v>
      </c>
      <c r="F1680" t="s">
        <v>16</v>
      </c>
      <c r="G1680" t="s">
        <v>28</v>
      </c>
      <c r="H1680" t="s">
        <v>129</v>
      </c>
      <c r="K1680" t="s">
        <v>3536</v>
      </c>
      <c r="L1680" t="s">
        <v>47</v>
      </c>
      <c r="N1680" s="2">
        <v>45541</v>
      </c>
      <c r="O1680" s="2">
        <v>45539</v>
      </c>
      <c r="P1680">
        <v>64912.4</v>
      </c>
      <c r="Q1680">
        <v>64912.4</v>
      </c>
      <c r="R1680" t="s">
        <v>3551</v>
      </c>
    </row>
    <row r="1681" spans="1:20" x14ac:dyDescent="0.25">
      <c r="A1681" t="s">
        <v>14</v>
      </c>
      <c r="B1681" t="s">
        <v>849</v>
      </c>
      <c r="C1681" t="s">
        <v>4414</v>
      </c>
      <c r="D1681" t="s">
        <v>4401</v>
      </c>
      <c r="E1681">
        <v>47300025708</v>
      </c>
      <c r="F1681" t="s">
        <v>35</v>
      </c>
      <c r="G1681" t="s">
        <v>36</v>
      </c>
      <c r="H1681" t="s">
        <v>4360</v>
      </c>
      <c r="K1681" t="s">
        <v>3795</v>
      </c>
      <c r="L1681" t="s">
        <v>19</v>
      </c>
      <c r="M1681" t="s">
        <v>20</v>
      </c>
      <c r="P1681">
        <v>100000</v>
      </c>
      <c r="Q1681">
        <v>100000</v>
      </c>
      <c r="R1681" t="s">
        <v>4041</v>
      </c>
      <c r="S1681" t="s">
        <v>850</v>
      </c>
      <c r="T1681">
        <v>416.3</v>
      </c>
    </row>
    <row r="1682" spans="1:20" x14ac:dyDescent="0.25">
      <c r="A1682" t="s">
        <v>14</v>
      </c>
      <c r="B1682" t="s">
        <v>847</v>
      </c>
      <c r="C1682" t="s">
        <v>4387</v>
      </c>
      <c r="D1682" t="s">
        <v>4388</v>
      </c>
      <c r="E1682">
        <v>47300046761</v>
      </c>
      <c r="F1682" t="s">
        <v>42</v>
      </c>
      <c r="G1682" t="s">
        <v>28</v>
      </c>
      <c r="H1682" t="s">
        <v>43</v>
      </c>
      <c r="K1682" t="s">
        <v>3795</v>
      </c>
      <c r="L1682" t="s">
        <v>19</v>
      </c>
      <c r="M1682" t="s">
        <v>20</v>
      </c>
      <c r="P1682">
        <v>10000</v>
      </c>
      <c r="Q1682">
        <v>10000</v>
      </c>
      <c r="R1682" t="s">
        <v>4042</v>
      </c>
      <c r="S1682" t="s">
        <v>848</v>
      </c>
      <c r="T1682">
        <v>41.7</v>
      </c>
    </row>
    <row r="1683" spans="1:20" x14ac:dyDescent="0.25">
      <c r="A1683" t="s">
        <v>14</v>
      </c>
      <c r="B1683" t="s">
        <v>845</v>
      </c>
      <c r="C1683" t="s">
        <v>4371</v>
      </c>
      <c r="D1683" t="s">
        <v>4368</v>
      </c>
      <c r="E1683">
        <v>47300046746</v>
      </c>
      <c r="F1683" t="s">
        <v>16</v>
      </c>
      <c r="G1683" t="s">
        <v>28</v>
      </c>
      <c r="H1683" t="s">
        <v>32</v>
      </c>
      <c r="K1683" t="s">
        <v>3795</v>
      </c>
      <c r="L1683" t="s">
        <v>19</v>
      </c>
      <c r="M1683" t="s">
        <v>20</v>
      </c>
      <c r="P1683">
        <v>10000</v>
      </c>
      <c r="Q1683">
        <v>10000</v>
      </c>
      <c r="R1683" t="s">
        <v>4043</v>
      </c>
      <c r="S1683" t="s">
        <v>846</v>
      </c>
      <c r="T1683">
        <v>41.6</v>
      </c>
    </row>
    <row r="1684" spans="1:20" x14ac:dyDescent="0.25">
      <c r="A1684" t="s">
        <v>14</v>
      </c>
      <c r="B1684" t="s">
        <v>843</v>
      </c>
      <c r="C1684" t="s">
        <v>4389</v>
      </c>
      <c r="D1684" t="s">
        <v>4390</v>
      </c>
      <c r="E1684">
        <v>47300086445</v>
      </c>
      <c r="F1684" t="s">
        <v>16</v>
      </c>
      <c r="G1684" t="s">
        <v>28</v>
      </c>
      <c r="H1684" t="s">
        <v>187</v>
      </c>
      <c r="I1684" t="s">
        <v>2777</v>
      </c>
      <c r="J1684" t="s">
        <v>2776</v>
      </c>
      <c r="K1684" t="s">
        <v>3795</v>
      </c>
      <c r="L1684" t="s">
        <v>19</v>
      </c>
      <c r="M1684" t="s">
        <v>20</v>
      </c>
      <c r="P1684">
        <v>35000</v>
      </c>
      <c r="Q1684">
        <v>35000</v>
      </c>
      <c r="R1684" t="s">
        <v>4044</v>
      </c>
      <c r="S1684" t="s">
        <v>844</v>
      </c>
      <c r="T1684">
        <v>145.69999999999999</v>
      </c>
    </row>
    <row r="1685" spans="1:20" x14ac:dyDescent="0.25">
      <c r="A1685" t="s">
        <v>14</v>
      </c>
      <c r="B1685" t="s">
        <v>841</v>
      </c>
      <c r="C1685" t="s">
        <v>4369</v>
      </c>
      <c r="D1685" t="s">
        <v>4370</v>
      </c>
      <c r="E1685">
        <v>47300070571</v>
      </c>
      <c r="F1685" t="s">
        <v>42</v>
      </c>
      <c r="G1685" t="s">
        <v>28</v>
      </c>
      <c r="H1685" t="s">
        <v>72</v>
      </c>
      <c r="K1685" t="s">
        <v>4266</v>
      </c>
      <c r="L1685" t="s">
        <v>19</v>
      </c>
      <c r="M1685" t="s">
        <v>63</v>
      </c>
      <c r="N1685" s="2">
        <v>45536</v>
      </c>
      <c r="O1685" s="2">
        <v>45565</v>
      </c>
      <c r="P1685">
        <v>150000</v>
      </c>
      <c r="Q1685">
        <v>150000</v>
      </c>
      <c r="R1685" t="s">
        <v>3088</v>
      </c>
      <c r="S1685" t="s">
        <v>842</v>
      </c>
      <c r="T1685">
        <v>624.5</v>
      </c>
    </row>
    <row r="1686" spans="1:20" x14ac:dyDescent="0.25">
      <c r="A1686" t="s">
        <v>14</v>
      </c>
      <c r="B1686" t="s">
        <v>841</v>
      </c>
      <c r="C1686" t="s">
        <v>4384</v>
      </c>
      <c r="D1686" t="s">
        <v>4379</v>
      </c>
      <c r="E1686">
        <v>47300070571</v>
      </c>
      <c r="F1686" t="s">
        <v>42</v>
      </c>
      <c r="G1686" t="s">
        <v>28</v>
      </c>
      <c r="H1686" t="s">
        <v>72</v>
      </c>
      <c r="K1686" t="s">
        <v>2892</v>
      </c>
      <c r="L1686" t="s">
        <v>19</v>
      </c>
      <c r="M1686" t="s">
        <v>46</v>
      </c>
      <c r="N1686" s="2">
        <v>45536</v>
      </c>
      <c r="O1686" s="2">
        <v>45565</v>
      </c>
      <c r="P1686">
        <v>10000</v>
      </c>
      <c r="Q1686">
        <v>10000</v>
      </c>
      <c r="R1686" t="s">
        <v>3088</v>
      </c>
    </row>
    <row r="1687" spans="1:20" x14ac:dyDescent="0.25">
      <c r="A1687" t="s">
        <v>14</v>
      </c>
      <c r="B1687" t="s">
        <v>840</v>
      </c>
      <c r="C1687" t="s">
        <v>4384</v>
      </c>
      <c r="D1687" t="s">
        <v>4379</v>
      </c>
      <c r="E1687">
        <v>47300070480</v>
      </c>
      <c r="F1687" t="s">
        <v>16</v>
      </c>
      <c r="G1687" t="s">
        <v>28</v>
      </c>
      <c r="H1687" t="s">
        <v>184</v>
      </c>
      <c r="K1687" t="s">
        <v>3536</v>
      </c>
      <c r="L1687" t="s">
        <v>47</v>
      </c>
      <c r="N1687" s="2">
        <v>45541</v>
      </c>
      <c r="O1687" s="2">
        <v>45539</v>
      </c>
      <c r="P1687">
        <v>64912.4</v>
      </c>
      <c r="Q1687">
        <v>64912.4</v>
      </c>
      <c r="R1687" t="s">
        <v>2778</v>
      </c>
    </row>
    <row r="1688" spans="1:20" x14ac:dyDescent="0.25">
      <c r="A1688" t="s">
        <v>14</v>
      </c>
      <c r="B1688" t="s">
        <v>840</v>
      </c>
      <c r="C1688" t="s">
        <v>4389</v>
      </c>
      <c r="D1688" t="s">
        <v>4390</v>
      </c>
      <c r="E1688">
        <v>47300070480</v>
      </c>
      <c r="F1688" t="s">
        <v>16</v>
      </c>
      <c r="G1688" t="s">
        <v>28</v>
      </c>
      <c r="H1688" t="s">
        <v>184</v>
      </c>
      <c r="K1688" t="s">
        <v>2760</v>
      </c>
      <c r="L1688" t="s">
        <v>47</v>
      </c>
      <c r="N1688" s="2">
        <v>45534</v>
      </c>
      <c r="O1688" s="2">
        <v>45532</v>
      </c>
      <c r="P1688">
        <v>237681.39</v>
      </c>
      <c r="Q1688">
        <v>237681.39</v>
      </c>
      <c r="R1688" t="s">
        <v>2778</v>
      </c>
    </row>
    <row r="1689" spans="1:20" x14ac:dyDescent="0.25">
      <c r="A1689" t="s">
        <v>14</v>
      </c>
      <c r="B1689" t="s">
        <v>838</v>
      </c>
      <c r="C1689" t="s">
        <v>4365</v>
      </c>
      <c r="D1689" t="s">
        <v>4403</v>
      </c>
      <c r="E1689">
        <v>47300070654</v>
      </c>
      <c r="F1689" t="s">
        <v>16</v>
      </c>
      <c r="G1689" t="s">
        <v>28</v>
      </c>
      <c r="H1689" t="s">
        <v>217</v>
      </c>
      <c r="K1689" t="s">
        <v>4266</v>
      </c>
      <c r="L1689" t="s">
        <v>19</v>
      </c>
      <c r="M1689" t="s">
        <v>63</v>
      </c>
      <c r="N1689" s="2">
        <v>45536</v>
      </c>
      <c r="O1689" s="2">
        <v>45565</v>
      </c>
      <c r="P1689">
        <v>15000</v>
      </c>
      <c r="Q1689">
        <v>15000</v>
      </c>
      <c r="R1689" t="s">
        <v>2779</v>
      </c>
      <c r="S1689" t="s">
        <v>839</v>
      </c>
      <c r="T1689">
        <v>62.5</v>
      </c>
    </row>
    <row r="1690" spans="1:20" x14ac:dyDescent="0.25">
      <c r="A1690" t="s">
        <v>14</v>
      </c>
      <c r="B1690" t="s">
        <v>838</v>
      </c>
      <c r="C1690" t="s">
        <v>4387</v>
      </c>
      <c r="D1690" t="s">
        <v>4388</v>
      </c>
      <c r="E1690">
        <v>47300070654</v>
      </c>
      <c r="F1690" t="s">
        <v>16</v>
      </c>
      <c r="G1690" t="s">
        <v>28</v>
      </c>
      <c r="H1690" t="s">
        <v>217</v>
      </c>
      <c r="K1690" t="s">
        <v>3536</v>
      </c>
      <c r="L1690" t="s">
        <v>47</v>
      </c>
      <c r="N1690" s="2">
        <v>45541</v>
      </c>
      <c r="O1690" s="2">
        <v>45539</v>
      </c>
      <c r="P1690">
        <v>64912.4</v>
      </c>
      <c r="Q1690">
        <v>64912.4</v>
      </c>
      <c r="R1690" t="s">
        <v>2779</v>
      </c>
    </row>
    <row r="1691" spans="1:20" x14ac:dyDescent="0.25">
      <c r="A1691" t="s">
        <v>14</v>
      </c>
      <c r="B1691" t="s">
        <v>838</v>
      </c>
      <c r="C1691" t="s">
        <v>4394</v>
      </c>
      <c r="D1691" t="s">
        <v>4395</v>
      </c>
      <c r="E1691">
        <v>47300070654</v>
      </c>
      <c r="F1691" t="s">
        <v>16</v>
      </c>
      <c r="G1691" t="s">
        <v>28</v>
      </c>
      <c r="H1691" t="s">
        <v>217</v>
      </c>
      <c r="K1691" t="s">
        <v>3294</v>
      </c>
      <c r="L1691" t="s">
        <v>19</v>
      </c>
      <c r="M1691" t="s">
        <v>46</v>
      </c>
      <c r="N1691" s="2">
        <v>45536</v>
      </c>
      <c r="O1691" s="2">
        <v>45565</v>
      </c>
      <c r="P1691">
        <v>500</v>
      </c>
      <c r="Q1691">
        <v>500</v>
      </c>
      <c r="R1691" t="s">
        <v>2779</v>
      </c>
    </row>
    <row r="1692" spans="1:20" x14ac:dyDescent="0.25">
      <c r="A1692" t="s">
        <v>14</v>
      </c>
      <c r="B1692" t="s">
        <v>838</v>
      </c>
      <c r="C1692" t="s">
        <v>4367</v>
      </c>
      <c r="D1692" t="s">
        <v>4368</v>
      </c>
      <c r="E1692">
        <v>47300070654</v>
      </c>
      <c r="F1692" t="s">
        <v>16</v>
      </c>
      <c r="G1692" t="s">
        <v>28</v>
      </c>
      <c r="H1692" t="s">
        <v>217</v>
      </c>
      <c r="K1692" t="s">
        <v>3197</v>
      </c>
      <c r="L1692" t="s">
        <v>19</v>
      </c>
      <c r="M1692" t="s">
        <v>46</v>
      </c>
      <c r="N1692" s="2">
        <v>45536</v>
      </c>
      <c r="O1692" s="2">
        <v>45565</v>
      </c>
      <c r="P1692">
        <v>145500</v>
      </c>
      <c r="Q1692">
        <v>145500</v>
      </c>
      <c r="R1692" t="s">
        <v>2779</v>
      </c>
    </row>
    <row r="1693" spans="1:20" x14ac:dyDescent="0.25">
      <c r="A1693" t="s">
        <v>14</v>
      </c>
      <c r="B1693" t="s">
        <v>838</v>
      </c>
      <c r="C1693" t="s">
        <v>3300</v>
      </c>
      <c r="D1693" t="s">
        <v>3299</v>
      </c>
      <c r="E1693">
        <v>47300070654</v>
      </c>
      <c r="F1693" t="s">
        <v>16</v>
      </c>
      <c r="G1693" t="s">
        <v>28</v>
      </c>
      <c r="H1693" t="s">
        <v>217</v>
      </c>
      <c r="K1693" t="s">
        <v>2892</v>
      </c>
      <c r="L1693" t="s">
        <v>19</v>
      </c>
      <c r="M1693" t="s">
        <v>46</v>
      </c>
      <c r="N1693" s="2">
        <v>45536</v>
      </c>
      <c r="O1693" s="2">
        <v>45565</v>
      </c>
      <c r="P1693">
        <v>10000</v>
      </c>
      <c r="Q1693">
        <v>10000</v>
      </c>
      <c r="R1693" t="s">
        <v>2779</v>
      </c>
    </row>
    <row r="1694" spans="1:20" x14ac:dyDescent="0.25">
      <c r="A1694" t="s">
        <v>14</v>
      </c>
      <c r="B1694" t="s">
        <v>838</v>
      </c>
      <c r="C1694" t="s">
        <v>4365</v>
      </c>
      <c r="D1694" t="s">
        <v>4403</v>
      </c>
      <c r="E1694">
        <v>47300070654</v>
      </c>
      <c r="F1694" t="s">
        <v>16</v>
      </c>
      <c r="G1694" t="s">
        <v>28</v>
      </c>
      <c r="H1694" t="s">
        <v>217</v>
      </c>
      <c r="K1694" t="s">
        <v>2760</v>
      </c>
      <c r="L1694" t="s">
        <v>47</v>
      </c>
      <c r="N1694" s="2">
        <v>45534</v>
      </c>
      <c r="O1694" s="2">
        <v>45532</v>
      </c>
      <c r="P1694">
        <v>237681.39</v>
      </c>
      <c r="Q1694">
        <v>237681.39</v>
      </c>
      <c r="R1694" t="s">
        <v>2779</v>
      </c>
    </row>
    <row r="1695" spans="1:20" x14ac:dyDescent="0.25">
      <c r="A1695" t="s">
        <v>14</v>
      </c>
      <c r="B1695" t="s">
        <v>836</v>
      </c>
      <c r="C1695" t="s">
        <v>4365</v>
      </c>
      <c r="D1695" t="s">
        <v>4403</v>
      </c>
      <c r="E1695">
        <v>47300070555</v>
      </c>
      <c r="F1695" t="s">
        <v>35</v>
      </c>
      <c r="G1695" t="s">
        <v>35</v>
      </c>
      <c r="H1695" t="s">
        <v>116</v>
      </c>
      <c r="K1695" t="s">
        <v>3795</v>
      </c>
      <c r="L1695" t="s">
        <v>19</v>
      </c>
      <c r="M1695" t="s">
        <v>20</v>
      </c>
      <c r="P1695">
        <v>50000</v>
      </c>
      <c r="Q1695">
        <v>50000</v>
      </c>
      <c r="R1695" t="s">
        <v>4045</v>
      </c>
      <c r="S1695" t="s">
        <v>837</v>
      </c>
      <c r="T1695">
        <v>208.2</v>
      </c>
    </row>
    <row r="1696" spans="1:20" x14ac:dyDescent="0.25">
      <c r="A1696" t="s">
        <v>14</v>
      </c>
      <c r="B1696" t="s">
        <v>834</v>
      </c>
      <c r="C1696" t="s">
        <v>4365</v>
      </c>
      <c r="D1696" t="s">
        <v>4403</v>
      </c>
      <c r="E1696">
        <v>47300026094</v>
      </c>
      <c r="F1696" t="s">
        <v>35</v>
      </c>
      <c r="G1696" t="s">
        <v>36</v>
      </c>
      <c r="H1696" t="s">
        <v>4359</v>
      </c>
      <c r="K1696" t="s">
        <v>3795</v>
      </c>
      <c r="L1696" t="s">
        <v>19</v>
      </c>
      <c r="M1696" t="s">
        <v>20</v>
      </c>
      <c r="P1696">
        <v>100000</v>
      </c>
      <c r="Q1696">
        <v>100000</v>
      </c>
      <c r="R1696" t="s">
        <v>4046</v>
      </c>
      <c r="S1696" t="s">
        <v>835</v>
      </c>
      <c r="T1696">
        <v>416.3</v>
      </c>
    </row>
    <row r="1697" spans="1:20" x14ac:dyDescent="0.25">
      <c r="A1697" t="s">
        <v>14</v>
      </c>
      <c r="B1697" t="s">
        <v>833</v>
      </c>
      <c r="C1697" t="s">
        <v>4389</v>
      </c>
      <c r="D1697" t="s">
        <v>4390</v>
      </c>
      <c r="E1697">
        <v>47300046688</v>
      </c>
      <c r="F1697" t="s">
        <v>16</v>
      </c>
      <c r="G1697" t="s">
        <v>17</v>
      </c>
      <c r="H1697" t="s">
        <v>154</v>
      </c>
      <c r="K1697" t="s">
        <v>3180</v>
      </c>
      <c r="L1697" t="s">
        <v>47</v>
      </c>
      <c r="N1697" s="2">
        <v>45555</v>
      </c>
      <c r="O1697" s="2">
        <v>45565</v>
      </c>
      <c r="P1697">
        <v>10140.25</v>
      </c>
      <c r="Q1697">
        <v>10140.25</v>
      </c>
      <c r="R1697" t="s">
        <v>3179</v>
      </c>
    </row>
    <row r="1698" spans="1:20" x14ac:dyDescent="0.25">
      <c r="A1698" t="s">
        <v>14</v>
      </c>
      <c r="B1698" t="s">
        <v>832</v>
      </c>
      <c r="C1698" t="s">
        <v>4406</v>
      </c>
      <c r="D1698" t="s">
        <v>4394</v>
      </c>
      <c r="E1698">
        <v>47300070571</v>
      </c>
      <c r="F1698" t="s">
        <v>42</v>
      </c>
      <c r="G1698" t="s">
        <v>28</v>
      </c>
      <c r="H1698" t="s">
        <v>72</v>
      </c>
      <c r="K1698" t="s">
        <v>3182</v>
      </c>
      <c r="L1698" t="s">
        <v>47</v>
      </c>
      <c r="N1698" s="2">
        <v>45555</v>
      </c>
      <c r="O1698" s="2">
        <v>45565</v>
      </c>
      <c r="P1698">
        <v>150650</v>
      </c>
      <c r="Q1698">
        <v>150650</v>
      </c>
      <c r="R1698" t="s">
        <v>3181</v>
      </c>
    </row>
    <row r="1699" spans="1:20" x14ac:dyDescent="0.25">
      <c r="A1699" t="s">
        <v>14</v>
      </c>
      <c r="B1699" t="s">
        <v>830</v>
      </c>
      <c r="C1699" t="s">
        <v>4365</v>
      </c>
      <c r="D1699" t="s">
        <v>4403</v>
      </c>
      <c r="E1699">
        <v>47300046241</v>
      </c>
      <c r="F1699" t="s">
        <v>16</v>
      </c>
      <c r="G1699" t="s">
        <v>23</v>
      </c>
      <c r="H1699" t="s">
        <v>24</v>
      </c>
      <c r="I1699" t="s">
        <v>2754</v>
      </c>
      <c r="J1699">
        <v>0</v>
      </c>
      <c r="K1699" t="s">
        <v>3795</v>
      </c>
      <c r="L1699" t="s">
        <v>19</v>
      </c>
      <c r="M1699" t="s">
        <v>20</v>
      </c>
      <c r="P1699">
        <v>30000</v>
      </c>
      <c r="Q1699">
        <v>30000</v>
      </c>
      <c r="R1699" t="s">
        <v>4047</v>
      </c>
      <c r="S1699" t="s">
        <v>831</v>
      </c>
      <c r="T1699">
        <v>124.9</v>
      </c>
    </row>
    <row r="1700" spans="1:20" x14ac:dyDescent="0.25">
      <c r="A1700" t="s">
        <v>14</v>
      </c>
      <c r="B1700" t="s">
        <v>829</v>
      </c>
      <c r="C1700" t="s">
        <v>4389</v>
      </c>
      <c r="D1700" t="s">
        <v>4375</v>
      </c>
      <c r="E1700">
        <v>47300070514</v>
      </c>
      <c r="F1700" t="s">
        <v>27</v>
      </c>
      <c r="G1700" t="s">
        <v>28</v>
      </c>
      <c r="H1700" t="s">
        <v>29</v>
      </c>
      <c r="K1700" t="s">
        <v>2892</v>
      </c>
      <c r="L1700" t="s">
        <v>19</v>
      </c>
      <c r="M1700" t="s">
        <v>46</v>
      </c>
      <c r="N1700" s="2">
        <v>45536</v>
      </c>
      <c r="O1700" s="2">
        <v>45565</v>
      </c>
      <c r="P1700">
        <v>10000</v>
      </c>
      <c r="Q1700">
        <v>10000</v>
      </c>
      <c r="R1700" t="s">
        <v>3089</v>
      </c>
    </row>
    <row r="1701" spans="1:20" x14ac:dyDescent="0.25">
      <c r="A1701" t="s">
        <v>14</v>
      </c>
      <c r="B1701" t="s">
        <v>827</v>
      </c>
      <c r="C1701" t="s">
        <v>4365</v>
      </c>
      <c r="D1701" t="s">
        <v>4403</v>
      </c>
      <c r="E1701">
        <v>47300046761</v>
      </c>
      <c r="F1701" t="s">
        <v>42</v>
      </c>
      <c r="G1701" t="s">
        <v>28</v>
      </c>
      <c r="H1701" t="s">
        <v>43</v>
      </c>
      <c r="K1701" t="s">
        <v>3795</v>
      </c>
      <c r="L1701" t="s">
        <v>19</v>
      </c>
      <c r="M1701" t="s">
        <v>20</v>
      </c>
      <c r="P1701">
        <v>25000</v>
      </c>
      <c r="Q1701">
        <v>25000</v>
      </c>
      <c r="R1701" t="s">
        <v>4048</v>
      </c>
      <c r="S1701" t="s">
        <v>828</v>
      </c>
      <c r="T1701">
        <v>104</v>
      </c>
    </row>
    <row r="1702" spans="1:20" x14ac:dyDescent="0.25">
      <c r="A1702" t="s">
        <v>14</v>
      </c>
      <c r="B1702" t="s">
        <v>825</v>
      </c>
      <c r="C1702" t="s">
        <v>4389</v>
      </c>
      <c r="D1702" t="s">
        <v>4375</v>
      </c>
      <c r="E1702">
        <v>47300026094</v>
      </c>
      <c r="F1702" t="s">
        <v>35</v>
      </c>
      <c r="G1702" t="s">
        <v>36</v>
      </c>
      <c r="H1702" t="s">
        <v>4359</v>
      </c>
      <c r="K1702" t="s">
        <v>3795</v>
      </c>
      <c r="L1702" t="s">
        <v>19</v>
      </c>
      <c r="M1702" t="s">
        <v>20</v>
      </c>
      <c r="P1702">
        <v>200000</v>
      </c>
      <c r="Q1702">
        <v>200000</v>
      </c>
      <c r="R1702" t="s">
        <v>4049</v>
      </c>
      <c r="S1702" t="s">
        <v>826</v>
      </c>
      <c r="T1702">
        <v>832.6</v>
      </c>
    </row>
    <row r="1703" spans="1:20" x14ac:dyDescent="0.25">
      <c r="A1703" t="s">
        <v>14</v>
      </c>
      <c r="B1703" t="s">
        <v>823</v>
      </c>
      <c r="C1703" t="s">
        <v>4418</v>
      </c>
      <c r="D1703" t="s">
        <v>4368</v>
      </c>
      <c r="E1703">
        <v>47300025690</v>
      </c>
      <c r="F1703" t="s">
        <v>35</v>
      </c>
      <c r="G1703" t="s">
        <v>36</v>
      </c>
      <c r="H1703" t="s">
        <v>37</v>
      </c>
      <c r="K1703" t="s">
        <v>3795</v>
      </c>
      <c r="L1703" t="s">
        <v>19</v>
      </c>
      <c r="M1703" t="s">
        <v>20</v>
      </c>
      <c r="P1703">
        <v>100000</v>
      </c>
      <c r="Q1703">
        <v>100000</v>
      </c>
      <c r="R1703" t="s">
        <v>4050</v>
      </c>
      <c r="S1703" t="s">
        <v>824</v>
      </c>
      <c r="T1703">
        <v>416.3</v>
      </c>
    </row>
    <row r="1704" spans="1:20" x14ac:dyDescent="0.25">
      <c r="A1704" t="s">
        <v>14</v>
      </c>
      <c r="B1704" t="s">
        <v>821</v>
      </c>
      <c r="C1704" t="s">
        <v>4409</v>
      </c>
      <c r="D1704" t="s">
        <v>4410</v>
      </c>
      <c r="E1704">
        <v>47300025708</v>
      </c>
      <c r="F1704" t="s">
        <v>35</v>
      </c>
      <c r="G1704" t="s">
        <v>36</v>
      </c>
      <c r="H1704" t="s">
        <v>4360</v>
      </c>
      <c r="K1704" t="s">
        <v>3795</v>
      </c>
      <c r="L1704" t="s">
        <v>19</v>
      </c>
      <c r="M1704" t="s">
        <v>20</v>
      </c>
      <c r="P1704">
        <v>100000</v>
      </c>
      <c r="Q1704">
        <v>100000</v>
      </c>
      <c r="R1704" t="s">
        <v>4051</v>
      </c>
      <c r="S1704" t="s">
        <v>822</v>
      </c>
      <c r="T1704">
        <v>416.3</v>
      </c>
    </row>
    <row r="1705" spans="1:20" x14ac:dyDescent="0.25">
      <c r="A1705" t="s">
        <v>14</v>
      </c>
      <c r="B1705" t="s">
        <v>819</v>
      </c>
      <c r="C1705" t="s">
        <v>4371</v>
      </c>
      <c r="D1705" t="s">
        <v>4368</v>
      </c>
      <c r="E1705">
        <v>47300026185</v>
      </c>
      <c r="F1705" t="s">
        <v>35</v>
      </c>
      <c r="G1705" t="s">
        <v>36</v>
      </c>
      <c r="H1705" t="s">
        <v>4361</v>
      </c>
      <c r="K1705" t="s">
        <v>3795</v>
      </c>
      <c r="L1705" t="s">
        <v>19</v>
      </c>
      <c r="M1705" t="s">
        <v>20</v>
      </c>
      <c r="P1705">
        <v>100000</v>
      </c>
      <c r="Q1705">
        <v>100000</v>
      </c>
      <c r="R1705" t="s">
        <v>4052</v>
      </c>
      <c r="S1705" t="s">
        <v>820</v>
      </c>
      <c r="T1705">
        <v>416.3</v>
      </c>
    </row>
    <row r="1706" spans="1:20" x14ac:dyDescent="0.25">
      <c r="A1706" t="s">
        <v>14</v>
      </c>
      <c r="B1706" t="s">
        <v>817</v>
      </c>
      <c r="C1706" t="s">
        <v>4386</v>
      </c>
      <c r="D1706" t="s">
        <v>4368</v>
      </c>
      <c r="E1706">
        <v>47300012151</v>
      </c>
      <c r="F1706" t="s">
        <v>35</v>
      </c>
      <c r="G1706" t="s">
        <v>36</v>
      </c>
      <c r="H1706" t="s">
        <v>4362</v>
      </c>
      <c r="K1706" t="s">
        <v>3795</v>
      </c>
      <c r="L1706" t="s">
        <v>19</v>
      </c>
      <c r="M1706" t="s">
        <v>20</v>
      </c>
      <c r="P1706">
        <v>100000</v>
      </c>
      <c r="Q1706">
        <v>100000</v>
      </c>
      <c r="R1706" t="s">
        <v>4053</v>
      </c>
      <c r="S1706" t="s">
        <v>818</v>
      </c>
      <c r="T1706">
        <v>416.3</v>
      </c>
    </row>
    <row r="1707" spans="1:20" x14ac:dyDescent="0.25">
      <c r="A1707" t="s">
        <v>14</v>
      </c>
      <c r="B1707" t="s">
        <v>815</v>
      </c>
      <c r="C1707" t="s">
        <v>4367</v>
      </c>
      <c r="D1707" t="s">
        <v>4368</v>
      </c>
      <c r="E1707">
        <v>47300070514</v>
      </c>
      <c r="F1707" t="s">
        <v>27</v>
      </c>
      <c r="G1707" t="s">
        <v>28</v>
      </c>
      <c r="H1707" t="s">
        <v>29</v>
      </c>
      <c r="K1707" t="s">
        <v>3795</v>
      </c>
      <c r="L1707" t="s">
        <v>19</v>
      </c>
      <c r="M1707" t="s">
        <v>20</v>
      </c>
      <c r="P1707">
        <v>50000</v>
      </c>
      <c r="Q1707">
        <v>50000</v>
      </c>
      <c r="R1707" t="s">
        <v>4054</v>
      </c>
      <c r="S1707" t="s">
        <v>816</v>
      </c>
      <c r="T1707">
        <v>208.2</v>
      </c>
    </row>
    <row r="1708" spans="1:20" x14ac:dyDescent="0.25">
      <c r="A1708" t="s">
        <v>14</v>
      </c>
      <c r="B1708" t="s">
        <v>813</v>
      </c>
      <c r="C1708" t="s">
        <v>4384</v>
      </c>
      <c r="D1708" t="s">
        <v>4379</v>
      </c>
      <c r="E1708">
        <v>47300070480</v>
      </c>
      <c r="F1708" t="s">
        <v>16</v>
      </c>
      <c r="G1708" t="s">
        <v>28</v>
      </c>
      <c r="H1708" t="s">
        <v>184</v>
      </c>
      <c r="K1708" t="s">
        <v>4266</v>
      </c>
      <c r="L1708" t="s">
        <v>19</v>
      </c>
      <c r="M1708" t="s">
        <v>63</v>
      </c>
      <c r="N1708" s="2">
        <v>45536</v>
      </c>
      <c r="O1708" s="2">
        <v>45565</v>
      </c>
      <c r="P1708">
        <v>50000</v>
      </c>
      <c r="Q1708">
        <v>50000</v>
      </c>
      <c r="R1708" t="s">
        <v>3090</v>
      </c>
      <c r="S1708" t="s">
        <v>814</v>
      </c>
      <c r="T1708">
        <v>208.1</v>
      </c>
    </row>
    <row r="1709" spans="1:20" x14ac:dyDescent="0.25">
      <c r="A1709" t="s">
        <v>14</v>
      </c>
      <c r="B1709" t="s">
        <v>813</v>
      </c>
      <c r="C1709" t="s">
        <v>4406</v>
      </c>
      <c r="D1709" t="s">
        <v>4394</v>
      </c>
      <c r="E1709">
        <v>47300070480</v>
      </c>
      <c r="F1709" t="s">
        <v>16</v>
      </c>
      <c r="G1709" t="s">
        <v>28</v>
      </c>
      <c r="H1709" t="s">
        <v>184</v>
      </c>
      <c r="K1709" t="s">
        <v>3294</v>
      </c>
      <c r="L1709" t="s">
        <v>19</v>
      </c>
      <c r="M1709" t="s">
        <v>46</v>
      </c>
      <c r="N1709" s="2">
        <v>45536</v>
      </c>
      <c r="O1709" s="2">
        <v>45565</v>
      </c>
      <c r="P1709">
        <v>500</v>
      </c>
      <c r="Q1709">
        <v>500</v>
      </c>
      <c r="R1709" t="s">
        <v>3090</v>
      </c>
    </row>
    <row r="1710" spans="1:20" x14ac:dyDescent="0.25">
      <c r="A1710" t="s">
        <v>14</v>
      </c>
      <c r="B1710" t="s">
        <v>813</v>
      </c>
      <c r="C1710" t="s">
        <v>4374</v>
      </c>
      <c r="D1710" t="s">
        <v>4375</v>
      </c>
      <c r="E1710">
        <v>47300070480</v>
      </c>
      <c r="F1710" t="s">
        <v>16</v>
      </c>
      <c r="G1710" t="s">
        <v>28</v>
      </c>
      <c r="H1710" t="s">
        <v>184</v>
      </c>
      <c r="K1710" t="s">
        <v>2892</v>
      </c>
      <c r="L1710" t="s">
        <v>19</v>
      </c>
      <c r="M1710" t="s">
        <v>46</v>
      </c>
      <c r="N1710" s="2">
        <v>45536</v>
      </c>
      <c r="O1710" s="2">
        <v>45565</v>
      </c>
      <c r="P1710">
        <v>10000</v>
      </c>
      <c r="Q1710">
        <v>10000</v>
      </c>
      <c r="R1710" t="s">
        <v>3090</v>
      </c>
    </row>
    <row r="1711" spans="1:20" x14ac:dyDescent="0.25">
      <c r="A1711" t="s">
        <v>14</v>
      </c>
      <c r="B1711" t="s">
        <v>811</v>
      </c>
      <c r="C1711" t="s">
        <v>4376</v>
      </c>
      <c r="D1711" t="s">
        <v>4377</v>
      </c>
      <c r="E1711">
        <v>47300046720</v>
      </c>
      <c r="F1711" t="s">
        <v>16</v>
      </c>
      <c r="G1711" t="s">
        <v>28</v>
      </c>
      <c r="H1711" t="s">
        <v>143</v>
      </c>
      <c r="K1711" t="s">
        <v>3795</v>
      </c>
      <c r="L1711" t="s">
        <v>19</v>
      </c>
      <c r="M1711" t="s">
        <v>20</v>
      </c>
      <c r="P1711">
        <v>25000</v>
      </c>
      <c r="Q1711">
        <v>25000</v>
      </c>
      <c r="R1711" t="s">
        <v>4055</v>
      </c>
      <c r="S1711" t="s">
        <v>812</v>
      </c>
      <c r="T1711">
        <v>104.1</v>
      </c>
    </row>
    <row r="1712" spans="1:20" x14ac:dyDescent="0.25">
      <c r="A1712" t="s">
        <v>14</v>
      </c>
      <c r="B1712" t="s">
        <v>809</v>
      </c>
      <c r="C1712" t="s">
        <v>4384</v>
      </c>
      <c r="D1712" t="s">
        <v>4379</v>
      </c>
      <c r="E1712">
        <v>47300070795</v>
      </c>
      <c r="F1712" t="s">
        <v>16</v>
      </c>
      <c r="G1712" t="s">
        <v>87</v>
      </c>
      <c r="H1712" t="s">
        <v>88</v>
      </c>
      <c r="K1712" t="s">
        <v>3795</v>
      </c>
      <c r="L1712" t="s">
        <v>19</v>
      </c>
      <c r="M1712" t="s">
        <v>20</v>
      </c>
      <c r="P1712">
        <v>25000</v>
      </c>
      <c r="Q1712">
        <v>25000</v>
      </c>
      <c r="R1712" t="s">
        <v>4056</v>
      </c>
      <c r="S1712" t="s">
        <v>810</v>
      </c>
      <c r="T1712">
        <v>104.1</v>
      </c>
    </row>
    <row r="1713" spans="1:25" x14ac:dyDescent="0.25">
      <c r="A1713" t="s">
        <v>14</v>
      </c>
      <c r="B1713" t="s">
        <v>807</v>
      </c>
      <c r="C1713" t="s">
        <v>4384</v>
      </c>
      <c r="D1713" t="s">
        <v>4379</v>
      </c>
      <c r="E1713">
        <v>47300046688</v>
      </c>
      <c r="F1713" t="s">
        <v>16</v>
      </c>
      <c r="G1713" t="s">
        <v>17</v>
      </c>
      <c r="H1713" t="s">
        <v>154</v>
      </c>
      <c r="K1713" t="s">
        <v>3795</v>
      </c>
      <c r="L1713" t="s">
        <v>19</v>
      </c>
      <c r="M1713" t="s">
        <v>20</v>
      </c>
      <c r="P1713">
        <v>15000</v>
      </c>
      <c r="Q1713">
        <v>15000</v>
      </c>
      <c r="R1713" t="s">
        <v>4057</v>
      </c>
      <c r="S1713" t="s">
        <v>808</v>
      </c>
      <c r="T1713">
        <v>62.5</v>
      </c>
    </row>
    <row r="1714" spans="1:25" x14ac:dyDescent="0.25">
      <c r="A1714" t="s">
        <v>14</v>
      </c>
      <c r="B1714" t="s">
        <v>806</v>
      </c>
      <c r="C1714" t="s">
        <v>4400</v>
      </c>
      <c r="D1714" t="s">
        <v>4401</v>
      </c>
      <c r="E1714">
        <v>47300070597</v>
      </c>
      <c r="F1714" t="s">
        <v>16</v>
      </c>
      <c r="G1714" t="s">
        <v>28</v>
      </c>
      <c r="H1714" t="s">
        <v>77</v>
      </c>
      <c r="K1714" t="s">
        <v>3536</v>
      </c>
      <c r="L1714" t="s">
        <v>47</v>
      </c>
      <c r="N1714" s="2">
        <v>45541</v>
      </c>
      <c r="O1714" s="2">
        <v>45539</v>
      </c>
      <c r="P1714">
        <v>64912.4</v>
      </c>
      <c r="Q1714">
        <v>64912.4</v>
      </c>
      <c r="R1714" t="s">
        <v>2780</v>
      </c>
    </row>
    <row r="1715" spans="1:25" x14ac:dyDescent="0.25">
      <c r="A1715" t="s">
        <v>14</v>
      </c>
      <c r="B1715" t="s">
        <v>806</v>
      </c>
      <c r="C1715" t="s">
        <v>4380</v>
      </c>
      <c r="D1715" t="s">
        <v>4381</v>
      </c>
      <c r="E1715">
        <v>47300070597</v>
      </c>
      <c r="F1715" t="s">
        <v>16</v>
      </c>
      <c r="G1715" t="s">
        <v>28</v>
      </c>
      <c r="H1715" t="s">
        <v>77</v>
      </c>
      <c r="K1715" t="s">
        <v>2760</v>
      </c>
      <c r="L1715" t="s">
        <v>47</v>
      </c>
      <c r="N1715" s="2">
        <v>45534</v>
      </c>
      <c r="O1715" s="2">
        <v>45532</v>
      </c>
      <c r="P1715">
        <v>237681.39</v>
      </c>
      <c r="Q1715">
        <v>237681.39</v>
      </c>
      <c r="R1715" t="s">
        <v>2780</v>
      </c>
    </row>
    <row r="1716" spans="1:25" x14ac:dyDescent="0.25">
      <c r="A1716" t="s">
        <v>14</v>
      </c>
      <c r="B1716" t="s">
        <v>804</v>
      </c>
      <c r="C1716" t="s">
        <v>4402</v>
      </c>
      <c r="D1716" t="s">
        <v>4379</v>
      </c>
      <c r="E1716">
        <v>47300046605</v>
      </c>
      <c r="F1716" t="s">
        <v>16</v>
      </c>
      <c r="G1716" t="s">
        <v>17</v>
      </c>
      <c r="H1716" t="s">
        <v>49</v>
      </c>
      <c r="K1716" t="s">
        <v>4266</v>
      </c>
      <c r="L1716" t="s">
        <v>19</v>
      </c>
      <c r="M1716" t="s">
        <v>63</v>
      </c>
      <c r="N1716" s="2">
        <v>45536</v>
      </c>
      <c r="O1716" s="2">
        <v>45565</v>
      </c>
      <c r="P1716">
        <v>65100</v>
      </c>
      <c r="Q1716">
        <v>65100</v>
      </c>
      <c r="R1716" t="s">
        <v>4306</v>
      </c>
      <c r="S1716" t="s">
        <v>805</v>
      </c>
      <c r="T1716">
        <v>271</v>
      </c>
    </row>
    <row r="1717" spans="1:25" x14ac:dyDescent="0.25">
      <c r="A1717" t="s">
        <v>14</v>
      </c>
      <c r="B1717" t="s">
        <v>803</v>
      </c>
      <c r="C1717" t="s">
        <v>4402</v>
      </c>
      <c r="D1717" t="s">
        <v>4379</v>
      </c>
      <c r="E1717">
        <v>47300070522</v>
      </c>
      <c r="F1717" t="s">
        <v>16</v>
      </c>
      <c r="G1717" t="s">
        <v>17</v>
      </c>
      <c r="H1717" t="s">
        <v>18</v>
      </c>
      <c r="K1717" t="s">
        <v>2892</v>
      </c>
      <c r="L1717" t="s">
        <v>19</v>
      </c>
      <c r="M1717" t="s">
        <v>46</v>
      </c>
      <c r="N1717" s="2">
        <v>45536</v>
      </c>
      <c r="O1717" s="2">
        <v>45565</v>
      </c>
      <c r="P1717">
        <v>10000</v>
      </c>
      <c r="Q1717">
        <v>10000</v>
      </c>
      <c r="R1717" t="s">
        <v>3091</v>
      </c>
    </row>
    <row r="1718" spans="1:25" x14ac:dyDescent="0.25">
      <c r="A1718" t="s">
        <v>14</v>
      </c>
      <c r="B1718" t="s">
        <v>801</v>
      </c>
      <c r="C1718" t="s">
        <v>4400</v>
      </c>
      <c r="D1718" t="s">
        <v>4401</v>
      </c>
      <c r="E1718">
        <v>47300070522</v>
      </c>
      <c r="F1718" t="s">
        <v>16</v>
      </c>
      <c r="G1718" t="s">
        <v>17</v>
      </c>
      <c r="H1718" t="s">
        <v>18</v>
      </c>
      <c r="K1718" t="s">
        <v>3795</v>
      </c>
      <c r="L1718" t="s">
        <v>19</v>
      </c>
      <c r="M1718" t="s">
        <v>20</v>
      </c>
      <c r="P1718">
        <v>40000</v>
      </c>
      <c r="Q1718">
        <v>40000</v>
      </c>
      <c r="R1718" t="s">
        <v>4058</v>
      </c>
      <c r="S1718" t="s">
        <v>802</v>
      </c>
      <c r="T1718">
        <v>166.5</v>
      </c>
    </row>
    <row r="1719" spans="1:25" x14ac:dyDescent="0.25">
      <c r="A1719" t="s">
        <v>14</v>
      </c>
      <c r="B1719" t="s">
        <v>799</v>
      </c>
      <c r="C1719" t="s">
        <v>4394</v>
      </c>
      <c r="D1719" t="s">
        <v>4421</v>
      </c>
      <c r="E1719">
        <v>47300046761</v>
      </c>
      <c r="F1719" t="s">
        <v>42</v>
      </c>
      <c r="G1719" t="s">
        <v>28</v>
      </c>
      <c r="H1719" t="s">
        <v>43</v>
      </c>
      <c r="K1719" t="s">
        <v>3795</v>
      </c>
      <c r="L1719" t="s">
        <v>19</v>
      </c>
      <c r="M1719" t="s">
        <v>20</v>
      </c>
      <c r="P1719">
        <v>25000</v>
      </c>
      <c r="Q1719">
        <v>25000</v>
      </c>
      <c r="R1719" t="s">
        <v>4059</v>
      </c>
      <c r="S1719" t="s">
        <v>800</v>
      </c>
      <c r="T1719">
        <v>104.1</v>
      </c>
      <c r="X1719" t="s">
        <v>4422</v>
      </c>
      <c r="Y1719" t="s">
        <v>4423</v>
      </c>
    </row>
    <row r="1720" spans="1:25" x14ac:dyDescent="0.25">
      <c r="A1720" t="s">
        <v>14</v>
      </c>
      <c r="B1720" t="s">
        <v>798</v>
      </c>
      <c r="C1720" t="s">
        <v>4394</v>
      </c>
      <c r="D1720" t="s">
        <v>4421</v>
      </c>
      <c r="E1720">
        <v>47300070498</v>
      </c>
      <c r="F1720" t="s">
        <v>16</v>
      </c>
      <c r="G1720" t="s">
        <v>28</v>
      </c>
      <c r="H1720" t="s">
        <v>794</v>
      </c>
      <c r="I1720" t="s">
        <v>2853</v>
      </c>
      <c r="J1720" t="s">
        <v>2852</v>
      </c>
      <c r="K1720" t="s">
        <v>3536</v>
      </c>
      <c r="L1720" t="s">
        <v>47</v>
      </c>
      <c r="N1720" s="2">
        <v>45541</v>
      </c>
      <c r="O1720" s="2">
        <v>45539</v>
      </c>
      <c r="P1720">
        <v>64912.4</v>
      </c>
      <c r="Q1720">
        <v>64912.4</v>
      </c>
      <c r="R1720" t="s">
        <v>3552</v>
      </c>
      <c r="X1720" t="s">
        <v>4422</v>
      </c>
      <c r="Y1720" t="s">
        <v>4423</v>
      </c>
    </row>
    <row r="1721" spans="1:25" x14ac:dyDescent="0.25">
      <c r="A1721" t="s">
        <v>14</v>
      </c>
      <c r="B1721" t="s">
        <v>796</v>
      </c>
      <c r="C1721" t="s">
        <v>4394</v>
      </c>
      <c r="D1721" t="s">
        <v>4421</v>
      </c>
      <c r="E1721">
        <v>47300070498</v>
      </c>
      <c r="F1721" t="s">
        <v>16</v>
      </c>
      <c r="G1721" t="s">
        <v>28</v>
      </c>
      <c r="H1721" t="s">
        <v>794</v>
      </c>
      <c r="I1721" t="s">
        <v>2853</v>
      </c>
      <c r="J1721" t="s">
        <v>2852</v>
      </c>
      <c r="K1721" t="s">
        <v>4266</v>
      </c>
      <c r="L1721" t="s">
        <v>19</v>
      </c>
      <c r="M1721" t="s">
        <v>63</v>
      </c>
      <c r="N1721" s="2">
        <v>45536</v>
      </c>
      <c r="O1721" s="2">
        <v>45565</v>
      </c>
      <c r="P1721">
        <v>10000</v>
      </c>
      <c r="Q1721">
        <v>10000</v>
      </c>
      <c r="R1721" t="s">
        <v>3092</v>
      </c>
      <c r="S1721" t="s">
        <v>797</v>
      </c>
      <c r="T1721">
        <v>41.6</v>
      </c>
      <c r="X1721" t="s">
        <v>4422</v>
      </c>
      <c r="Y1721" t="s">
        <v>4423</v>
      </c>
    </row>
    <row r="1722" spans="1:25" x14ac:dyDescent="0.25">
      <c r="A1722" t="s">
        <v>14</v>
      </c>
      <c r="B1722" t="s">
        <v>796</v>
      </c>
      <c r="C1722" t="s">
        <v>4387</v>
      </c>
      <c r="D1722" t="s">
        <v>4388</v>
      </c>
      <c r="E1722">
        <v>47300070498</v>
      </c>
      <c r="F1722" t="s">
        <v>16</v>
      </c>
      <c r="G1722" t="s">
        <v>28</v>
      </c>
      <c r="H1722" t="s">
        <v>794</v>
      </c>
      <c r="I1722" t="s">
        <v>2853</v>
      </c>
      <c r="J1722" t="s">
        <v>2852</v>
      </c>
      <c r="K1722" t="s">
        <v>3294</v>
      </c>
      <c r="L1722" t="s">
        <v>19</v>
      </c>
      <c r="M1722" t="s">
        <v>46</v>
      </c>
      <c r="N1722" s="2">
        <v>45536</v>
      </c>
      <c r="O1722" s="2">
        <v>45565</v>
      </c>
      <c r="P1722">
        <v>500</v>
      </c>
      <c r="Q1722">
        <v>500</v>
      </c>
      <c r="R1722" t="s">
        <v>3092</v>
      </c>
    </row>
    <row r="1723" spans="1:25" x14ac:dyDescent="0.25">
      <c r="A1723" t="s">
        <v>14</v>
      </c>
      <c r="B1723" t="s">
        <v>796</v>
      </c>
      <c r="C1723" t="s">
        <v>4394</v>
      </c>
      <c r="D1723" t="s">
        <v>4421</v>
      </c>
      <c r="E1723">
        <v>47300070498</v>
      </c>
      <c r="F1723" t="s">
        <v>16</v>
      </c>
      <c r="G1723" t="s">
        <v>28</v>
      </c>
      <c r="H1723" t="s">
        <v>794</v>
      </c>
      <c r="I1723" t="s">
        <v>2853</v>
      </c>
      <c r="J1723" t="s">
        <v>2852</v>
      </c>
      <c r="K1723" t="s">
        <v>2892</v>
      </c>
      <c r="L1723" t="s">
        <v>19</v>
      </c>
      <c r="M1723" t="s">
        <v>46</v>
      </c>
      <c r="N1723" s="2">
        <v>45536</v>
      </c>
      <c r="O1723" s="2">
        <v>45626</v>
      </c>
      <c r="P1723">
        <v>10000</v>
      </c>
      <c r="Q1723">
        <v>30000</v>
      </c>
      <c r="R1723" t="s">
        <v>3092</v>
      </c>
      <c r="X1723" t="s">
        <v>4422</v>
      </c>
      <c r="Y1723" t="s">
        <v>4423</v>
      </c>
    </row>
    <row r="1724" spans="1:25" x14ac:dyDescent="0.25">
      <c r="A1724" t="s">
        <v>14</v>
      </c>
      <c r="B1724" t="s">
        <v>793</v>
      </c>
      <c r="C1724" t="s">
        <v>4394</v>
      </c>
      <c r="D1724" t="s">
        <v>4421</v>
      </c>
      <c r="E1724">
        <v>47300070498</v>
      </c>
      <c r="F1724" t="s">
        <v>16</v>
      </c>
      <c r="G1724" t="s">
        <v>28</v>
      </c>
      <c r="H1724" t="s">
        <v>794</v>
      </c>
      <c r="I1724" t="s">
        <v>2853</v>
      </c>
      <c r="J1724" t="s">
        <v>2852</v>
      </c>
      <c r="K1724" t="s">
        <v>3795</v>
      </c>
      <c r="L1724" t="s">
        <v>19</v>
      </c>
      <c r="M1724" t="s">
        <v>20</v>
      </c>
      <c r="P1724">
        <v>100000</v>
      </c>
      <c r="Q1724">
        <v>100000</v>
      </c>
      <c r="R1724" t="s">
        <v>4060</v>
      </c>
      <c r="S1724" t="s">
        <v>795</v>
      </c>
      <c r="T1724">
        <v>416.3</v>
      </c>
      <c r="X1724" t="s">
        <v>4422</v>
      </c>
      <c r="Y1724" t="s">
        <v>4423</v>
      </c>
    </row>
    <row r="1725" spans="1:25" x14ac:dyDescent="0.25">
      <c r="A1725" t="s">
        <v>14</v>
      </c>
      <c r="B1725" t="s">
        <v>791</v>
      </c>
      <c r="C1725" t="s">
        <v>2927</v>
      </c>
      <c r="D1725" t="s">
        <v>4375</v>
      </c>
      <c r="E1725">
        <v>47300046746</v>
      </c>
      <c r="F1725" t="s">
        <v>16</v>
      </c>
      <c r="G1725" t="s">
        <v>28</v>
      </c>
      <c r="H1725" t="s">
        <v>32</v>
      </c>
      <c r="K1725" t="s">
        <v>3795</v>
      </c>
      <c r="L1725" t="s">
        <v>19</v>
      </c>
      <c r="M1725" t="s">
        <v>20</v>
      </c>
      <c r="P1725">
        <v>10000</v>
      </c>
      <c r="Q1725">
        <v>10000</v>
      </c>
      <c r="R1725" t="s">
        <v>4061</v>
      </c>
      <c r="S1725" t="s">
        <v>792</v>
      </c>
      <c r="T1725">
        <v>41.6</v>
      </c>
    </row>
    <row r="1726" spans="1:25" x14ac:dyDescent="0.25">
      <c r="A1726" t="s">
        <v>14</v>
      </c>
      <c r="B1726" t="s">
        <v>789</v>
      </c>
      <c r="C1726" t="s">
        <v>4365</v>
      </c>
      <c r="D1726" t="s">
        <v>4403</v>
      </c>
      <c r="E1726">
        <v>47300070837</v>
      </c>
      <c r="F1726" t="s">
        <v>16</v>
      </c>
      <c r="G1726" t="s">
        <v>23</v>
      </c>
      <c r="H1726" t="s">
        <v>165</v>
      </c>
      <c r="K1726" t="s">
        <v>4266</v>
      </c>
      <c r="L1726" t="s">
        <v>19</v>
      </c>
      <c r="M1726" t="s">
        <v>63</v>
      </c>
      <c r="N1726" s="2">
        <v>45536</v>
      </c>
      <c r="O1726" s="2">
        <v>45565</v>
      </c>
      <c r="P1726">
        <v>188000</v>
      </c>
      <c r="Q1726">
        <v>188000</v>
      </c>
      <c r="R1726" t="s">
        <v>3455</v>
      </c>
      <c r="S1726" t="s">
        <v>790</v>
      </c>
      <c r="T1726">
        <v>782.6</v>
      </c>
    </row>
    <row r="1727" spans="1:25" x14ac:dyDescent="0.25">
      <c r="A1727" t="s">
        <v>14</v>
      </c>
      <c r="B1727" t="s">
        <v>789</v>
      </c>
      <c r="C1727" t="s">
        <v>4384</v>
      </c>
      <c r="D1727" t="s">
        <v>4385</v>
      </c>
      <c r="E1727">
        <v>47300070837</v>
      </c>
      <c r="F1727" t="s">
        <v>16</v>
      </c>
      <c r="G1727" t="s">
        <v>23</v>
      </c>
      <c r="H1727" t="s">
        <v>165</v>
      </c>
      <c r="K1727" t="s">
        <v>3536</v>
      </c>
      <c r="L1727" t="s">
        <v>47</v>
      </c>
      <c r="N1727" s="2">
        <v>45541</v>
      </c>
      <c r="O1727" s="2">
        <v>45539</v>
      </c>
      <c r="P1727">
        <v>64912.4</v>
      </c>
      <c r="Q1727">
        <v>64912.4</v>
      </c>
      <c r="R1727" t="s">
        <v>3455</v>
      </c>
    </row>
    <row r="1728" spans="1:25" x14ac:dyDescent="0.25">
      <c r="A1728" t="s">
        <v>14</v>
      </c>
      <c r="B1728" t="s">
        <v>789</v>
      </c>
      <c r="C1728" t="s">
        <v>2927</v>
      </c>
      <c r="D1728" t="s">
        <v>4375</v>
      </c>
      <c r="E1728">
        <v>47300070837</v>
      </c>
      <c r="F1728" t="s">
        <v>16</v>
      </c>
      <c r="G1728" t="s">
        <v>23</v>
      </c>
      <c r="H1728" t="s">
        <v>165</v>
      </c>
      <c r="K1728" t="s">
        <v>3294</v>
      </c>
      <c r="L1728" t="s">
        <v>19</v>
      </c>
      <c r="M1728" t="s">
        <v>46</v>
      </c>
      <c r="N1728" s="2">
        <v>45536</v>
      </c>
      <c r="O1728" s="2">
        <v>45596</v>
      </c>
      <c r="P1728">
        <v>500</v>
      </c>
      <c r="Q1728">
        <v>1000</v>
      </c>
      <c r="R1728" t="s">
        <v>3455</v>
      </c>
    </row>
    <row r="1729" spans="1:20" x14ac:dyDescent="0.25">
      <c r="A1729" t="s">
        <v>14</v>
      </c>
      <c r="B1729" t="s">
        <v>787</v>
      </c>
      <c r="C1729" t="s">
        <v>4414</v>
      </c>
      <c r="D1729" t="s">
        <v>4401</v>
      </c>
      <c r="E1729">
        <v>47300046647</v>
      </c>
      <c r="F1729" t="s">
        <v>16</v>
      </c>
      <c r="G1729" t="s">
        <v>87</v>
      </c>
      <c r="H1729" t="s">
        <v>100</v>
      </c>
      <c r="K1729" t="s">
        <v>4266</v>
      </c>
      <c r="L1729" t="s">
        <v>19</v>
      </c>
      <c r="M1729" t="s">
        <v>63</v>
      </c>
      <c r="N1729" s="2">
        <v>45536</v>
      </c>
      <c r="O1729" s="2">
        <v>45565</v>
      </c>
      <c r="P1729">
        <v>100000</v>
      </c>
      <c r="Q1729">
        <v>100000</v>
      </c>
      <c r="R1729" t="s">
        <v>4307</v>
      </c>
      <c r="S1729" t="s">
        <v>788</v>
      </c>
      <c r="T1729">
        <v>416.3</v>
      </c>
    </row>
    <row r="1730" spans="1:20" x14ac:dyDescent="0.25">
      <c r="A1730" t="s">
        <v>14</v>
      </c>
      <c r="B1730" t="s">
        <v>785</v>
      </c>
      <c r="C1730" t="s">
        <v>2927</v>
      </c>
      <c r="D1730" t="s">
        <v>4375</v>
      </c>
      <c r="E1730">
        <v>47300070654</v>
      </c>
      <c r="F1730" t="s">
        <v>16</v>
      </c>
      <c r="G1730" t="s">
        <v>28</v>
      </c>
      <c r="H1730" t="s">
        <v>217</v>
      </c>
      <c r="K1730" t="s">
        <v>3795</v>
      </c>
      <c r="L1730" t="s">
        <v>19</v>
      </c>
      <c r="M1730" t="s">
        <v>20</v>
      </c>
      <c r="P1730">
        <v>20000</v>
      </c>
      <c r="Q1730">
        <v>20000</v>
      </c>
      <c r="R1730" t="s">
        <v>4062</v>
      </c>
      <c r="S1730" t="s">
        <v>786</v>
      </c>
      <c r="T1730">
        <v>83.2</v>
      </c>
    </row>
    <row r="1731" spans="1:20" x14ac:dyDescent="0.25">
      <c r="A1731" t="s">
        <v>14</v>
      </c>
      <c r="B1731" t="s">
        <v>783</v>
      </c>
      <c r="C1731" t="s">
        <v>4398</v>
      </c>
      <c r="D1731" t="s">
        <v>4377</v>
      </c>
      <c r="E1731">
        <v>47300046761</v>
      </c>
      <c r="F1731" t="s">
        <v>42</v>
      </c>
      <c r="G1731" t="s">
        <v>28</v>
      </c>
      <c r="H1731" t="s">
        <v>43</v>
      </c>
      <c r="K1731" t="s">
        <v>3795</v>
      </c>
      <c r="L1731" t="s">
        <v>19</v>
      </c>
      <c r="M1731" t="s">
        <v>20</v>
      </c>
      <c r="P1731">
        <v>25000</v>
      </c>
      <c r="Q1731">
        <v>25000</v>
      </c>
      <c r="R1731" t="s">
        <v>4063</v>
      </c>
      <c r="S1731" t="s">
        <v>784</v>
      </c>
      <c r="T1731">
        <v>104.1</v>
      </c>
    </row>
    <row r="1732" spans="1:20" x14ac:dyDescent="0.25">
      <c r="A1732" t="s">
        <v>14</v>
      </c>
      <c r="B1732" t="s">
        <v>781</v>
      </c>
      <c r="C1732" t="s">
        <v>4387</v>
      </c>
      <c r="D1732" t="s">
        <v>4388</v>
      </c>
      <c r="E1732">
        <v>47300046316</v>
      </c>
      <c r="F1732" t="s">
        <v>42</v>
      </c>
      <c r="G1732" t="s">
        <v>28</v>
      </c>
      <c r="H1732" t="s">
        <v>69</v>
      </c>
      <c r="K1732" t="s">
        <v>3795</v>
      </c>
      <c r="L1732" t="s">
        <v>19</v>
      </c>
      <c r="M1732" t="s">
        <v>20</v>
      </c>
      <c r="P1732">
        <v>80000</v>
      </c>
      <c r="Q1732">
        <v>80000</v>
      </c>
      <c r="R1732" t="s">
        <v>4064</v>
      </c>
      <c r="S1732" t="s">
        <v>782</v>
      </c>
      <c r="T1732">
        <v>333.1</v>
      </c>
    </row>
    <row r="1733" spans="1:20" x14ac:dyDescent="0.25">
      <c r="A1733" t="s">
        <v>14</v>
      </c>
      <c r="B1733" t="s">
        <v>780</v>
      </c>
      <c r="C1733" t="s">
        <v>2927</v>
      </c>
      <c r="D1733" t="s">
        <v>4375</v>
      </c>
      <c r="E1733">
        <v>47300070837</v>
      </c>
      <c r="F1733" t="s">
        <v>16</v>
      </c>
      <c r="G1733" t="s">
        <v>23</v>
      </c>
      <c r="H1733" t="s">
        <v>165</v>
      </c>
      <c r="K1733" t="s">
        <v>2892</v>
      </c>
      <c r="L1733" t="s">
        <v>19</v>
      </c>
      <c r="M1733" t="s">
        <v>46</v>
      </c>
      <c r="N1733" s="2">
        <v>45536</v>
      </c>
      <c r="O1733" s="2">
        <v>45626</v>
      </c>
      <c r="P1733">
        <v>10000</v>
      </c>
      <c r="Q1733">
        <v>30000</v>
      </c>
      <c r="R1733" t="s">
        <v>3093</v>
      </c>
    </row>
    <row r="1734" spans="1:20" x14ac:dyDescent="0.25">
      <c r="A1734" t="s">
        <v>14</v>
      </c>
      <c r="B1734" t="s">
        <v>778</v>
      </c>
      <c r="C1734" t="s">
        <v>4405</v>
      </c>
      <c r="D1734" t="s">
        <v>4390</v>
      </c>
      <c r="E1734">
        <v>47300047066</v>
      </c>
      <c r="F1734" t="s">
        <v>16</v>
      </c>
      <c r="G1734" t="s">
        <v>28</v>
      </c>
      <c r="H1734" t="s">
        <v>57</v>
      </c>
      <c r="K1734" t="s">
        <v>4266</v>
      </c>
      <c r="L1734" t="s">
        <v>19</v>
      </c>
      <c r="M1734" t="s">
        <v>63</v>
      </c>
      <c r="N1734" s="2">
        <v>45536</v>
      </c>
      <c r="O1734" s="2">
        <v>45565</v>
      </c>
      <c r="P1734">
        <v>170000</v>
      </c>
      <c r="Q1734">
        <v>170000</v>
      </c>
      <c r="R1734" t="s">
        <v>3224</v>
      </c>
      <c r="S1734" t="s">
        <v>779</v>
      </c>
      <c r="T1734">
        <v>707.7</v>
      </c>
    </row>
    <row r="1735" spans="1:20" x14ac:dyDescent="0.25">
      <c r="A1735" t="s">
        <v>14</v>
      </c>
      <c r="B1735" t="s">
        <v>778</v>
      </c>
      <c r="C1735" t="s">
        <v>4387</v>
      </c>
      <c r="D1735" t="s">
        <v>4388</v>
      </c>
      <c r="E1735">
        <v>47300047066</v>
      </c>
      <c r="F1735" t="s">
        <v>16</v>
      </c>
      <c r="G1735" t="s">
        <v>28</v>
      </c>
      <c r="H1735" t="s">
        <v>57</v>
      </c>
      <c r="K1735" t="s">
        <v>3197</v>
      </c>
      <c r="L1735" t="s">
        <v>19</v>
      </c>
      <c r="M1735" t="s">
        <v>46</v>
      </c>
      <c r="N1735" s="2">
        <v>45536</v>
      </c>
      <c r="O1735" s="2">
        <v>45565</v>
      </c>
      <c r="P1735">
        <v>150650</v>
      </c>
      <c r="Q1735">
        <v>150650</v>
      </c>
      <c r="R1735" t="s">
        <v>3224</v>
      </c>
    </row>
    <row r="1736" spans="1:20" x14ac:dyDescent="0.25">
      <c r="A1736" t="s">
        <v>14</v>
      </c>
      <c r="B1736" t="s">
        <v>776</v>
      </c>
      <c r="C1736" t="s">
        <v>4406</v>
      </c>
      <c r="D1736" t="s">
        <v>4394</v>
      </c>
      <c r="E1736">
        <v>47300070605</v>
      </c>
      <c r="F1736" t="s">
        <v>16</v>
      </c>
      <c r="G1736" t="s">
        <v>28</v>
      </c>
      <c r="H1736" t="s">
        <v>178</v>
      </c>
      <c r="K1736" t="s">
        <v>4266</v>
      </c>
      <c r="L1736" t="s">
        <v>19</v>
      </c>
      <c r="M1736" t="s">
        <v>63</v>
      </c>
      <c r="N1736" s="2">
        <v>45536</v>
      </c>
      <c r="O1736" s="2">
        <v>45565</v>
      </c>
      <c r="P1736">
        <v>40000</v>
      </c>
      <c r="Q1736">
        <v>40000</v>
      </c>
      <c r="R1736" t="s">
        <v>3094</v>
      </c>
      <c r="S1736" t="s">
        <v>777</v>
      </c>
      <c r="T1736">
        <v>166.5</v>
      </c>
    </row>
    <row r="1737" spans="1:20" x14ac:dyDescent="0.25">
      <c r="A1737" t="s">
        <v>14</v>
      </c>
      <c r="B1737" t="s">
        <v>776</v>
      </c>
      <c r="C1737" t="s">
        <v>4405</v>
      </c>
      <c r="D1737" t="s">
        <v>4390</v>
      </c>
      <c r="E1737">
        <v>47300070605</v>
      </c>
      <c r="F1737" t="s">
        <v>16</v>
      </c>
      <c r="G1737" t="s">
        <v>28</v>
      </c>
      <c r="H1737" t="s">
        <v>178</v>
      </c>
      <c r="K1737" t="s">
        <v>3294</v>
      </c>
      <c r="L1737" t="s">
        <v>19</v>
      </c>
      <c r="M1737" t="s">
        <v>46</v>
      </c>
      <c r="N1737" s="2">
        <v>45536</v>
      </c>
      <c r="O1737" s="2">
        <v>45565</v>
      </c>
      <c r="P1737">
        <v>500</v>
      </c>
      <c r="Q1737">
        <v>500</v>
      </c>
      <c r="R1737" t="s">
        <v>3094</v>
      </c>
    </row>
    <row r="1738" spans="1:20" x14ac:dyDescent="0.25">
      <c r="A1738" t="s">
        <v>14</v>
      </c>
      <c r="B1738" t="s">
        <v>776</v>
      </c>
      <c r="C1738" t="s">
        <v>4382</v>
      </c>
      <c r="D1738" t="s">
        <v>4383</v>
      </c>
      <c r="E1738">
        <v>47300070605</v>
      </c>
      <c r="F1738" t="s">
        <v>16</v>
      </c>
      <c r="G1738" t="s">
        <v>28</v>
      </c>
      <c r="H1738" t="s">
        <v>178</v>
      </c>
      <c r="K1738" t="s">
        <v>3197</v>
      </c>
      <c r="L1738" t="s">
        <v>19</v>
      </c>
      <c r="M1738" t="s">
        <v>46</v>
      </c>
      <c r="N1738" s="2">
        <v>45536</v>
      </c>
      <c r="O1738" s="2">
        <v>45565</v>
      </c>
      <c r="P1738">
        <v>150650</v>
      </c>
      <c r="Q1738">
        <v>150650</v>
      </c>
      <c r="R1738" t="s">
        <v>3094</v>
      </c>
    </row>
    <row r="1739" spans="1:20" x14ac:dyDescent="0.25">
      <c r="A1739" t="s">
        <v>14</v>
      </c>
      <c r="B1739" t="s">
        <v>776</v>
      </c>
      <c r="C1739" t="s">
        <v>4387</v>
      </c>
      <c r="D1739" t="s">
        <v>4388</v>
      </c>
      <c r="E1739">
        <v>47300070605</v>
      </c>
      <c r="F1739" t="s">
        <v>16</v>
      </c>
      <c r="G1739" t="s">
        <v>28</v>
      </c>
      <c r="H1739" t="s">
        <v>178</v>
      </c>
      <c r="K1739" t="s">
        <v>2892</v>
      </c>
      <c r="L1739" t="s">
        <v>19</v>
      </c>
      <c r="M1739" t="s">
        <v>46</v>
      </c>
      <c r="N1739" s="2">
        <v>45536</v>
      </c>
      <c r="O1739" s="2">
        <v>45565</v>
      </c>
      <c r="P1739">
        <v>10000</v>
      </c>
      <c r="Q1739">
        <v>10000</v>
      </c>
      <c r="R1739" t="s">
        <v>3094</v>
      </c>
    </row>
    <row r="1740" spans="1:20" x14ac:dyDescent="0.25">
      <c r="A1740" t="s">
        <v>14</v>
      </c>
      <c r="B1740" t="s">
        <v>775</v>
      </c>
      <c r="C1740" t="s">
        <v>4387</v>
      </c>
      <c r="D1740" t="s">
        <v>4388</v>
      </c>
      <c r="E1740">
        <v>47300046688</v>
      </c>
      <c r="F1740" t="s">
        <v>16</v>
      </c>
      <c r="G1740" t="s">
        <v>17</v>
      </c>
      <c r="H1740" t="s">
        <v>154</v>
      </c>
      <c r="K1740" t="s">
        <v>2892</v>
      </c>
      <c r="L1740" t="s">
        <v>19</v>
      </c>
      <c r="M1740" t="s">
        <v>46</v>
      </c>
      <c r="N1740" s="2">
        <v>45536</v>
      </c>
      <c r="O1740" s="2">
        <v>45565</v>
      </c>
      <c r="P1740">
        <v>10000</v>
      </c>
      <c r="Q1740">
        <v>10000</v>
      </c>
      <c r="R1740" t="s">
        <v>3095</v>
      </c>
    </row>
    <row r="1741" spans="1:20" x14ac:dyDescent="0.25">
      <c r="A1741" t="s">
        <v>14</v>
      </c>
      <c r="B1741" t="s">
        <v>773</v>
      </c>
      <c r="C1741" t="s">
        <v>4405</v>
      </c>
      <c r="D1741" t="s">
        <v>4390</v>
      </c>
      <c r="E1741">
        <v>47300046688</v>
      </c>
      <c r="F1741" t="s">
        <v>16</v>
      </c>
      <c r="G1741" t="s">
        <v>17</v>
      </c>
      <c r="H1741" t="s">
        <v>154</v>
      </c>
      <c r="K1741" t="s">
        <v>3795</v>
      </c>
      <c r="L1741" t="s">
        <v>19</v>
      </c>
      <c r="M1741" t="s">
        <v>20</v>
      </c>
      <c r="P1741">
        <v>50000</v>
      </c>
      <c r="Q1741">
        <v>50000</v>
      </c>
      <c r="R1741" t="s">
        <v>4065</v>
      </c>
      <c r="S1741" t="s">
        <v>774</v>
      </c>
      <c r="T1741">
        <v>208.1</v>
      </c>
    </row>
    <row r="1742" spans="1:20" x14ac:dyDescent="0.25">
      <c r="A1742" t="s">
        <v>14</v>
      </c>
      <c r="B1742" t="s">
        <v>772</v>
      </c>
      <c r="C1742" t="s">
        <v>4382</v>
      </c>
      <c r="D1742" t="s">
        <v>4383</v>
      </c>
      <c r="E1742">
        <v>47300046761</v>
      </c>
      <c r="F1742" t="s">
        <v>42</v>
      </c>
      <c r="G1742" t="s">
        <v>28</v>
      </c>
      <c r="H1742" t="s">
        <v>43</v>
      </c>
      <c r="K1742" t="s">
        <v>3261</v>
      </c>
      <c r="L1742" t="s">
        <v>19</v>
      </c>
      <c r="M1742" t="s">
        <v>46</v>
      </c>
      <c r="N1742" s="2">
        <v>45536</v>
      </c>
      <c r="O1742" s="2">
        <v>45565</v>
      </c>
      <c r="P1742">
        <v>92732</v>
      </c>
      <c r="Q1742">
        <v>92732</v>
      </c>
      <c r="R1742" t="s">
        <v>3096</v>
      </c>
    </row>
    <row r="1743" spans="1:20" x14ac:dyDescent="0.25">
      <c r="A1743" t="s">
        <v>14</v>
      </c>
      <c r="B1743" t="s">
        <v>772</v>
      </c>
      <c r="C1743" t="s">
        <v>4387</v>
      </c>
      <c r="D1743" t="s">
        <v>4388</v>
      </c>
      <c r="E1743">
        <v>47300046761</v>
      </c>
      <c r="F1743" t="s">
        <v>42</v>
      </c>
      <c r="G1743" t="s">
        <v>28</v>
      </c>
      <c r="H1743" t="s">
        <v>43</v>
      </c>
      <c r="K1743" t="s">
        <v>3197</v>
      </c>
      <c r="L1743" t="s">
        <v>19</v>
      </c>
      <c r="M1743" t="s">
        <v>46</v>
      </c>
      <c r="N1743" s="2">
        <v>45536</v>
      </c>
      <c r="O1743" s="2">
        <v>45565</v>
      </c>
      <c r="P1743">
        <v>150650</v>
      </c>
      <c r="Q1743">
        <v>150650</v>
      </c>
      <c r="R1743" t="s">
        <v>3096</v>
      </c>
    </row>
    <row r="1744" spans="1:20" x14ac:dyDescent="0.25">
      <c r="A1744" t="s">
        <v>14</v>
      </c>
      <c r="B1744" t="s">
        <v>772</v>
      </c>
      <c r="C1744" t="s">
        <v>4406</v>
      </c>
      <c r="D1744" t="s">
        <v>4394</v>
      </c>
      <c r="E1744">
        <v>47300046761</v>
      </c>
      <c r="F1744" t="s">
        <v>42</v>
      </c>
      <c r="G1744" t="s">
        <v>28</v>
      </c>
      <c r="H1744" t="s">
        <v>43</v>
      </c>
      <c r="K1744" t="s">
        <v>2892</v>
      </c>
      <c r="L1744" t="s">
        <v>19</v>
      </c>
      <c r="M1744" t="s">
        <v>46</v>
      </c>
      <c r="N1744" s="2">
        <v>45536</v>
      </c>
      <c r="O1744" s="2">
        <v>45565</v>
      </c>
      <c r="P1744">
        <v>10000</v>
      </c>
      <c r="Q1744">
        <v>10000</v>
      </c>
      <c r="R1744" t="s">
        <v>3096</v>
      </c>
    </row>
    <row r="1745" spans="1:20" x14ac:dyDescent="0.25">
      <c r="A1745" t="s">
        <v>14</v>
      </c>
      <c r="B1745" t="s">
        <v>770</v>
      </c>
      <c r="C1745" t="s">
        <v>4405</v>
      </c>
      <c r="D1745" t="s">
        <v>4390</v>
      </c>
      <c r="E1745">
        <v>47300046761</v>
      </c>
      <c r="F1745" t="s">
        <v>42</v>
      </c>
      <c r="G1745" t="s">
        <v>28</v>
      </c>
      <c r="H1745" t="s">
        <v>43</v>
      </c>
      <c r="K1745" t="s">
        <v>3795</v>
      </c>
      <c r="L1745" t="s">
        <v>19</v>
      </c>
      <c r="M1745" t="s">
        <v>20</v>
      </c>
      <c r="P1745">
        <v>50000</v>
      </c>
      <c r="Q1745">
        <v>50000</v>
      </c>
      <c r="R1745" t="s">
        <v>4066</v>
      </c>
      <c r="S1745" t="s">
        <v>771</v>
      </c>
      <c r="T1745">
        <v>208.2</v>
      </c>
    </row>
    <row r="1746" spans="1:20" x14ac:dyDescent="0.25">
      <c r="A1746" t="s">
        <v>14</v>
      </c>
      <c r="B1746" t="s">
        <v>769</v>
      </c>
      <c r="C1746" t="s">
        <v>2927</v>
      </c>
      <c r="D1746" t="s">
        <v>4385</v>
      </c>
      <c r="E1746">
        <v>47300070795</v>
      </c>
      <c r="F1746" t="s">
        <v>16</v>
      </c>
      <c r="G1746" t="s">
        <v>87</v>
      </c>
      <c r="H1746" t="s">
        <v>88</v>
      </c>
      <c r="K1746" t="s">
        <v>3261</v>
      </c>
      <c r="L1746" t="s">
        <v>19</v>
      </c>
      <c r="M1746" t="s">
        <v>46</v>
      </c>
      <c r="N1746" s="2">
        <v>45536</v>
      </c>
      <c r="O1746" s="2">
        <v>45565</v>
      </c>
      <c r="P1746">
        <v>92732</v>
      </c>
      <c r="Q1746">
        <v>92732</v>
      </c>
      <c r="R1746" t="s">
        <v>3097</v>
      </c>
    </row>
    <row r="1747" spans="1:20" x14ac:dyDescent="0.25">
      <c r="A1747" t="s">
        <v>14</v>
      </c>
      <c r="B1747" t="s">
        <v>769</v>
      </c>
      <c r="C1747" t="s">
        <v>4376</v>
      </c>
      <c r="D1747" t="s">
        <v>4377</v>
      </c>
      <c r="E1747">
        <v>47300070795</v>
      </c>
      <c r="F1747" t="s">
        <v>16</v>
      </c>
      <c r="G1747" t="s">
        <v>87</v>
      </c>
      <c r="H1747" t="s">
        <v>88</v>
      </c>
      <c r="K1747" t="s">
        <v>3197</v>
      </c>
      <c r="L1747" t="s">
        <v>19</v>
      </c>
      <c r="M1747" t="s">
        <v>46</v>
      </c>
      <c r="N1747" s="2">
        <v>45536</v>
      </c>
      <c r="O1747" s="2">
        <v>45565</v>
      </c>
      <c r="P1747">
        <v>150650</v>
      </c>
      <c r="Q1747">
        <v>150650</v>
      </c>
      <c r="R1747" t="s">
        <v>3097</v>
      </c>
    </row>
    <row r="1748" spans="1:20" x14ac:dyDescent="0.25">
      <c r="A1748" t="s">
        <v>14</v>
      </c>
      <c r="B1748" t="s">
        <v>769</v>
      </c>
      <c r="C1748" t="s">
        <v>2927</v>
      </c>
      <c r="D1748" t="s">
        <v>4385</v>
      </c>
      <c r="E1748">
        <v>47300070795</v>
      </c>
      <c r="F1748" t="s">
        <v>16</v>
      </c>
      <c r="G1748" t="s">
        <v>87</v>
      </c>
      <c r="H1748" t="s">
        <v>88</v>
      </c>
      <c r="K1748" t="s">
        <v>2892</v>
      </c>
      <c r="L1748" t="s">
        <v>19</v>
      </c>
      <c r="M1748" t="s">
        <v>46</v>
      </c>
      <c r="N1748" s="2">
        <v>45536</v>
      </c>
      <c r="O1748" s="2">
        <v>45565</v>
      </c>
      <c r="P1748">
        <v>10000</v>
      </c>
      <c r="Q1748">
        <v>10000</v>
      </c>
      <c r="R1748" t="s">
        <v>3097</v>
      </c>
    </row>
    <row r="1749" spans="1:20" x14ac:dyDescent="0.25">
      <c r="A1749" t="s">
        <v>14</v>
      </c>
      <c r="B1749" t="s">
        <v>767</v>
      </c>
      <c r="C1749" t="s">
        <v>4398</v>
      </c>
      <c r="D1749" t="s">
        <v>4399</v>
      </c>
      <c r="E1749">
        <v>47300070795</v>
      </c>
      <c r="F1749" t="s">
        <v>16</v>
      </c>
      <c r="G1749" t="s">
        <v>87</v>
      </c>
      <c r="H1749" t="s">
        <v>88</v>
      </c>
      <c r="K1749" t="s">
        <v>3795</v>
      </c>
      <c r="L1749" t="s">
        <v>19</v>
      </c>
      <c r="M1749" t="s">
        <v>20</v>
      </c>
      <c r="P1749">
        <v>48000</v>
      </c>
      <c r="Q1749">
        <v>48000</v>
      </c>
      <c r="R1749" t="s">
        <v>4067</v>
      </c>
      <c r="S1749" t="s">
        <v>768</v>
      </c>
      <c r="T1749">
        <v>199.8</v>
      </c>
    </row>
    <row r="1750" spans="1:20" x14ac:dyDescent="0.25">
      <c r="A1750" t="s">
        <v>14</v>
      </c>
      <c r="B1750" t="s">
        <v>766</v>
      </c>
      <c r="C1750" t="s">
        <v>4371</v>
      </c>
      <c r="D1750" t="s">
        <v>4368</v>
      </c>
      <c r="E1750">
        <v>47300046779</v>
      </c>
      <c r="F1750" t="s">
        <v>42</v>
      </c>
      <c r="G1750" t="s">
        <v>28</v>
      </c>
      <c r="H1750" t="s">
        <v>199</v>
      </c>
      <c r="K1750" t="s">
        <v>3261</v>
      </c>
      <c r="L1750" t="s">
        <v>19</v>
      </c>
      <c r="M1750" t="s">
        <v>46</v>
      </c>
      <c r="N1750" s="2">
        <v>45536</v>
      </c>
      <c r="O1750" s="2">
        <v>45565</v>
      </c>
      <c r="P1750">
        <v>92732</v>
      </c>
      <c r="Q1750">
        <v>92732</v>
      </c>
      <c r="R1750" t="s">
        <v>3098</v>
      </c>
    </row>
    <row r="1751" spans="1:20" x14ac:dyDescent="0.25">
      <c r="A1751" t="s">
        <v>14</v>
      </c>
      <c r="B1751" t="s">
        <v>766</v>
      </c>
      <c r="C1751" t="s">
        <v>4374</v>
      </c>
      <c r="D1751" t="s">
        <v>4375</v>
      </c>
      <c r="E1751">
        <v>47300046779</v>
      </c>
      <c r="F1751" t="s">
        <v>42</v>
      </c>
      <c r="G1751" t="s">
        <v>28</v>
      </c>
      <c r="H1751" t="s">
        <v>199</v>
      </c>
      <c r="K1751" t="s">
        <v>3197</v>
      </c>
      <c r="L1751" t="s">
        <v>19</v>
      </c>
      <c r="M1751" t="s">
        <v>46</v>
      </c>
      <c r="N1751" s="2">
        <v>45536</v>
      </c>
      <c r="O1751" s="2">
        <v>45565</v>
      </c>
      <c r="P1751">
        <v>150650</v>
      </c>
      <c r="Q1751">
        <v>150650</v>
      </c>
      <c r="R1751" t="s">
        <v>3098</v>
      </c>
    </row>
    <row r="1752" spans="1:20" x14ac:dyDescent="0.25">
      <c r="A1752" t="s">
        <v>14</v>
      </c>
      <c r="B1752" t="s">
        <v>766</v>
      </c>
      <c r="C1752" t="s">
        <v>2927</v>
      </c>
      <c r="D1752" t="s">
        <v>4385</v>
      </c>
      <c r="E1752">
        <v>47300046779</v>
      </c>
      <c r="F1752" t="s">
        <v>42</v>
      </c>
      <c r="G1752" t="s">
        <v>28</v>
      </c>
      <c r="H1752" t="s">
        <v>199</v>
      </c>
      <c r="K1752" t="s">
        <v>2892</v>
      </c>
      <c r="L1752" t="s">
        <v>19</v>
      </c>
      <c r="M1752" t="s">
        <v>46</v>
      </c>
      <c r="N1752" s="2">
        <v>45536</v>
      </c>
      <c r="O1752" s="2">
        <v>45565</v>
      </c>
      <c r="P1752">
        <v>10000</v>
      </c>
      <c r="Q1752">
        <v>10000</v>
      </c>
      <c r="R1752" t="s">
        <v>3098</v>
      </c>
    </row>
    <row r="1753" spans="1:20" x14ac:dyDescent="0.25">
      <c r="A1753" t="s">
        <v>14</v>
      </c>
      <c r="B1753" t="s">
        <v>764</v>
      </c>
      <c r="C1753" t="s">
        <v>4376</v>
      </c>
      <c r="D1753" t="s">
        <v>4377</v>
      </c>
      <c r="E1753">
        <v>47300025708</v>
      </c>
      <c r="F1753" t="s">
        <v>35</v>
      </c>
      <c r="G1753" t="s">
        <v>36</v>
      </c>
      <c r="H1753" t="s">
        <v>4360</v>
      </c>
      <c r="K1753" t="s">
        <v>3795</v>
      </c>
      <c r="L1753" t="s">
        <v>19</v>
      </c>
      <c r="M1753" t="s">
        <v>20</v>
      </c>
      <c r="P1753">
        <v>100000</v>
      </c>
      <c r="Q1753">
        <v>100000</v>
      </c>
      <c r="R1753" t="s">
        <v>4068</v>
      </c>
      <c r="S1753" t="s">
        <v>765</v>
      </c>
      <c r="T1753">
        <v>416.3</v>
      </c>
    </row>
    <row r="1754" spans="1:20" x14ac:dyDescent="0.25">
      <c r="A1754" t="s">
        <v>14</v>
      </c>
      <c r="B1754" t="s">
        <v>763</v>
      </c>
      <c r="C1754" t="s">
        <v>4408</v>
      </c>
      <c r="D1754" t="s">
        <v>4407</v>
      </c>
      <c r="E1754">
        <v>47300070753</v>
      </c>
      <c r="F1754" t="s">
        <v>16</v>
      </c>
      <c r="G1754" t="s">
        <v>17</v>
      </c>
      <c r="H1754" t="s">
        <v>82</v>
      </c>
      <c r="K1754" t="s">
        <v>2892</v>
      </c>
      <c r="L1754" t="s">
        <v>19</v>
      </c>
      <c r="M1754" t="s">
        <v>46</v>
      </c>
      <c r="N1754" s="2">
        <v>45536</v>
      </c>
      <c r="O1754" s="2">
        <v>45565</v>
      </c>
      <c r="P1754">
        <v>10000</v>
      </c>
      <c r="Q1754">
        <v>10000</v>
      </c>
      <c r="R1754" t="s">
        <v>3099</v>
      </c>
    </row>
    <row r="1755" spans="1:20" x14ac:dyDescent="0.25">
      <c r="A1755" t="s">
        <v>14</v>
      </c>
      <c r="B1755" t="s">
        <v>761</v>
      </c>
      <c r="C1755" t="s">
        <v>2927</v>
      </c>
      <c r="D1755" t="s">
        <v>4385</v>
      </c>
      <c r="E1755">
        <v>47300046779</v>
      </c>
      <c r="F1755" t="s">
        <v>42</v>
      </c>
      <c r="G1755" t="s">
        <v>28</v>
      </c>
      <c r="H1755" t="s">
        <v>199</v>
      </c>
      <c r="K1755" t="s">
        <v>3795</v>
      </c>
      <c r="L1755" t="s">
        <v>19</v>
      </c>
      <c r="M1755" t="s">
        <v>20</v>
      </c>
      <c r="P1755">
        <v>50000</v>
      </c>
      <c r="Q1755">
        <v>50000</v>
      </c>
      <c r="R1755" t="s">
        <v>4069</v>
      </c>
      <c r="S1755" t="s">
        <v>762</v>
      </c>
      <c r="T1755">
        <v>208.2</v>
      </c>
    </row>
    <row r="1756" spans="1:20" x14ac:dyDescent="0.25">
      <c r="A1756" t="s">
        <v>14</v>
      </c>
      <c r="B1756" t="s">
        <v>760</v>
      </c>
      <c r="C1756" t="s">
        <v>4417</v>
      </c>
      <c r="D1756" t="s">
        <v>4397</v>
      </c>
      <c r="E1756">
        <v>47300070845</v>
      </c>
      <c r="F1756" t="s">
        <v>16</v>
      </c>
      <c r="G1756" t="s">
        <v>23</v>
      </c>
      <c r="H1756" t="s">
        <v>157</v>
      </c>
      <c r="K1756" t="s">
        <v>3197</v>
      </c>
      <c r="L1756" t="s">
        <v>19</v>
      </c>
      <c r="M1756" t="s">
        <v>46</v>
      </c>
      <c r="N1756" s="2">
        <v>45536</v>
      </c>
      <c r="O1756" s="2">
        <v>45565</v>
      </c>
      <c r="P1756">
        <v>150650</v>
      </c>
      <c r="Q1756">
        <v>150650</v>
      </c>
      <c r="R1756" t="s">
        <v>3225</v>
      </c>
    </row>
    <row r="1757" spans="1:20" x14ac:dyDescent="0.25">
      <c r="A1757" t="s">
        <v>14</v>
      </c>
      <c r="B1757" t="s">
        <v>759</v>
      </c>
      <c r="C1757" t="s">
        <v>4382</v>
      </c>
      <c r="D1757" t="s">
        <v>4383</v>
      </c>
      <c r="E1757">
        <v>47300047066</v>
      </c>
      <c r="F1757" t="s">
        <v>16</v>
      </c>
      <c r="G1757" t="s">
        <v>28</v>
      </c>
      <c r="H1757" t="s">
        <v>57</v>
      </c>
      <c r="K1757" t="s">
        <v>3261</v>
      </c>
      <c r="L1757" t="s">
        <v>19</v>
      </c>
      <c r="M1757" t="s">
        <v>46</v>
      </c>
      <c r="N1757" s="2">
        <v>45536</v>
      </c>
      <c r="O1757" s="2">
        <v>45565</v>
      </c>
      <c r="P1757">
        <v>92732</v>
      </c>
      <c r="Q1757">
        <v>92732</v>
      </c>
      <c r="R1757" t="s">
        <v>3262</v>
      </c>
    </row>
    <row r="1758" spans="1:20" x14ac:dyDescent="0.25">
      <c r="A1758" t="s">
        <v>14</v>
      </c>
      <c r="B1758" t="s">
        <v>758</v>
      </c>
      <c r="C1758" t="s">
        <v>4398</v>
      </c>
      <c r="D1758" t="s">
        <v>4399</v>
      </c>
      <c r="E1758">
        <v>47300047280</v>
      </c>
      <c r="F1758" t="s">
        <v>16</v>
      </c>
      <c r="G1758" t="s">
        <v>28</v>
      </c>
      <c r="H1758" t="s">
        <v>274</v>
      </c>
      <c r="K1758" t="s">
        <v>3261</v>
      </c>
      <c r="L1758" t="s">
        <v>19</v>
      </c>
      <c r="M1758" t="s">
        <v>46</v>
      </c>
      <c r="N1758" s="2">
        <v>45536</v>
      </c>
      <c r="O1758" s="2">
        <v>45565</v>
      </c>
      <c r="P1758">
        <v>92732</v>
      </c>
      <c r="Q1758">
        <v>92732</v>
      </c>
      <c r="R1758" t="s">
        <v>3100</v>
      </c>
    </row>
    <row r="1759" spans="1:20" x14ac:dyDescent="0.25">
      <c r="A1759" t="s">
        <v>14</v>
      </c>
      <c r="B1759" t="s">
        <v>758</v>
      </c>
      <c r="C1759" t="s">
        <v>4374</v>
      </c>
      <c r="D1759" t="s">
        <v>4375</v>
      </c>
      <c r="E1759">
        <v>47300047280</v>
      </c>
      <c r="F1759" t="s">
        <v>16</v>
      </c>
      <c r="G1759" t="s">
        <v>28</v>
      </c>
      <c r="H1759" t="s">
        <v>274</v>
      </c>
      <c r="K1759" t="s">
        <v>3197</v>
      </c>
      <c r="L1759" t="s">
        <v>19</v>
      </c>
      <c r="M1759" t="s">
        <v>46</v>
      </c>
      <c r="N1759" s="2">
        <v>45536</v>
      </c>
      <c r="O1759" s="2">
        <v>45565</v>
      </c>
      <c r="P1759">
        <v>150650</v>
      </c>
      <c r="Q1759">
        <v>150650</v>
      </c>
      <c r="R1759" t="s">
        <v>3100</v>
      </c>
    </row>
    <row r="1760" spans="1:20" x14ac:dyDescent="0.25">
      <c r="A1760" t="s">
        <v>14</v>
      </c>
      <c r="B1760" t="s">
        <v>758</v>
      </c>
      <c r="C1760" t="s">
        <v>4376</v>
      </c>
      <c r="D1760" t="s">
        <v>4377</v>
      </c>
      <c r="E1760">
        <v>47300047280</v>
      </c>
      <c r="F1760" t="s">
        <v>16</v>
      </c>
      <c r="G1760" t="s">
        <v>28</v>
      </c>
      <c r="H1760" t="s">
        <v>274</v>
      </c>
      <c r="K1760" t="s">
        <v>2892</v>
      </c>
      <c r="L1760" t="s">
        <v>19</v>
      </c>
      <c r="M1760" t="s">
        <v>46</v>
      </c>
      <c r="N1760" s="2">
        <v>45536</v>
      </c>
      <c r="O1760" s="2">
        <v>45565</v>
      </c>
      <c r="P1760">
        <v>10000</v>
      </c>
      <c r="Q1760">
        <v>10000</v>
      </c>
      <c r="R1760" t="s">
        <v>3100</v>
      </c>
    </row>
    <row r="1761" spans="1:20" x14ac:dyDescent="0.25">
      <c r="A1761" t="s">
        <v>14</v>
      </c>
      <c r="B1761" t="s">
        <v>756</v>
      </c>
      <c r="C1761" t="s">
        <v>4408</v>
      </c>
      <c r="D1761" t="s">
        <v>4407</v>
      </c>
      <c r="E1761">
        <v>47300046365</v>
      </c>
      <c r="F1761" t="s">
        <v>16</v>
      </c>
      <c r="G1761" t="s">
        <v>28</v>
      </c>
      <c r="H1761" t="s">
        <v>62</v>
      </c>
      <c r="K1761" t="s">
        <v>4266</v>
      </c>
      <c r="L1761" t="s">
        <v>19</v>
      </c>
      <c r="M1761" t="s">
        <v>63</v>
      </c>
      <c r="N1761" s="2">
        <v>45536</v>
      </c>
      <c r="O1761" s="2">
        <v>45565</v>
      </c>
      <c r="P1761">
        <v>50000</v>
      </c>
      <c r="Q1761">
        <v>50000</v>
      </c>
      <c r="R1761" t="s">
        <v>3101</v>
      </c>
      <c r="S1761" t="s">
        <v>757</v>
      </c>
      <c r="T1761">
        <v>208.2</v>
      </c>
    </row>
    <row r="1762" spans="1:20" x14ac:dyDescent="0.25">
      <c r="A1762" t="s">
        <v>14</v>
      </c>
      <c r="B1762" t="s">
        <v>756</v>
      </c>
      <c r="C1762" t="s">
        <v>2927</v>
      </c>
      <c r="D1762" t="s">
        <v>4385</v>
      </c>
      <c r="E1762">
        <v>47300046365</v>
      </c>
      <c r="F1762" t="s">
        <v>16</v>
      </c>
      <c r="G1762" t="s">
        <v>28</v>
      </c>
      <c r="H1762" t="s">
        <v>62</v>
      </c>
      <c r="K1762" t="s">
        <v>3536</v>
      </c>
      <c r="L1762" t="s">
        <v>47</v>
      </c>
      <c r="N1762" s="2">
        <v>45541</v>
      </c>
      <c r="O1762" s="2">
        <v>45539</v>
      </c>
      <c r="P1762">
        <v>64912.4</v>
      </c>
      <c r="Q1762">
        <v>64912.4</v>
      </c>
      <c r="R1762" t="s">
        <v>3101</v>
      </c>
    </row>
    <row r="1763" spans="1:20" x14ac:dyDescent="0.25">
      <c r="A1763" t="s">
        <v>14</v>
      </c>
      <c r="B1763" t="s">
        <v>756</v>
      </c>
      <c r="C1763" t="s">
        <v>4417</v>
      </c>
      <c r="D1763" t="s">
        <v>4397</v>
      </c>
      <c r="E1763">
        <v>47300046365</v>
      </c>
      <c r="F1763" t="s">
        <v>16</v>
      </c>
      <c r="G1763" t="s">
        <v>28</v>
      </c>
      <c r="H1763" t="s">
        <v>62</v>
      </c>
      <c r="K1763" t="s">
        <v>3294</v>
      </c>
      <c r="L1763" t="s">
        <v>19</v>
      </c>
      <c r="M1763" t="s">
        <v>46</v>
      </c>
      <c r="N1763" s="2">
        <v>45536</v>
      </c>
      <c r="O1763" s="2">
        <v>45565</v>
      </c>
      <c r="P1763">
        <v>500</v>
      </c>
      <c r="Q1763">
        <v>500</v>
      </c>
      <c r="R1763" t="s">
        <v>3101</v>
      </c>
    </row>
    <row r="1764" spans="1:20" x14ac:dyDescent="0.25">
      <c r="A1764" t="s">
        <v>14</v>
      </c>
      <c r="B1764" t="s">
        <v>756</v>
      </c>
      <c r="C1764" t="s">
        <v>4402</v>
      </c>
      <c r="D1764" t="s">
        <v>4403</v>
      </c>
      <c r="E1764">
        <v>47300046365</v>
      </c>
      <c r="F1764" t="s">
        <v>16</v>
      </c>
      <c r="G1764" t="s">
        <v>28</v>
      </c>
      <c r="H1764" t="s">
        <v>62</v>
      </c>
      <c r="K1764" t="s">
        <v>3261</v>
      </c>
      <c r="L1764" t="s">
        <v>19</v>
      </c>
      <c r="M1764" t="s">
        <v>46</v>
      </c>
      <c r="N1764" s="2">
        <v>45536</v>
      </c>
      <c r="O1764" s="2">
        <v>45565</v>
      </c>
      <c r="P1764">
        <v>92732</v>
      </c>
      <c r="Q1764">
        <v>92732</v>
      </c>
      <c r="R1764" t="s">
        <v>3101</v>
      </c>
    </row>
    <row r="1765" spans="1:20" x14ac:dyDescent="0.25">
      <c r="A1765" t="s">
        <v>14</v>
      </c>
      <c r="B1765" t="s">
        <v>756</v>
      </c>
      <c r="C1765" t="s">
        <v>4398</v>
      </c>
      <c r="D1765" t="s">
        <v>4399</v>
      </c>
      <c r="E1765">
        <v>47300046365</v>
      </c>
      <c r="F1765" t="s">
        <v>16</v>
      </c>
      <c r="G1765" t="s">
        <v>28</v>
      </c>
      <c r="H1765" t="s">
        <v>62</v>
      </c>
      <c r="K1765" t="s">
        <v>3197</v>
      </c>
      <c r="L1765" t="s">
        <v>19</v>
      </c>
      <c r="M1765" t="s">
        <v>46</v>
      </c>
      <c r="N1765" s="2">
        <v>45536</v>
      </c>
      <c r="O1765" s="2">
        <v>45565</v>
      </c>
      <c r="P1765">
        <v>150650</v>
      </c>
      <c r="Q1765">
        <v>150650</v>
      </c>
      <c r="R1765" t="s">
        <v>3101</v>
      </c>
    </row>
    <row r="1766" spans="1:20" x14ac:dyDescent="0.25">
      <c r="A1766" t="s">
        <v>14</v>
      </c>
      <c r="B1766" t="s">
        <v>756</v>
      </c>
      <c r="C1766" t="s">
        <v>4374</v>
      </c>
      <c r="D1766" t="s">
        <v>4375</v>
      </c>
      <c r="E1766">
        <v>47300046365</v>
      </c>
      <c r="F1766" t="s">
        <v>16</v>
      </c>
      <c r="G1766" t="s">
        <v>28</v>
      </c>
      <c r="H1766" t="s">
        <v>62</v>
      </c>
      <c r="K1766" t="s">
        <v>2892</v>
      </c>
      <c r="L1766" t="s">
        <v>19</v>
      </c>
      <c r="M1766" t="s">
        <v>46</v>
      </c>
      <c r="N1766" s="2">
        <v>45536</v>
      </c>
      <c r="O1766" s="2">
        <v>45565</v>
      </c>
      <c r="P1766">
        <v>10000</v>
      </c>
      <c r="Q1766">
        <v>10000</v>
      </c>
      <c r="R1766" t="s">
        <v>3101</v>
      </c>
    </row>
    <row r="1767" spans="1:20" x14ac:dyDescent="0.25">
      <c r="A1767" t="s">
        <v>14</v>
      </c>
      <c r="B1767" t="s">
        <v>756</v>
      </c>
      <c r="C1767" t="s">
        <v>4376</v>
      </c>
      <c r="D1767" t="s">
        <v>4377</v>
      </c>
      <c r="E1767">
        <v>47300046365</v>
      </c>
      <c r="F1767" t="s">
        <v>16</v>
      </c>
      <c r="G1767" t="s">
        <v>28</v>
      </c>
      <c r="H1767" t="s">
        <v>62</v>
      </c>
      <c r="K1767" t="s">
        <v>2892</v>
      </c>
      <c r="L1767" t="s">
        <v>19</v>
      </c>
      <c r="M1767" t="s">
        <v>46</v>
      </c>
      <c r="N1767" s="2">
        <v>45536</v>
      </c>
      <c r="O1767" s="2">
        <v>45565</v>
      </c>
      <c r="P1767">
        <v>10000</v>
      </c>
      <c r="Q1767">
        <v>10000</v>
      </c>
      <c r="R1767" t="s">
        <v>3101</v>
      </c>
    </row>
    <row r="1768" spans="1:20" x14ac:dyDescent="0.25">
      <c r="A1768" t="s">
        <v>14</v>
      </c>
      <c r="B1768" t="s">
        <v>755</v>
      </c>
      <c r="C1768" t="s">
        <v>2927</v>
      </c>
      <c r="D1768" t="s">
        <v>4385</v>
      </c>
      <c r="E1768">
        <v>47300070753</v>
      </c>
      <c r="F1768" t="s">
        <v>16</v>
      </c>
      <c r="G1768" t="s">
        <v>17</v>
      </c>
      <c r="H1768" t="s">
        <v>82</v>
      </c>
      <c r="K1768" t="s">
        <v>3261</v>
      </c>
      <c r="L1768" t="s">
        <v>19</v>
      </c>
      <c r="M1768" t="s">
        <v>46</v>
      </c>
      <c r="N1768" s="2">
        <v>45536</v>
      </c>
      <c r="O1768" s="2">
        <v>45565</v>
      </c>
      <c r="P1768">
        <v>92732</v>
      </c>
      <c r="Q1768">
        <v>92732</v>
      </c>
      <c r="R1768" t="s">
        <v>3263</v>
      </c>
    </row>
    <row r="1769" spans="1:20" x14ac:dyDescent="0.25">
      <c r="A1769" t="s">
        <v>14</v>
      </c>
      <c r="B1769" t="s">
        <v>754</v>
      </c>
      <c r="C1769" t="s">
        <v>2927</v>
      </c>
      <c r="D1769" t="s">
        <v>4385</v>
      </c>
      <c r="E1769">
        <v>47300070753</v>
      </c>
      <c r="F1769" t="s">
        <v>16</v>
      </c>
      <c r="G1769" t="s">
        <v>17</v>
      </c>
      <c r="H1769" t="s">
        <v>82</v>
      </c>
      <c r="K1769" t="s">
        <v>3197</v>
      </c>
      <c r="L1769" t="s">
        <v>19</v>
      </c>
      <c r="M1769" t="s">
        <v>46</v>
      </c>
      <c r="N1769" s="2">
        <v>45536</v>
      </c>
      <c r="O1769" s="2">
        <v>45565</v>
      </c>
      <c r="P1769">
        <v>150650</v>
      </c>
      <c r="Q1769">
        <v>150650</v>
      </c>
      <c r="R1769" t="s">
        <v>3226</v>
      </c>
    </row>
    <row r="1770" spans="1:20" x14ac:dyDescent="0.25">
      <c r="A1770" t="s">
        <v>14</v>
      </c>
      <c r="B1770" t="s">
        <v>753</v>
      </c>
      <c r="C1770" t="s">
        <v>4417</v>
      </c>
      <c r="D1770" t="s">
        <v>4397</v>
      </c>
      <c r="E1770">
        <v>47300046720</v>
      </c>
      <c r="F1770" t="s">
        <v>16</v>
      </c>
      <c r="G1770" t="s">
        <v>28</v>
      </c>
      <c r="H1770" t="s">
        <v>143</v>
      </c>
      <c r="K1770" t="s">
        <v>3261</v>
      </c>
      <c r="L1770" t="s">
        <v>19</v>
      </c>
      <c r="M1770" t="s">
        <v>46</v>
      </c>
      <c r="N1770" s="2">
        <v>45536</v>
      </c>
      <c r="O1770" s="2">
        <v>45565</v>
      </c>
      <c r="P1770">
        <v>92732</v>
      </c>
      <c r="Q1770">
        <v>92732</v>
      </c>
      <c r="R1770" t="s">
        <v>3102</v>
      </c>
    </row>
    <row r="1771" spans="1:20" x14ac:dyDescent="0.25">
      <c r="A1771" t="s">
        <v>14</v>
      </c>
      <c r="B1771" t="s">
        <v>753</v>
      </c>
      <c r="C1771" t="s">
        <v>4408</v>
      </c>
      <c r="D1771" t="s">
        <v>4407</v>
      </c>
      <c r="E1771">
        <v>47300046720</v>
      </c>
      <c r="F1771" t="s">
        <v>16</v>
      </c>
      <c r="G1771" t="s">
        <v>28</v>
      </c>
      <c r="H1771" t="s">
        <v>143</v>
      </c>
      <c r="K1771" t="s">
        <v>3197</v>
      </c>
      <c r="L1771" t="s">
        <v>19</v>
      </c>
      <c r="M1771" t="s">
        <v>46</v>
      </c>
      <c r="N1771" s="2">
        <v>45536</v>
      </c>
      <c r="O1771" s="2">
        <v>45565</v>
      </c>
      <c r="P1771">
        <v>150650</v>
      </c>
      <c r="Q1771">
        <v>150650</v>
      </c>
      <c r="R1771" t="s">
        <v>3102</v>
      </c>
    </row>
    <row r="1772" spans="1:20" x14ac:dyDescent="0.25">
      <c r="A1772" t="s">
        <v>14</v>
      </c>
      <c r="B1772" t="s">
        <v>753</v>
      </c>
      <c r="C1772" t="s">
        <v>4398</v>
      </c>
      <c r="D1772" t="s">
        <v>4399</v>
      </c>
      <c r="E1772">
        <v>47300046720</v>
      </c>
      <c r="F1772" t="s">
        <v>16</v>
      </c>
      <c r="G1772" t="s">
        <v>28</v>
      </c>
      <c r="H1772" t="s">
        <v>143</v>
      </c>
      <c r="K1772" t="s">
        <v>2892</v>
      </c>
      <c r="L1772" t="s">
        <v>19</v>
      </c>
      <c r="M1772" t="s">
        <v>46</v>
      </c>
      <c r="N1772" s="2">
        <v>45536</v>
      </c>
      <c r="O1772" s="2">
        <v>45565</v>
      </c>
      <c r="P1772">
        <v>10000</v>
      </c>
      <c r="Q1772">
        <v>10000</v>
      </c>
      <c r="R1772" t="s">
        <v>3102</v>
      </c>
    </row>
    <row r="1773" spans="1:20" x14ac:dyDescent="0.25">
      <c r="A1773" t="s">
        <v>14</v>
      </c>
      <c r="B1773" t="s">
        <v>751</v>
      </c>
      <c r="C1773" t="s">
        <v>4374</v>
      </c>
      <c r="D1773" t="s">
        <v>4375</v>
      </c>
      <c r="E1773">
        <v>47300046720</v>
      </c>
      <c r="F1773" t="s">
        <v>16</v>
      </c>
      <c r="G1773" t="s">
        <v>28</v>
      </c>
      <c r="H1773" t="s">
        <v>143</v>
      </c>
      <c r="K1773" t="s">
        <v>3795</v>
      </c>
      <c r="L1773" t="s">
        <v>19</v>
      </c>
      <c r="M1773" t="s">
        <v>20</v>
      </c>
      <c r="P1773">
        <v>25000</v>
      </c>
      <c r="Q1773">
        <v>25000</v>
      </c>
      <c r="R1773" t="s">
        <v>4070</v>
      </c>
      <c r="S1773" t="s">
        <v>752</v>
      </c>
      <c r="T1773">
        <v>104.1</v>
      </c>
    </row>
    <row r="1774" spans="1:20" x14ac:dyDescent="0.25">
      <c r="A1774" t="s">
        <v>14</v>
      </c>
      <c r="B1774" t="s">
        <v>749</v>
      </c>
      <c r="C1774" t="s">
        <v>4420</v>
      </c>
      <c r="D1774" t="s">
        <v>4394</v>
      </c>
      <c r="E1774">
        <v>47300046761</v>
      </c>
      <c r="F1774" t="s">
        <v>42</v>
      </c>
      <c r="G1774" t="s">
        <v>28</v>
      </c>
      <c r="H1774" t="s">
        <v>43</v>
      </c>
      <c r="K1774" t="s">
        <v>3795</v>
      </c>
      <c r="L1774" t="s">
        <v>19</v>
      </c>
      <c r="M1774" t="s">
        <v>20</v>
      </c>
      <c r="P1774">
        <v>50000</v>
      </c>
      <c r="Q1774">
        <v>50000</v>
      </c>
      <c r="R1774" t="s">
        <v>4071</v>
      </c>
      <c r="S1774" t="s">
        <v>750</v>
      </c>
      <c r="T1774">
        <v>208.1</v>
      </c>
    </row>
    <row r="1775" spans="1:20" x14ac:dyDescent="0.25">
      <c r="A1775" t="s">
        <v>14</v>
      </c>
      <c r="B1775" t="s">
        <v>748</v>
      </c>
      <c r="C1775" t="s">
        <v>4387</v>
      </c>
      <c r="D1775" t="s">
        <v>4388</v>
      </c>
      <c r="E1775">
        <v>47300046316</v>
      </c>
      <c r="F1775" t="s">
        <v>42</v>
      </c>
      <c r="G1775" t="s">
        <v>28</v>
      </c>
      <c r="H1775" t="s">
        <v>69</v>
      </c>
      <c r="K1775" t="s">
        <v>3261</v>
      </c>
      <c r="L1775" t="s">
        <v>19</v>
      </c>
      <c r="M1775" t="s">
        <v>46</v>
      </c>
      <c r="N1775" s="2">
        <v>45536</v>
      </c>
      <c r="O1775" s="2">
        <v>45565</v>
      </c>
      <c r="P1775">
        <v>92732</v>
      </c>
      <c r="Q1775">
        <v>92732</v>
      </c>
      <c r="R1775" t="s">
        <v>3103</v>
      </c>
    </row>
    <row r="1776" spans="1:20" x14ac:dyDescent="0.25">
      <c r="A1776" t="s">
        <v>14</v>
      </c>
      <c r="B1776" t="s">
        <v>748</v>
      </c>
      <c r="C1776" t="s">
        <v>4372</v>
      </c>
      <c r="D1776" t="s">
        <v>4373</v>
      </c>
      <c r="E1776">
        <v>47300046316</v>
      </c>
      <c r="F1776" t="s">
        <v>42</v>
      </c>
      <c r="G1776" t="s">
        <v>28</v>
      </c>
      <c r="H1776" t="s">
        <v>69</v>
      </c>
      <c r="K1776" t="s">
        <v>3197</v>
      </c>
      <c r="L1776" t="s">
        <v>19</v>
      </c>
      <c r="M1776" t="s">
        <v>46</v>
      </c>
      <c r="N1776" s="2">
        <v>45536</v>
      </c>
      <c r="O1776" s="2">
        <v>45565</v>
      </c>
      <c r="P1776">
        <v>150650</v>
      </c>
      <c r="Q1776">
        <v>150650</v>
      </c>
      <c r="R1776" t="s">
        <v>3103</v>
      </c>
    </row>
    <row r="1777" spans="1:18" x14ac:dyDescent="0.25">
      <c r="A1777" t="s">
        <v>14</v>
      </c>
      <c r="B1777" t="s">
        <v>748</v>
      </c>
      <c r="C1777" t="s">
        <v>4398</v>
      </c>
      <c r="D1777" t="s">
        <v>4377</v>
      </c>
      <c r="E1777">
        <v>47300046316</v>
      </c>
      <c r="F1777" t="s">
        <v>42</v>
      </c>
      <c r="G1777" t="s">
        <v>28</v>
      </c>
      <c r="H1777" t="s">
        <v>69</v>
      </c>
      <c r="K1777" t="s">
        <v>2892</v>
      </c>
      <c r="L1777" t="s">
        <v>19</v>
      </c>
      <c r="M1777" t="s">
        <v>46</v>
      </c>
      <c r="N1777" s="2">
        <v>45536</v>
      </c>
      <c r="O1777" s="2">
        <v>45565</v>
      </c>
      <c r="P1777">
        <v>10000</v>
      </c>
      <c r="Q1777">
        <v>10000</v>
      </c>
      <c r="R1777" t="s">
        <v>3103</v>
      </c>
    </row>
    <row r="1778" spans="1:18" x14ac:dyDescent="0.25">
      <c r="A1778" t="s">
        <v>14</v>
      </c>
      <c r="B1778" t="s">
        <v>747</v>
      </c>
      <c r="C1778" t="s">
        <v>4398</v>
      </c>
      <c r="D1778" t="s">
        <v>4377</v>
      </c>
      <c r="E1778">
        <v>47300046191</v>
      </c>
      <c r="F1778" t="s">
        <v>16</v>
      </c>
      <c r="G1778" t="s">
        <v>28</v>
      </c>
      <c r="H1778" t="s">
        <v>119</v>
      </c>
      <c r="I1778" t="s">
        <v>2799</v>
      </c>
      <c r="J1778">
        <v>8033011626</v>
      </c>
      <c r="K1778" t="s">
        <v>3294</v>
      </c>
      <c r="L1778" t="s">
        <v>19</v>
      </c>
      <c r="M1778" t="s">
        <v>46</v>
      </c>
      <c r="N1778" s="2">
        <v>45536</v>
      </c>
      <c r="O1778" s="2">
        <v>45565</v>
      </c>
      <c r="P1778">
        <v>500</v>
      </c>
      <c r="Q1778">
        <v>500</v>
      </c>
      <c r="R1778" t="s">
        <v>3104</v>
      </c>
    </row>
    <row r="1779" spans="1:18" x14ac:dyDescent="0.25">
      <c r="A1779" t="s">
        <v>14</v>
      </c>
      <c r="B1779" t="s">
        <v>747</v>
      </c>
      <c r="C1779" t="s">
        <v>4372</v>
      </c>
      <c r="D1779" t="s">
        <v>4373</v>
      </c>
      <c r="E1779">
        <v>47300046191</v>
      </c>
      <c r="F1779" t="s">
        <v>16</v>
      </c>
      <c r="G1779" t="s">
        <v>28</v>
      </c>
      <c r="H1779" t="s">
        <v>119</v>
      </c>
      <c r="I1779" t="s">
        <v>2799</v>
      </c>
      <c r="J1779">
        <v>8033011626</v>
      </c>
      <c r="K1779" t="s">
        <v>2892</v>
      </c>
      <c r="L1779" t="s">
        <v>19</v>
      </c>
      <c r="M1779" t="s">
        <v>46</v>
      </c>
      <c r="N1779" s="2">
        <v>45536</v>
      </c>
      <c r="O1779" s="2">
        <v>45565</v>
      </c>
      <c r="P1779">
        <v>10000</v>
      </c>
      <c r="Q1779">
        <v>10000</v>
      </c>
      <c r="R1779" t="s">
        <v>3104</v>
      </c>
    </row>
    <row r="1780" spans="1:18" x14ac:dyDescent="0.25">
      <c r="A1780" t="s">
        <v>14</v>
      </c>
      <c r="B1780" t="s">
        <v>745</v>
      </c>
      <c r="C1780" t="s">
        <v>4420</v>
      </c>
      <c r="D1780" t="s">
        <v>4394</v>
      </c>
      <c r="E1780">
        <v>47300046282</v>
      </c>
      <c r="F1780" t="s">
        <v>16</v>
      </c>
      <c r="G1780" t="s">
        <v>17</v>
      </c>
      <c r="H1780" t="s">
        <v>746</v>
      </c>
      <c r="K1780" t="s">
        <v>3536</v>
      </c>
      <c r="L1780" t="s">
        <v>47</v>
      </c>
      <c r="N1780" s="2">
        <v>45541</v>
      </c>
      <c r="O1780" s="2">
        <v>45539</v>
      </c>
      <c r="P1780">
        <v>64912.4</v>
      </c>
      <c r="Q1780">
        <v>64912.4</v>
      </c>
      <c r="R1780" t="s">
        <v>3105</v>
      </c>
    </row>
    <row r="1781" spans="1:18" x14ac:dyDescent="0.25">
      <c r="A1781" t="s">
        <v>14</v>
      </c>
      <c r="B1781" t="s">
        <v>745</v>
      </c>
      <c r="C1781" t="s">
        <v>4398</v>
      </c>
      <c r="D1781" t="s">
        <v>4377</v>
      </c>
      <c r="E1781">
        <v>47300046282</v>
      </c>
      <c r="F1781" t="s">
        <v>16</v>
      </c>
      <c r="G1781" t="s">
        <v>17</v>
      </c>
      <c r="H1781" t="s">
        <v>746</v>
      </c>
      <c r="K1781" t="s">
        <v>2892</v>
      </c>
      <c r="L1781" t="s">
        <v>19</v>
      </c>
      <c r="M1781" t="s">
        <v>46</v>
      </c>
      <c r="N1781" s="2">
        <v>45536</v>
      </c>
      <c r="O1781" s="2">
        <v>45657</v>
      </c>
      <c r="P1781">
        <v>10000</v>
      </c>
      <c r="Q1781">
        <v>40000</v>
      </c>
      <c r="R1781" t="s">
        <v>3105</v>
      </c>
    </row>
    <row r="1782" spans="1:18" x14ac:dyDescent="0.25">
      <c r="A1782" t="s">
        <v>14</v>
      </c>
      <c r="B1782" t="s">
        <v>744</v>
      </c>
      <c r="C1782" t="s">
        <v>4420</v>
      </c>
      <c r="D1782" t="s">
        <v>4394</v>
      </c>
      <c r="E1782">
        <v>47300046191</v>
      </c>
      <c r="F1782" t="s">
        <v>16</v>
      </c>
      <c r="G1782" t="s">
        <v>28</v>
      </c>
      <c r="H1782" t="s">
        <v>119</v>
      </c>
      <c r="I1782" t="s">
        <v>2799</v>
      </c>
      <c r="J1782">
        <v>8033011626</v>
      </c>
      <c r="K1782" t="s">
        <v>3536</v>
      </c>
      <c r="L1782" t="s">
        <v>47</v>
      </c>
      <c r="N1782" s="2">
        <v>45541</v>
      </c>
      <c r="O1782" s="2">
        <v>45539</v>
      </c>
      <c r="P1782">
        <v>64912.4</v>
      </c>
      <c r="Q1782">
        <v>64912.4</v>
      </c>
      <c r="R1782" t="s">
        <v>3553</v>
      </c>
    </row>
    <row r="1783" spans="1:18" x14ac:dyDescent="0.25">
      <c r="A1783" t="s">
        <v>14</v>
      </c>
      <c r="B1783" t="s">
        <v>743</v>
      </c>
      <c r="C1783" t="s">
        <v>4414</v>
      </c>
      <c r="D1783" t="s">
        <v>4401</v>
      </c>
      <c r="E1783">
        <v>47300070845</v>
      </c>
      <c r="F1783" t="s">
        <v>16</v>
      </c>
      <c r="G1783" t="s">
        <v>23</v>
      </c>
      <c r="H1783" t="s">
        <v>157</v>
      </c>
      <c r="K1783" t="s">
        <v>2834</v>
      </c>
      <c r="L1783" t="s">
        <v>47</v>
      </c>
      <c r="N1783" s="2">
        <v>45565</v>
      </c>
      <c r="O1783" s="2">
        <v>45565</v>
      </c>
      <c r="P1783">
        <v>753238.39</v>
      </c>
      <c r="Q1783">
        <v>753238.39</v>
      </c>
      <c r="R1783" t="s">
        <v>2833</v>
      </c>
    </row>
    <row r="1784" spans="1:18" x14ac:dyDescent="0.25">
      <c r="A1784" t="s">
        <v>14</v>
      </c>
      <c r="B1784" t="s">
        <v>742</v>
      </c>
      <c r="C1784" t="s">
        <v>4402</v>
      </c>
      <c r="D1784" t="s">
        <v>4403</v>
      </c>
      <c r="E1784">
        <v>47300046746</v>
      </c>
      <c r="F1784" t="s">
        <v>16</v>
      </c>
      <c r="G1784" t="s">
        <v>28</v>
      </c>
      <c r="H1784" t="s">
        <v>32</v>
      </c>
      <c r="K1784" t="s">
        <v>3261</v>
      </c>
      <c r="L1784" t="s">
        <v>19</v>
      </c>
      <c r="M1784" t="s">
        <v>46</v>
      </c>
      <c r="N1784" s="2">
        <v>45536</v>
      </c>
      <c r="O1784" s="2">
        <v>45565</v>
      </c>
      <c r="P1784">
        <v>92732</v>
      </c>
      <c r="Q1784">
        <v>92732</v>
      </c>
      <c r="R1784" t="s">
        <v>3264</v>
      </c>
    </row>
    <row r="1785" spans="1:18" x14ac:dyDescent="0.25">
      <c r="A1785" t="s">
        <v>14</v>
      </c>
      <c r="B1785" t="s">
        <v>741</v>
      </c>
      <c r="C1785" t="s">
        <v>4398</v>
      </c>
      <c r="D1785" t="s">
        <v>4399</v>
      </c>
      <c r="E1785">
        <v>47300070704</v>
      </c>
      <c r="F1785" t="s">
        <v>16</v>
      </c>
      <c r="G1785" t="s">
        <v>28</v>
      </c>
      <c r="H1785" t="s">
        <v>146</v>
      </c>
      <c r="K1785" t="s">
        <v>3184</v>
      </c>
      <c r="L1785" t="s">
        <v>47</v>
      </c>
      <c r="N1785" s="2">
        <v>45536</v>
      </c>
      <c r="O1785" s="2">
        <v>45565</v>
      </c>
      <c r="P1785">
        <v>150650</v>
      </c>
      <c r="Q1785">
        <v>150650</v>
      </c>
      <c r="R1785" t="s">
        <v>3183</v>
      </c>
    </row>
    <row r="1786" spans="1:18" x14ac:dyDescent="0.25">
      <c r="A1786" t="s">
        <v>14</v>
      </c>
      <c r="B1786" t="s">
        <v>740</v>
      </c>
      <c r="C1786" t="s">
        <v>4378</v>
      </c>
      <c r="D1786" t="s">
        <v>4379</v>
      </c>
      <c r="E1786">
        <v>47300070753</v>
      </c>
      <c r="F1786" t="s">
        <v>16</v>
      </c>
      <c r="G1786" t="s">
        <v>17</v>
      </c>
      <c r="H1786" t="s">
        <v>82</v>
      </c>
      <c r="K1786" t="s">
        <v>3294</v>
      </c>
      <c r="L1786" t="s">
        <v>19</v>
      </c>
      <c r="M1786" t="s">
        <v>46</v>
      </c>
      <c r="N1786" s="2">
        <v>45566</v>
      </c>
      <c r="O1786" s="2">
        <v>45596</v>
      </c>
      <c r="P1786">
        <v>500</v>
      </c>
      <c r="Q1786">
        <v>500</v>
      </c>
      <c r="R1786" t="s">
        <v>3456</v>
      </c>
    </row>
    <row r="1787" spans="1:18" x14ac:dyDescent="0.25">
      <c r="A1787" t="s">
        <v>14</v>
      </c>
      <c r="B1787" t="s">
        <v>739</v>
      </c>
      <c r="C1787" t="s">
        <v>4408</v>
      </c>
      <c r="D1787" t="s">
        <v>4407</v>
      </c>
      <c r="E1787">
        <v>47300070753</v>
      </c>
      <c r="F1787" t="s">
        <v>16</v>
      </c>
      <c r="G1787" t="s">
        <v>17</v>
      </c>
      <c r="H1787" t="s">
        <v>82</v>
      </c>
      <c r="K1787" t="s">
        <v>2892</v>
      </c>
      <c r="L1787" t="s">
        <v>19</v>
      </c>
      <c r="M1787" t="s">
        <v>46</v>
      </c>
      <c r="N1787" s="2">
        <v>45566</v>
      </c>
      <c r="O1787" s="2">
        <v>45596</v>
      </c>
      <c r="P1787">
        <v>10000</v>
      </c>
      <c r="Q1787">
        <v>10000</v>
      </c>
      <c r="R1787" t="s">
        <v>3106</v>
      </c>
    </row>
    <row r="1788" spans="1:18" x14ac:dyDescent="0.25">
      <c r="A1788" t="s">
        <v>14</v>
      </c>
      <c r="B1788" t="s">
        <v>738</v>
      </c>
      <c r="C1788" t="s">
        <v>4398</v>
      </c>
      <c r="D1788" t="s">
        <v>4399</v>
      </c>
      <c r="E1788">
        <v>47300046399</v>
      </c>
      <c r="F1788" t="s">
        <v>16</v>
      </c>
      <c r="G1788" t="s">
        <v>28</v>
      </c>
      <c r="H1788" t="s">
        <v>122</v>
      </c>
      <c r="K1788" t="s">
        <v>3294</v>
      </c>
      <c r="L1788" t="s">
        <v>19</v>
      </c>
      <c r="M1788" t="s">
        <v>46</v>
      </c>
      <c r="N1788" s="2">
        <v>45566</v>
      </c>
      <c r="O1788" s="2">
        <v>45596</v>
      </c>
      <c r="P1788">
        <v>500</v>
      </c>
      <c r="Q1788">
        <v>500</v>
      </c>
      <c r="R1788" t="s">
        <v>2863</v>
      </c>
    </row>
    <row r="1789" spans="1:18" x14ac:dyDescent="0.25">
      <c r="A1789" t="s">
        <v>14</v>
      </c>
      <c r="B1789" t="s">
        <v>738</v>
      </c>
      <c r="C1789" t="s">
        <v>4384</v>
      </c>
      <c r="D1789" t="s">
        <v>4385</v>
      </c>
      <c r="E1789">
        <v>47300046399</v>
      </c>
      <c r="F1789" t="s">
        <v>16</v>
      </c>
      <c r="G1789" t="s">
        <v>28</v>
      </c>
      <c r="H1789" t="s">
        <v>122</v>
      </c>
      <c r="K1789" t="s">
        <v>2892</v>
      </c>
      <c r="L1789" t="s">
        <v>19</v>
      </c>
      <c r="M1789" t="s">
        <v>46</v>
      </c>
      <c r="N1789" s="2">
        <v>45566</v>
      </c>
      <c r="O1789" s="2">
        <v>45596</v>
      </c>
      <c r="P1789">
        <v>10000</v>
      </c>
      <c r="Q1789">
        <v>10000</v>
      </c>
      <c r="R1789" t="s">
        <v>2863</v>
      </c>
    </row>
    <row r="1790" spans="1:18" x14ac:dyDescent="0.25">
      <c r="A1790" t="s">
        <v>14</v>
      </c>
      <c r="B1790" t="s">
        <v>738</v>
      </c>
      <c r="C1790" t="s">
        <v>4398</v>
      </c>
      <c r="D1790" t="s">
        <v>4399</v>
      </c>
      <c r="E1790">
        <v>47300046399</v>
      </c>
      <c r="F1790" t="s">
        <v>16</v>
      </c>
      <c r="G1790" t="s">
        <v>28</v>
      </c>
      <c r="H1790" t="s">
        <v>122</v>
      </c>
      <c r="K1790" t="s">
        <v>2864</v>
      </c>
      <c r="L1790" t="s">
        <v>47</v>
      </c>
      <c r="N1790" s="2">
        <v>45536</v>
      </c>
      <c r="O1790" s="2">
        <v>45565</v>
      </c>
      <c r="P1790">
        <v>10000</v>
      </c>
      <c r="Q1790">
        <v>10000</v>
      </c>
      <c r="R1790" t="s">
        <v>2863</v>
      </c>
    </row>
    <row r="1791" spans="1:18" x14ac:dyDescent="0.25">
      <c r="A1791" t="s">
        <v>14</v>
      </c>
      <c r="B1791" t="s">
        <v>737</v>
      </c>
      <c r="C1791" t="s">
        <v>4384</v>
      </c>
      <c r="D1791" t="s">
        <v>4385</v>
      </c>
      <c r="E1791">
        <v>47300046647</v>
      </c>
      <c r="F1791" t="s">
        <v>16</v>
      </c>
      <c r="G1791" t="s">
        <v>87</v>
      </c>
      <c r="H1791" t="s">
        <v>100</v>
      </c>
      <c r="K1791" t="s">
        <v>3259</v>
      </c>
      <c r="L1791" t="s">
        <v>47</v>
      </c>
      <c r="N1791" s="2">
        <v>45536</v>
      </c>
      <c r="O1791" s="2">
        <v>45565</v>
      </c>
      <c r="P1791">
        <v>92732</v>
      </c>
      <c r="Q1791">
        <v>92732</v>
      </c>
      <c r="R1791" t="s">
        <v>2865</v>
      </c>
    </row>
    <row r="1792" spans="1:18" x14ac:dyDescent="0.25">
      <c r="A1792" t="s">
        <v>14</v>
      </c>
      <c r="B1792" t="s">
        <v>737</v>
      </c>
      <c r="C1792" t="s">
        <v>4364</v>
      </c>
      <c r="D1792" t="s">
        <v>4358</v>
      </c>
      <c r="E1792">
        <v>47300046647</v>
      </c>
      <c r="F1792" t="s">
        <v>16</v>
      </c>
      <c r="G1792" t="s">
        <v>87</v>
      </c>
      <c r="H1792" t="s">
        <v>100</v>
      </c>
      <c r="K1792" t="s">
        <v>3184</v>
      </c>
      <c r="L1792" t="s">
        <v>47</v>
      </c>
      <c r="N1792" s="2">
        <v>45536</v>
      </c>
      <c r="O1792" s="2">
        <v>45565</v>
      </c>
      <c r="P1792">
        <v>150650</v>
      </c>
      <c r="Q1792">
        <v>150650</v>
      </c>
      <c r="R1792" t="s">
        <v>2865</v>
      </c>
    </row>
    <row r="1793" spans="1:20" x14ac:dyDescent="0.25">
      <c r="A1793" t="s">
        <v>14</v>
      </c>
      <c r="B1793" t="s">
        <v>737</v>
      </c>
      <c r="C1793" t="s">
        <v>4398</v>
      </c>
      <c r="D1793" t="s">
        <v>4399</v>
      </c>
      <c r="E1793">
        <v>47300046647</v>
      </c>
      <c r="F1793" t="s">
        <v>16</v>
      </c>
      <c r="G1793" t="s">
        <v>87</v>
      </c>
      <c r="H1793" t="s">
        <v>100</v>
      </c>
      <c r="K1793" t="s">
        <v>2864</v>
      </c>
      <c r="L1793" t="s">
        <v>47</v>
      </c>
      <c r="N1793" s="2">
        <v>45536</v>
      </c>
      <c r="O1793" s="2">
        <v>45565</v>
      </c>
      <c r="P1793">
        <v>10000</v>
      </c>
      <c r="Q1793">
        <v>10000</v>
      </c>
      <c r="R1793" t="s">
        <v>2865</v>
      </c>
    </row>
    <row r="1794" spans="1:20" x14ac:dyDescent="0.25">
      <c r="A1794" t="s">
        <v>14</v>
      </c>
      <c r="B1794" t="s">
        <v>736</v>
      </c>
      <c r="C1794" t="s">
        <v>4378</v>
      </c>
      <c r="D1794" t="s">
        <v>4379</v>
      </c>
      <c r="E1794">
        <v>47300046779</v>
      </c>
      <c r="F1794" t="s">
        <v>42</v>
      </c>
      <c r="G1794" t="s">
        <v>28</v>
      </c>
      <c r="H1794" t="s">
        <v>199</v>
      </c>
      <c r="K1794" t="s">
        <v>3294</v>
      </c>
      <c r="L1794" t="s">
        <v>19</v>
      </c>
      <c r="M1794" t="s">
        <v>46</v>
      </c>
      <c r="N1794" s="2">
        <v>45566</v>
      </c>
      <c r="O1794" s="2">
        <v>45596</v>
      </c>
      <c r="P1794">
        <v>500</v>
      </c>
      <c r="Q1794">
        <v>500</v>
      </c>
      <c r="R1794" t="s">
        <v>3457</v>
      </c>
    </row>
    <row r="1795" spans="1:20" x14ac:dyDescent="0.25">
      <c r="A1795" t="s">
        <v>14</v>
      </c>
      <c r="B1795" t="s">
        <v>735</v>
      </c>
      <c r="C1795" t="s">
        <v>4408</v>
      </c>
      <c r="D1795" t="s">
        <v>4407</v>
      </c>
      <c r="E1795">
        <v>47300046779</v>
      </c>
      <c r="F1795" t="s">
        <v>42</v>
      </c>
      <c r="G1795" t="s">
        <v>28</v>
      </c>
      <c r="H1795" t="s">
        <v>199</v>
      </c>
      <c r="K1795" t="s">
        <v>2892</v>
      </c>
      <c r="L1795" t="s">
        <v>19</v>
      </c>
      <c r="M1795" t="s">
        <v>46</v>
      </c>
      <c r="N1795" s="2">
        <v>45566</v>
      </c>
      <c r="O1795" s="2">
        <v>45596</v>
      </c>
      <c r="P1795">
        <v>10000</v>
      </c>
      <c r="Q1795">
        <v>10000</v>
      </c>
      <c r="R1795" t="s">
        <v>3107</v>
      </c>
    </row>
    <row r="1796" spans="1:20" x14ac:dyDescent="0.25">
      <c r="A1796" t="s">
        <v>14</v>
      </c>
      <c r="B1796" t="s">
        <v>734</v>
      </c>
      <c r="C1796" t="s">
        <v>4384</v>
      </c>
      <c r="D1796" t="s">
        <v>4385</v>
      </c>
      <c r="E1796">
        <v>47300046779</v>
      </c>
      <c r="F1796" t="s">
        <v>42</v>
      </c>
      <c r="G1796" t="s">
        <v>28</v>
      </c>
      <c r="H1796" t="s">
        <v>199</v>
      </c>
      <c r="K1796" t="s">
        <v>3261</v>
      </c>
      <c r="L1796" t="s">
        <v>19</v>
      </c>
      <c r="M1796" t="s">
        <v>46</v>
      </c>
      <c r="N1796" s="2">
        <v>45566</v>
      </c>
      <c r="O1796" s="2">
        <v>45596</v>
      </c>
      <c r="P1796">
        <v>92732</v>
      </c>
      <c r="Q1796">
        <v>92732</v>
      </c>
      <c r="R1796" t="s">
        <v>3265</v>
      </c>
    </row>
    <row r="1797" spans="1:20" x14ac:dyDescent="0.25">
      <c r="A1797" t="s">
        <v>14</v>
      </c>
      <c r="B1797" t="s">
        <v>733</v>
      </c>
      <c r="C1797" t="s">
        <v>4378</v>
      </c>
      <c r="D1797" t="s">
        <v>4379</v>
      </c>
      <c r="E1797">
        <v>47300046779</v>
      </c>
      <c r="F1797" t="s">
        <v>42</v>
      </c>
      <c r="G1797" t="s">
        <v>28</v>
      </c>
      <c r="H1797" t="s">
        <v>199</v>
      </c>
      <c r="K1797" t="s">
        <v>3197</v>
      </c>
      <c r="L1797" t="s">
        <v>19</v>
      </c>
      <c r="M1797" t="s">
        <v>46</v>
      </c>
      <c r="N1797" s="2">
        <v>45566</v>
      </c>
      <c r="O1797" s="2">
        <v>45596</v>
      </c>
      <c r="P1797">
        <v>150650</v>
      </c>
      <c r="Q1797">
        <v>150650</v>
      </c>
      <c r="R1797" t="s">
        <v>3227</v>
      </c>
    </row>
    <row r="1798" spans="1:20" x14ac:dyDescent="0.25">
      <c r="A1798" t="s">
        <v>14</v>
      </c>
      <c r="B1798" t="s">
        <v>732</v>
      </c>
      <c r="C1798" t="s">
        <v>4382</v>
      </c>
      <c r="D1798" t="s">
        <v>4383</v>
      </c>
      <c r="E1798">
        <v>47300046688</v>
      </c>
      <c r="F1798" t="s">
        <v>16</v>
      </c>
      <c r="G1798" t="s">
        <v>17</v>
      </c>
      <c r="H1798" t="s">
        <v>154</v>
      </c>
      <c r="K1798" t="s">
        <v>2892</v>
      </c>
      <c r="L1798" t="s">
        <v>19</v>
      </c>
      <c r="M1798" t="s">
        <v>46</v>
      </c>
      <c r="N1798" s="2">
        <v>45566</v>
      </c>
      <c r="O1798" s="2">
        <v>45688</v>
      </c>
      <c r="P1798">
        <v>10000</v>
      </c>
      <c r="Q1798">
        <v>40000</v>
      </c>
      <c r="R1798" t="s">
        <v>3108</v>
      </c>
    </row>
    <row r="1799" spans="1:20" x14ac:dyDescent="0.25">
      <c r="A1799" t="s">
        <v>14</v>
      </c>
      <c r="B1799" t="s">
        <v>730</v>
      </c>
      <c r="C1799" t="s">
        <v>4384</v>
      </c>
      <c r="D1799" t="s">
        <v>4391</v>
      </c>
      <c r="E1799">
        <v>47300070571</v>
      </c>
      <c r="F1799" t="s">
        <v>42</v>
      </c>
      <c r="G1799" t="s">
        <v>28</v>
      </c>
      <c r="H1799" t="s">
        <v>72</v>
      </c>
      <c r="K1799" t="s">
        <v>4266</v>
      </c>
      <c r="L1799" t="s">
        <v>19</v>
      </c>
      <c r="M1799" t="s">
        <v>63</v>
      </c>
      <c r="N1799" s="2">
        <v>45566</v>
      </c>
      <c r="O1799" s="2">
        <v>45596</v>
      </c>
      <c r="P1799">
        <v>100000</v>
      </c>
      <c r="Q1799">
        <v>100000</v>
      </c>
      <c r="R1799" t="s">
        <v>3109</v>
      </c>
      <c r="S1799" t="s">
        <v>731</v>
      </c>
      <c r="T1799">
        <v>416.3</v>
      </c>
    </row>
    <row r="1800" spans="1:20" x14ac:dyDescent="0.25">
      <c r="A1800" t="s">
        <v>14</v>
      </c>
      <c r="B1800" t="s">
        <v>730</v>
      </c>
      <c r="C1800" t="s">
        <v>4367</v>
      </c>
      <c r="D1800" t="s">
        <v>4368</v>
      </c>
      <c r="E1800">
        <v>47300070571</v>
      </c>
      <c r="F1800" t="s">
        <v>42</v>
      </c>
      <c r="G1800" t="s">
        <v>28</v>
      </c>
      <c r="H1800" t="s">
        <v>72</v>
      </c>
      <c r="K1800" t="s">
        <v>3294</v>
      </c>
      <c r="L1800" t="s">
        <v>19</v>
      </c>
      <c r="M1800" t="s">
        <v>46</v>
      </c>
      <c r="N1800" s="2">
        <v>45566</v>
      </c>
      <c r="O1800" s="2">
        <v>45596</v>
      </c>
      <c r="P1800">
        <v>500</v>
      </c>
      <c r="Q1800">
        <v>500</v>
      </c>
      <c r="R1800" t="s">
        <v>3109</v>
      </c>
    </row>
    <row r="1801" spans="1:20" x14ac:dyDescent="0.25">
      <c r="A1801" t="s">
        <v>14</v>
      </c>
      <c r="B1801" t="s">
        <v>730</v>
      </c>
      <c r="C1801" t="s">
        <v>4389</v>
      </c>
      <c r="D1801" t="s">
        <v>4390</v>
      </c>
      <c r="E1801">
        <v>47300070571</v>
      </c>
      <c r="F1801" t="s">
        <v>42</v>
      </c>
      <c r="G1801" t="s">
        <v>28</v>
      </c>
      <c r="H1801" t="s">
        <v>72</v>
      </c>
      <c r="K1801" t="s">
        <v>2892</v>
      </c>
      <c r="L1801" t="s">
        <v>19</v>
      </c>
      <c r="M1801" t="s">
        <v>46</v>
      </c>
      <c r="N1801" s="2">
        <v>45566</v>
      </c>
      <c r="O1801" s="2">
        <v>45596</v>
      </c>
      <c r="P1801">
        <v>10000</v>
      </c>
      <c r="Q1801">
        <v>10000</v>
      </c>
      <c r="R1801" t="s">
        <v>3109</v>
      </c>
    </row>
    <row r="1802" spans="1:20" x14ac:dyDescent="0.25">
      <c r="A1802" t="s">
        <v>14</v>
      </c>
      <c r="B1802" t="s">
        <v>728</v>
      </c>
      <c r="C1802" t="s">
        <v>4382</v>
      </c>
      <c r="D1802" t="s">
        <v>4383</v>
      </c>
      <c r="E1802">
        <v>47300026094</v>
      </c>
      <c r="F1802" t="s">
        <v>35</v>
      </c>
      <c r="G1802" t="s">
        <v>36</v>
      </c>
      <c r="H1802" t="s">
        <v>4359</v>
      </c>
      <c r="K1802" t="s">
        <v>4266</v>
      </c>
      <c r="L1802" t="s">
        <v>19</v>
      </c>
      <c r="M1802" t="s">
        <v>63</v>
      </c>
      <c r="N1802" s="2">
        <v>45566</v>
      </c>
      <c r="O1802" s="2">
        <v>45596</v>
      </c>
      <c r="P1802">
        <v>100000</v>
      </c>
      <c r="Q1802">
        <v>100000</v>
      </c>
      <c r="R1802" t="s">
        <v>3458</v>
      </c>
      <c r="S1802" t="s">
        <v>729</v>
      </c>
      <c r="T1802">
        <v>416.3</v>
      </c>
    </row>
    <row r="1803" spans="1:20" x14ac:dyDescent="0.25">
      <c r="A1803" t="s">
        <v>14</v>
      </c>
      <c r="B1803" t="s">
        <v>728</v>
      </c>
      <c r="C1803" t="s">
        <v>4367</v>
      </c>
      <c r="D1803" t="s">
        <v>4368</v>
      </c>
      <c r="E1803">
        <v>47300026094</v>
      </c>
      <c r="F1803" t="s">
        <v>35</v>
      </c>
      <c r="G1803" t="s">
        <v>36</v>
      </c>
      <c r="H1803" t="s">
        <v>4359</v>
      </c>
      <c r="K1803" t="s">
        <v>3294</v>
      </c>
      <c r="L1803" t="s">
        <v>19</v>
      </c>
      <c r="M1803" t="s">
        <v>46</v>
      </c>
      <c r="N1803" s="2">
        <v>45566</v>
      </c>
      <c r="O1803" s="2">
        <v>45596</v>
      </c>
      <c r="P1803">
        <v>500</v>
      </c>
      <c r="Q1803">
        <v>500</v>
      </c>
      <c r="R1803" t="s">
        <v>3458</v>
      </c>
    </row>
    <row r="1804" spans="1:20" x14ac:dyDescent="0.25">
      <c r="A1804" t="s">
        <v>14</v>
      </c>
      <c r="B1804" t="s">
        <v>727</v>
      </c>
      <c r="C1804" t="s">
        <v>4389</v>
      </c>
      <c r="D1804" t="s">
        <v>4390</v>
      </c>
      <c r="E1804">
        <v>47300046977</v>
      </c>
      <c r="F1804" t="s">
        <v>16</v>
      </c>
      <c r="G1804" t="s">
        <v>17</v>
      </c>
      <c r="H1804" t="s">
        <v>175</v>
      </c>
      <c r="K1804" t="s">
        <v>3536</v>
      </c>
      <c r="L1804" t="s">
        <v>47</v>
      </c>
      <c r="N1804" s="2">
        <v>45541</v>
      </c>
      <c r="O1804" s="2">
        <v>45539</v>
      </c>
      <c r="P1804">
        <v>64912.4</v>
      </c>
      <c r="Q1804">
        <v>64912.4</v>
      </c>
      <c r="R1804" t="s">
        <v>2866</v>
      </c>
    </row>
    <row r="1805" spans="1:20" x14ac:dyDescent="0.25">
      <c r="A1805" t="s">
        <v>14</v>
      </c>
      <c r="B1805" t="s">
        <v>727</v>
      </c>
      <c r="C1805" t="s">
        <v>4384</v>
      </c>
      <c r="D1805" t="s">
        <v>4391</v>
      </c>
      <c r="E1805">
        <v>47300046977</v>
      </c>
      <c r="F1805" t="s">
        <v>16</v>
      </c>
      <c r="G1805" t="s">
        <v>17</v>
      </c>
      <c r="H1805" t="s">
        <v>175</v>
      </c>
      <c r="K1805" t="s">
        <v>3294</v>
      </c>
      <c r="L1805" t="s">
        <v>19</v>
      </c>
      <c r="M1805" t="s">
        <v>46</v>
      </c>
      <c r="N1805" s="2">
        <v>45566</v>
      </c>
      <c r="O1805" s="2">
        <v>45596</v>
      </c>
      <c r="P1805">
        <v>500</v>
      </c>
      <c r="Q1805">
        <v>500</v>
      </c>
      <c r="R1805" t="s">
        <v>2866</v>
      </c>
    </row>
    <row r="1806" spans="1:20" x14ac:dyDescent="0.25">
      <c r="A1806" t="s">
        <v>14</v>
      </c>
      <c r="B1806" t="s">
        <v>727</v>
      </c>
      <c r="C1806" t="s">
        <v>4405</v>
      </c>
      <c r="D1806" t="s">
        <v>4390</v>
      </c>
      <c r="E1806">
        <v>47300046977</v>
      </c>
      <c r="F1806" t="s">
        <v>16</v>
      </c>
      <c r="G1806" t="s">
        <v>17</v>
      </c>
      <c r="H1806" t="s">
        <v>175</v>
      </c>
      <c r="K1806" t="s">
        <v>2892</v>
      </c>
      <c r="L1806" t="s">
        <v>19</v>
      </c>
      <c r="M1806" t="s">
        <v>46</v>
      </c>
      <c r="N1806" s="2">
        <v>45566</v>
      </c>
      <c r="O1806" s="2">
        <v>45596</v>
      </c>
      <c r="P1806">
        <v>10000</v>
      </c>
      <c r="Q1806">
        <v>10000</v>
      </c>
      <c r="R1806" t="s">
        <v>2866</v>
      </c>
    </row>
    <row r="1807" spans="1:20" x14ac:dyDescent="0.25">
      <c r="A1807" t="s">
        <v>14</v>
      </c>
      <c r="B1807" t="s">
        <v>727</v>
      </c>
      <c r="C1807" t="s">
        <v>4382</v>
      </c>
      <c r="D1807" t="s">
        <v>4383</v>
      </c>
      <c r="E1807">
        <v>47300046977</v>
      </c>
      <c r="F1807" t="s">
        <v>16</v>
      </c>
      <c r="G1807" t="s">
        <v>17</v>
      </c>
      <c r="H1807" t="s">
        <v>175</v>
      </c>
      <c r="K1807" t="s">
        <v>2864</v>
      </c>
      <c r="L1807" t="s">
        <v>47</v>
      </c>
      <c r="N1807" s="2">
        <v>45536</v>
      </c>
      <c r="O1807" s="2">
        <v>45565</v>
      </c>
      <c r="P1807">
        <v>10000</v>
      </c>
      <c r="Q1807">
        <v>10000</v>
      </c>
      <c r="R1807" t="s">
        <v>2866</v>
      </c>
    </row>
    <row r="1808" spans="1:20" x14ac:dyDescent="0.25">
      <c r="A1808" t="s">
        <v>14</v>
      </c>
      <c r="B1808" t="s">
        <v>726</v>
      </c>
      <c r="C1808" t="s">
        <v>4382</v>
      </c>
      <c r="D1808" t="s">
        <v>4383</v>
      </c>
      <c r="E1808">
        <v>47300070605</v>
      </c>
      <c r="F1808" t="s">
        <v>16</v>
      </c>
      <c r="G1808" t="s">
        <v>28</v>
      </c>
      <c r="H1808" t="s">
        <v>178</v>
      </c>
      <c r="K1808" t="s">
        <v>3259</v>
      </c>
      <c r="L1808" t="s">
        <v>47</v>
      </c>
      <c r="N1808" s="2">
        <v>45536</v>
      </c>
      <c r="O1808" s="2">
        <v>45565</v>
      </c>
      <c r="P1808">
        <v>92732</v>
      </c>
      <c r="Q1808">
        <v>92732</v>
      </c>
      <c r="R1808" t="s">
        <v>3260</v>
      </c>
    </row>
    <row r="1809" spans="1:20" x14ac:dyDescent="0.25">
      <c r="A1809" t="s">
        <v>14</v>
      </c>
      <c r="B1809" t="s">
        <v>725</v>
      </c>
      <c r="C1809" t="s">
        <v>4382</v>
      </c>
      <c r="D1809" t="s">
        <v>4383</v>
      </c>
      <c r="E1809">
        <v>47300047066</v>
      </c>
      <c r="F1809" t="s">
        <v>16</v>
      </c>
      <c r="G1809" t="s">
        <v>28</v>
      </c>
      <c r="H1809" t="s">
        <v>57</v>
      </c>
      <c r="K1809" t="s">
        <v>3294</v>
      </c>
      <c r="L1809" t="s">
        <v>19</v>
      </c>
      <c r="M1809" t="s">
        <v>46</v>
      </c>
      <c r="N1809" s="2">
        <v>45566</v>
      </c>
      <c r="O1809" s="2">
        <v>45596</v>
      </c>
      <c r="P1809">
        <v>500</v>
      </c>
      <c r="Q1809">
        <v>500</v>
      </c>
      <c r="R1809" t="s">
        <v>2781</v>
      </c>
    </row>
    <row r="1810" spans="1:20" x14ac:dyDescent="0.25">
      <c r="A1810" t="s">
        <v>14</v>
      </c>
      <c r="B1810" t="s">
        <v>725</v>
      </c>
      <c r="C1810" t="s">
        <v>4384</v>
      </c>
      <c r="D1810" t="s">
        <v>4391</v>
      </c>
      <c r="E1810">
        <v>47300047066</v>
      </c>
      <c r="F1810" t="s">
        <v>16</v>
      </c>
      <c r="G1810" t="s">
        <v>28</v>
      </c>
      <c r="H1810" t="s">
        <v>57</v>
      </c>
      <c r="K1810" t="s">
        <v>2760</v>
      </c>
      <c r="L1810" t="s">
        <v>47</v>
      </c>
      <c r="N1810" s="2">
        <v>45566</v>
      </c>
      <c r="O1810" s="2">
        <v>45532</v>
      </c>
      <c r="P1810">
        <v>237681.39</v>
      </c>
      <c r="Q1810">
        <v>237681.39</v>
      </c>
      <c r="R1810" t="s">
        <v>2781</v>
      </c>
    </row>
    <row r="1811" spans="1:20" x14ac:dyDescent="0.25">
      <c r="A1811" t="s">
        <v>14</v>
      </c>
      <c r="B1811" t="s">
        <v>724</v>
      </c>
      <c r="C1811" t="s">
        <v>4389</v>
      </c>
      <c r="D1811" t="s">
        <v>4390</v>
      </c>
      <c r="E1811">
        <v>47300047066</v>
      </c>
      <c r="F1811" t="s">
        <v>16</v>
      </c>
      <c r="G1811" t="s">
        <v>28</v>
      </c>
      <c r="H1811" t="s">
        <v>57</v>
      </c>
      <c r="K1811" t="s">
        <v>3197</v>
      </c>
      <c r="L1811" t="s">
        <v>19</v>
      </c>
      <c r="M1811" t="s">
        <v>46</v>
      </c>
      <c r="N1811" s="2">
        <v>45566</v>
      </c>
      <c r="O1811" s="2">
        <v>45596</v>
      </c>
      <c r="P1811">
        <v>150650</v>
      </c>
      <c r="Q1811">
        <v>150650</v>
      </c>
      <c r="R1811" t="s">
        <v>3110</v>
      </c>
    </row>
    <row r="1812" spans="1:20" x14ac:dyDescent="0.25">
      <c r="A1812" t="s">
        <v>14</v>
      </c>
      <c r="B1812" t="s">
        <v>724</v>
      </c>
      <c r="C1812" t="s">
        <v>4406</v>
      </c>
      <c r="D1812" t="s">
        <v>4394</v>
      </c>
      <c r="E1812">
        <v>47300047066</v>
      </c>
      <c r="F1812" t="s">
        <v>16</v>
      </c>
      <c r="G1812" t="s">
        <v>28</v>
      </c>
      <c r="H1812" t="s">
        <v>57</v>
      </c>
      <c r="K1812" t="s">
        <v>2892</v>
      </c>
      <c r="L1812" t="s">
        <v>19</v>
      </c>
      <c r="M1812" t="s">
        <v>46</v>
      </c>
      <c r="N1812" s="2">
        <v>45566</v>
      </c>
      <c r="O1812" s="2">
        <v>45596</v>
      </c>
      <c r="P1812">
        <v>10000</v>
      </c>
      <c r="Q1812">
        <v>10000</v>
      </c>
      <c r="R1812" t="s">
        <v>3110</v>
      </c>
    </row>
    <row r="1813" spans="1:20" x14ac:dyDescent="0.25">
      <c r="A1813" t="s">
        <v>14</v>
      </c>
      <c r="B1813" t="s">
        <v>722</v>
      </c>
      <c r="C1813" t="s">
        <v>4384</v>
      </c>
      <c r="D1813" t="s">
        <v>4391</v>
      </c>
      <c r="E1813">
        <v>47300047066</v>
      </c>
      <c r="F1813" t="s">
        <v>16</v>
      </c>
      <c r="G1813" t="s">
        <v>28</v>
      </c>
      <c r="H1813" t="s">
        <v>57</v>
      </c>
      <c r="K1813" t="s">
        <v>4266</v>
      </c>
      <c r="L1813" t="s">
        <v>19</v>
      </c>
      <c r="M1813" t="s">
        <v>63</v>
      </c>
      <c r="N1813" s="2">
        <v>45566</v>
      </c>
      <c r="O1813" s="2">
        <v>45596</v>
      </c>
      <c r="P1813">
        <v>50000</v>
      </c>
      <c r="Q1813">
        <v>50000</v>
      </c>
      <c r="R1813" t="s">
        <v>4308</v>
      </c>
      <c r="S1813" t="s">
        <v>723</v>
      </c>
      <c r="T1813">
        <v>208.2</v>
      </c>
    </row>
    <row r="1814" spans="1:20" x14ac:dyDescent="0.25">
      <c r="A1814" t="s">
        <v>14</v>
      </c>
      <c r="B1814" t="s">
        <v>721</v>
      </c>
      <c r="C1814" t="s">
        <v>4371</v>
      </c>
      <c r="D1814" t="s">
        <v>4368</v>
      </c>
      <c r="E1814">
        <v>47300070753</v>
      </c>
      <c r="F1814" t="s">
        <v>16</v>
      </c>
      <c r="G1814" t="s">
        <v>17</v>
      </c>
      <c r="H1814" t="s">
        <v>82</v>
      </c>
      <c r="K1814" t="s">
        <v>3197</v>
      </c>
      <c r="L1814" t="s">
        <v>19</v>
      </c>
      <c r="M1814" t="s">
        <v>46</v>
      </c>
      <c r="N1814" s="2">
        <v>45566</v>
      </c>
      <c r="O1814" s="2">
        <v>45596</v>
      </c>
      <c r="P1814">
        <v>150650</v>
      </c>
      <c r="Q1814">
        <v>150650</v>
      </c>
      <c r="R1814" t="s">
        <v>3228</v>
      </c>
    </row>
    <row r="1815" spans="1:20" x14ac:dyDescent="0.25">
      <c r="A1815" t="s">
        <v>14</v>
      </c>
      <c r="B1815" t="s">
        <v>719</v>
      </c>
      <c r="C1815" t="s">
        <v>4371</v>
      </c>
      <c r="D1815" t="s">
        <v>4368</v>
      </c>
      <c r="E1815">
        <v>47300070753</v>
      </c>
      <c r="F1815" t="s">
        <v>16</v>
      </c>
      <c r="G1815" t="s">
        <v>17</v>
      </c>
      <c r="H1815" t="s">
        <v>82</v>
      </c>
      <c r="K1815" t="s">
        <v>4266</v>
      </c>
      <c r="L1815" t="s">
        <v>19</v>
      </c>
      <c r="M1815" t="s">
        <v>63</v>
      </c>
      <c r="N1815" s="2">
        <v>45566</v>
      </c>
      <c r="O1815" s="2">
        <v>45596</v>
      </c>
      <c r="P1815">
        <v>90000</v>
      </c>
      <c r="Q1815">
        <v>90000</v>
      </c>
      <c r="R1815" t="s">
        <v>3266</v>
      </c>
      <c r="S1815" t="s">
        <v>720</v>
      </c>
      <c r="T1815">
        <v>374.6</v>
      </c>
    </row>
    <row r="1816" spans="1:20" x14ac:dyDescent="0.25">
      <c r="A1816" t="s">
        <v>14</v>
      </c>
      <c r="B1816" t="s">
        <v>719</v>
      </c>
      <c r="C1816" t="s">
        <v>4408</v>
      </c>
      <c r="D1816" t="s">
        <v>4407</v>
      </c>
      <c r="E1816">
        <v>47300070753</v>
      </c>
      <c r="F1816" t="s">
        <v>16</v>
      </c>
      <c r="G1816" t="s">
        <v>17</v>
      </c>
      <c r="H1816" t="s">
        <v>82</v>
      </c>
      <c r="K1816" t="s">
        <v>3261</v>
      </c>
      <c r="L1816" t="s">
        <v>19</v>
      </c>
      <c r="M1816" t="s">
        <v>46</v>
      </c>
      <c r="N1816" s="2">
        <v>45566</v>
      </c>
      <c r="O1816" s="2">
        <v>45596</v>
      </c>
      <c r="P1816">
        <v>92732</v>
      </c>
      <c r="Q1816">
        <v>92732</v>
      </c>
      <c r="R1816" t="s">
        <v>3266</v>
      </c>
    </row>
    <row r="1817" spans="1:20" x14ac:dyDescent="0.25">
      <c r="A1817" t="s">
        <v>14</v>
      </c>
      <c r="B1817" t="s">
        <v>717</v>
      </c>
      <c r="C1817" t="s">
        <v>4408</v>
      </c>
      <c r="D1817" t="s">
        <v>4407</v>
      </c>
      <c r="E1817">
        <v>47300025708</v>
      </c>
      <c r="F1817" t="s">
        <v>35</v>
      </c>
      <c r="G1817" t="s">
        <v>36</v>
      </c>
      <c r="H1817" t="s">
        <v>4360</v>
      </c>
      <c r="K1817" t="s">
        <v>4266</v>
      </c>
      <c r="L1817" t="s">
        <v>19</v>
      </c>
      <c r="M1817" t="s">
        <v>63</v>
      </c>
      <c r="N1817" s="2">
        <v>45566</v>
      </c>
      <c r="O1817" s="2">
        <v>45596</v>
      </c>
      <c r="P1817">
        <v>50000</v>
      </c>
      <c r="Q1817">
        <v>50000</v>
      </c>
      <c r="R1817" t="s">
        <v>3459</v>
      </c>
      <c r="S1817" t="s">
        <v>718</v>
      </c>
      <c r="T1817">
        <v>208.2</v>
      </c>
    </row>
    <row r="1818" spans="1:20" x14ac:dyDescent="0.25">
      <c r="A1818" t="s">
        <v>14</v>
      </c>
      <c r="B1818" t="s">
        <v>717</v>
      </c>
      <c r="C1818" t="s">
        <v>4408</v>
      </c>
      <c r="D1818" t="s">
        <v>4407</v>
      </c>
      <c r="E1818">
        <v>47300025708</v>
      </c>
      <c r="F1818" t="s">
        <v>35</v>
      </c>
      <c r="G1818" t="s">
        <v>36</v>
      </c>
      <c r="H1818" t="s">
        <v>4360</v>
      </c>
      <c r="K1818" t="s">
        <v>3294</v>
      </c>
      <c r="L1818" t="s">
        <v>19</v>
      </c>
      <c r="M1818" t="s">
        <v>46</v>
      </c>
      <c r="N1818" s="2">
        <v>45566</v>
      </c>
      <c r="O1818" s="2">
        <v>45596</v>
      </c>
      <c r="P1818">
        <v>500</v>
      </c>
      <c r="Q1818">
        <v>500</v>
      </c>
      <c r="R1818" t="s">
        <v>3459</v>
      </c>
    </row>
    <row r="1819" spans="1:20" x14ac:dyDescent="0.25">
      <c r="A1819" t="s">
        <v>14</v>
      </c>
      <c r="B1819" t="s">
        <v>715</v>
      </c>
      <c r="C1819" t="s">
        <v>4369</v>
      </c>
      <c r="D1819" t="s">
        <v>4370</v>
      </c>
      <c r="E1819">
        <v>47300046720</v>
      </c>
      <c r="F1819" t="s">
        <v>16</v>
      </c>
      <c r="G1819" t="s">
        <v>28</v>
      </c>
      <c r="H1819" t="s">
        <v>143</v>
      </c>
      <c r="K1819" t="s">
        <v>4266</v>
      </c>
      <c r="L1819" t="s">
        <v>19</v>
      </c>
      <c r="M1819" t="s">
        <v>63</v>
      </c>
      <c r="N1819" s="2">
        <v>45566</v>
      </c>
      <c r="O1819" s="2">
        <v>45596</v>
      </c>
      <c r="P1819">
        <v>50000</v>
      </c>
      <c r="Q1819">
        <v>50000</v>
      </c>
      <c r="R1819" t="s">
        <v>3229</v>
      </c>
      <c r="S1819" t="s">
        <v>716</v>
      </c>
      <c r="T1819">
        <v>208.2</v>
      </c>
    </row>
    <row r="1820" spans="1:20" x14ac:dyDescent="0.25">
      <c r="A1820" t="s">
        <v>14</v>
      </c>
      <c r="B1820" t="s">
        <v>715</v>
      </c>
      <c r="C1820" t="s">
        <v>4420</v>
      </c>
      <c r="D1820" t="s">
        <v>4394</v>
      </c>
      <c r="E1820">
        <v>47300046720</v>
      </c>
      <c r="F1820" t="s">
        <v>16</v>
      </c>
      <c r="G1820" t="s">
        <v>28</v>
      </c>
      <c r="H1820" t="s">
        <v>143</v>
      </c>
      <c r="K1820" t="s">
        <v>3294</v>
      </c>
      <c r="L1820" t="s">
        <v>19</v>
      </c>
      <c r="M1820" t="s">
        <v>46</v>
      </c>
      <c r="N1820" s="2">
        <v>45566</v>
      </c>
      <c r="O1820" s="2">
        <v>45596</v>
      </c>
      <c r="P1820">
        <v>500</v>
      </c>
      <c r="Q1820">
        <v>500</v>
      </c>
      <c r="R1820" t="s">
        <v>3229</v>
      </c>
    </row>
    <row r="1821" spans="1:20" x14ac:dyDescent="0.25">
      <c r="A1821" t="s">
        <v>14</v>
      </c>
      <c r="B1821" t="s">
        <v>715</v>
      </c>
      <c r="C1821" t="s">
        <v>4376</v>
      </c>
      <c r="D1821" t="s">
        <v>4377</v>
      </c>
      <c r="E1821">
        <v>47300046720</v>
      </c>
      <c r="F1821" t="s">
        <v>16</v>
      </c>
      <c r="G1821" t="s">
        <v>28</v>
      </c>
      <c r="H1821" t="s">
        <v>143</v>
      </c>
      <c r="K1821" t="s">
        <v>3197</v>
      </c>
      <c r="L1821" t="s">
        <v>19</v>
      </c>
      <c r="M1821" t="s">
        <v>46</v>
      </c>
      <c r="N1821" s="2">
        <v>45566</v>
      </c>
      <c r="O1821" s="2">
        <v>45596</v>
      </c>
      <c r="P1821">
        <v>150650</v>
      </c>
      <c r="Q1821">
        <v>150650</v>
      </c>
      <c r="R1821" t="s">
        <v>3229</v>
      </c>
    </row>
    <row r="1822" spans="1:20" x14ac:dyDescent="0.25">
      <c r="A1822" t="s">
        <v>14</v>
      </c>
      <c r="B1822" t="s">
        <v>713</v>
      </c>
      <c r="C1822" t="s">
        <v>4369</v>
      </c>
      <c r="D1822" t="s">
        <v>4370</v>
      </c>
      <c r="E1822">
        <v>47300046191</v>
      </c>
      <c r="F1822" t="s">
        <v>16</v>
      </c>
      <c r="G1822" t="s">
        <v>28</v>
      </c>
      <c r="H1822" t="s">
        <v>119</v>
      </c>
      <c r="I1822" t="s">
        <v>2799</v>
      </c>
      <c r="J1822">
        <v>8033011626</v>
      </c>
      <c r="K1822" t="s">
        <v>4266</v>
      </c>
      <c r="L1822" t="s">
        <v>19</v>
      </c>
      <c r="M1822" t="s">
        <v>63</v>
      </c>
      <c r="N1822" s="2">
        <v>45566</v>
      </c>
      <c r="O1822" s="2">
        <v>45596</v>
      </c>
      <c r="P1822">
        <v>10000</v>
      </c>
      <c r="Q1822">
        <v>10000</v>
      </c>
      <c r="R1822" t="s">
        <v>3111</v>
      </c>
      <c r="S1822" t="s">
        <v>714</v>
      </c>
      <c r="T1822">
        <v>41.6</v>
      </c>
    </row>
    <row r="1823" spans="1:20" x14ac:dyDescent="0.25">
      <c r="A1823" t="s">
        <v>14</v>
      </c>
      <c r="B1823" t="s">
        <v>713</v>
      </c>
      <c r="C1823" t="s">
        <v>4420</v>
      </c>
      <c r="D1823" t="s">
        <v>4394</v>
      </c>
      <c r="E1823">
        <v>47300046191</v>
      </c>
      <c r="F1823" t="s">
        <v>16</v>
      </c>
      <c r="G1823" t="s">
        <v>28</v>
      </c>
      <c r="H1823" t="s">
        <v>119</v>
      </c>
      <c r="I1823" t="s">
        <v>2799</v>
      </c>
      <c r="J1823">
        <v>8033011626</v>
      </c>
      <c r="K1823" t="s">
        <v>3294</v>
      </c>
      <c r="L1823" t="s">
        <v>19</v>
      </c>
      <c r="M1823" t="s">
        <v>46</v>
      </c>
      <c r="N1823" s="2">
        <v>45566</v>
      </c>
      <c r="O1823" s="2">
        <v>45596</v>
      </c>
      <c r="P1823">
        <v>500</v>
      </c>
      <c r="Q1823">
        <v>500</v>
      </c>
      <c r="R1823" t="s">
        <v>3111</v>
      </c>
    </row>
    <row r="1824" spans="1:20" x14ac:dyDescent="0.25">
      <c r="A1824" t="s">
        <v>14</v>
      </c>
      <c r="B1824" t="s">
        <v>713</v>
      </c>
      <c r="C1824" t="s">
        <v>4376</v>
      </c>
      <c r="D1824" t="s">
        <v>4377</v>
      </c>
      <c r="E1824">
        <v>47300046191</v>
      </c>
      <c r="F1824" t="s">
        <v>16</v>
      </c>
      <c r="G1824" t="s">
        <v>28</v>
      </c>
      <c r="H1824" t="s">
        <v>119</v>
      </c>
      <c r="I1824" t="s">
        <v>2799</v>
      </c>
      <c r="J1824">
        <v>8033011626</v>
      </c>
      <c r="K1824" t="s">
        <v>3261</v>
      </c>
      <c r="L1824" t="s">
        <v>19</v>
      </c>
      <c r="M1824" t="s">
        <v>46</v>
      </c>
      <c r="N1824" s="2">
        <v>45566</v>
      </c>
      <c r="O1824" s="2">
        <v>45596</v>
      </c>
      <c r="P1824">
        <v>92732</v>
      </c>
      <c r="Q1824">
        <v>92732</v>
      </c>
      <c r="R1824" t="s">
        <v>3111</v>
      </c>
    </row>
    <row r="1825" spans="1:20" x14ac:dyDescent="0.25">
      <c r="A1825" t="s">
        <v>14</v>
      </c>
      <c r="B1825" t="s">
        <v>713</v>
      </c>
      <c r="C1825" t="s">
        <v>4369</v>
      </c>
      <c r="D1825" t="s">
        <v>4370</v>
      </c>
      <c r="E1825">
        <v>47300046191</v>
      </c>
      <c r="F1825" t="s">
        <v>16</v>
      </c>
      <c r="G1825" t="s">
        <v>28</v>
      </c>
      <c r="H1825" t="s">
        <v>119</v>
      </c>
      <c r="I1825" t="s">
        <v>2799</v>
      </c>
      <c r="J1825">
        <v>8033011626</v>
      </c>
      <c r="K1825" t="s">
        <v>3197</v>
      </c>
      <c r="L1825" t="s">
        <v>19</v>
      </c>
      <c r="M1825" t="s">
        <v>46</v>
      </c>
      <c r="N1825" s="2">
        <v>45566</v>
      </c>
      <c r="O1825" s="2">
        <v>45596</v>
      </c>
      <c r="P1825">
        <v>150650</v>
      </c>
      <c r="Q1825">
        <v>150650</v>
      </c>
      <c r="R1825" t="s">
        <v>3111</v>
      </c>
    </row>
    <row r="1826" spans="1:20" x14ac:dyDescent="0.25">
      <c r="A1826" t="s">
        <v>14</v>
      </c>
      <c r="B1826" t="s">
        <v>713</v>
      </c>
      <c r="C1826" t="s">
        <v>4420</v>
      </c>
      <c r="D1826" t="s">
        <v>4394</v>
      </c>
      <c r="E1826">
        <v>47300046191</v>
      </c>
      <c r="F1826" t="s">
        <v>16</v>
      </c>
      <c r="G1826" t="s">
        <v>28</v>
      </c>
      <c r="H1826" t="s">
        <v>119</v>
      </c>
      <c r="I1826" t="s">
        <v>2799</v>
      </c>
      <c r="J1826">
        <v>8033011626</v>
      </c>
      <c r="K1826" t="s">
        <v>2892</v>
      </c>
      <c r="L1826" t="s">
        <v>19</v>
      </c>
      <c r="M1826" t="s">
        <v>46</v>
      </c>
      <c r="N1826" s="2">
        <v>45566</v>
      </c>
      <c r="O1826" s="2">
        <v>45596</v>
      </c>
      <c r="P1826">
        <v>10000</v>
      </c>
      <c r="Q1826">
        <v>10000</v>
      </c>
      <c r="R1826" t="s">
        <v>3111</v>
      </c>
    </row>
    <row r="1827" spans="1:20" x14ac:dyDescent="0.25">
      <c r="A1827" t="s">
        <v>14</v>
      </c>
      <c r="B1827" t="s">
        <v>711</v>
      </c>
      <c r="C1827" t="s">
        <v>4369</v>
      </c>
      <c r="D1827" t="s">
        <v>4370</v>
      </c>
      <c r="E1827">
        <v>47300086445</v>
      </c>
      <c r="F1827" t="s">
        <v>16</v>
      </c>
      <c r="G1827" t="s">
        <v>28</v>
      </c>
      <c r="H1827" t="s">
        <v>187</v>
      </c>
      <c r="I1827" t="s">
        <v>2777</v>
      </c>
      <c r="J1827" t="s">
        <v>2776</v>
      </c>
      <c r="K1827" t="s">
        <v>4266</v>
      </c>
      <c r="L1827" t="s">
        <v>19</v>
      </c>
      <c r="M1827" t="s">
        <v>63</v>
      </c>
      <c r="N1827" s="2">
        <v>45566</v>
      </c>
      <c r="O1827" s="2">
        <v>45596</v>
      </c>
      <c r="P1827">
        <v>30000</v>
      </c>
      <c r="Q1827">
        <v>30000</v>
      </c>
      <c r="R1827" t="s">
        <v>2867</v>
      </c>
      <c r="S1827" t="s">
        <v>712</v>
      </c>
      <c r="T1827">
        <v>124.9</v>
      </c>
    </row>
    <row r="1828" spans="1:20" x14ac:dyDescent="0.25">
      <c r="A1828" t="s">
        <v>14</v>
      </c>
      <c r="B1828" t="s">
        <v>711</v>
      </c>
      <c r="C1828" t="s">
        <v>4369</v>
      </c>
      <c r="D1828" t="s">
        <v>4370</v>
      </c>
      <c r="E1828">
        <v>47300086445</v>
      </c>
      <c r="F1828" t="s">
        <v>16</v>
      </c>
      <c r="G1828" t="s">
        <v>28</v>
      </c>
      <c r="H1828" t="s">
        <v>187</v>
      </c>
      <c r="I1828" t="s">
        <v>2777</v>
      </c>
      <c r="J1828" t="s">
        <v>2776</v>
      </c>
      <c r="K1828" t="s">
        <v>3294</v>
      </c>
      <c r="L1828" t="s">
        <v>19</v>
      </c>
      <c r="M1828" t="s">
        <v>46</v>
      </c>
      <c r="N1828" s="2">
        <v>45566</v>
      </c>
      <c r="O1828" s="2">
        <v>45596</v>
      </c>
      <c r="P1828">
        <v>500</v>
      </c>
      <c r="Q1828">
        <v>500</v>
      </c>
      <c r="R1828" t="s">
        <v>2867</v>
      </c>
    </row>
    <row r="1829" spans="1:20" x14ac:dyDescent="0.25">
      <c r="A1829" t="s">
        <v>14</v>
      </c>
      <c r="B1829" t="s">
        <v>711</v>
      </c>
      <c r="C1829" t="s">
        <v>4420</v>
      </c>
      <c r="D1829" t="s">
        <v>4394</v>
      </c>
      <c r="E1829">
        <v>47300086445</v>
      </c>
      <c r="F1829" t="s">
        <v>16</v>
      </c>
      <c r="G1829" t="s">
        <v>28</v>
      </c>
      <c r="H1829" t="s">
        <v>187</v>
      </c>
      <c r="I1829" t="s">
        <v>2777</v>
      </c>
      <c r="J1829" t="s">
        <v>2776</v>
      </c>
      <c r="K1829" t="s">
        <v>3261</v>
      </c>
      <c r="L1829" t="s">
        <v>19</v>
      </c>
      <c r="M1829" t="s">
        <v>46</v>
      </c>
      <c r="N1829" s="2">
        <v>45566</v>
      </c>
      <c r="O1829" s="2">
        <v>45596</v>
      </c>
      <c r="P1829">
        <v>92732</v>
      </c>
      <c r="Q1829">
        <v>92732</v>
      </c>
      <c r="R1829" t="s">
        <v>2867</v>
      </c>
    </row>
    <row r="1830" spans="1:20" x14ac:dyDescent="0.25">
      <c r="A1830" t="s">
        <v>14</v>
      </c>
      <c r="B1830" t="s">
        <v>711</v>
      </c>
      <c r="C1830" t="s">
        <v>4376</v>
      </c>
      <c r="D1830" t="s">
        <v>4377</v>
      </c>
      <c r="E1830">
        <v>47300086445</v>
      </c>
      <c r="F1830" t="s">
        <v>16</v>
      </c>
      <c r="G1830" t="s">
        <v>28</v>
      </c>
      <c r="H1830" t="s">
        <v>187</v>
      </c>
      <c r="I1830" t="s">
        <v>2777</v>
      </c>
      <c r="J1830" t="s">
        <v>2776</v>
      </c>
      <c r="K1830" t="s">
        <v>3259</v>
      </c>
      <c r="L1830" t="s">
        <v>47</v>
      </c>
      <c r="N1830" s="2">
        <v>45536</v>
      </c>
      <c r="O1830" s="2">
        <v>45565</v>
      </c>
      <c r="P1830">
        <v>92732</v>
      </c>
      <c r="Q1830">
        <v>92732</v>
      </c>
      <c r="R1830" t="s">
        <v>2867</v>
      </c>
    </row>
    <row r="1831" spans="1:20" x14ac:dyDescent="0.25">
      <c r="A1831" t="s">
        <v>14</v>
      </c>
      <c r="B1831" t="s">
        <v>711</v>
      </c>
      <c r="C1831" t="s">
        <v>4369</v>
      </c>
      <c r="D1831" t="s">
        <v>4370</v>
      </c>
      <c r="E1831">
        <v>47300086445</v>
      </c>
      <c r="F1831" t="s">
        <v>16</v>
      </c>
      <c r="G1831" t="s">
        <v>28</v>
      </c>
      <c r="H1831" t="s">
        <v>187</v>
      </c>
      <c r="I1831" t="s">
        <v>2777</v>
      </c>
      <c r="J1831" t="s">
        <v>2776</v>
      </c>
      <c r="K1831" t="s">
        <v>3197</v>
      </c>
      <c r="L1831" t="s">
        <v>19</v>
      </c>
      <c r="M1831" t="s">
        <v>46</v>
      </c>
      <c r="N1831" s="2">
        <v>45566</v>
      </c>
      <c r="O1831" s="2">
        <v>45596</v>
      </c>
      <c r="P1831">
        <v>150650</v>
      </c>
      <c r="Q1831">
        <v>150650</v>
      </c>
      <c r="R1831" t="s">
        <v>2867</v>
      </c>
    </row>
    <row r="1832" spans="1:20" x14ac:dyDescent="0.25">
      <c r="A1832" t="s">
        <v>14</v>
      </c>
      <c r="B1832" t="s">
        <v>711</v>
      </c>
      <c r="C1832" t="s">
        <v>4369</v>
      </c>
      <c r="D1832" t="s">
        <v>4370</v>
      </c>
      <c r="E1832">
        <v>47300086445</v>
      </c>
      <c r="F1832" t="s">
        <v>16</v>
      </c>
      <c r="G1832" t="s">
        <v>28</v>
      </c>
      <c r="H1832" t="s">
        <v>187</v>
      </c>
      <c r="I1832" t="s">
        <v>2777</v>
      </c>
      <c r="J1832" t="s">
        <v>2776</v>
      </c>
      <c r="K1832" t="s">
        <v>3184</v>
      </c>
      <c r="L1832" t="s">
        <v>47</v>
      </c>
      <c r="N1832" s="2">
        <v>45536</v>
      </c>
      <c r="O1832" s="2">
        <v>45565</v>
      </c>
      <c r="P1832">
        <v>150650</v>
      </c>
      <c r="Q1832">
        <v>150650</v>
      </c>
      <c r="R1832" t="s">
        <v>2867</v>
      </c>
    </row>
    <row r="1833" spans="1:20" x14ac:dyDescent="0.25">
      <c r="A1833" t="s">
        <v>14</v>
      </c>
      <c r="B1833" t="s">
        <v>711</v>
      </c>
      <c r="C1833" t="s">
        <v>4420</v>
      </c>
      <c r="D1833" t="s">
        <v>4394</v>
      </c>
      <c r="E1833">
        <v>47300086445</v>
      </c>
      <c r="F1833" t="s">
        <v>16</v>
      </c>
      <c r="G1833" t="s">
        <v>28</v>
      </c>
      <c r="H1833" t="s">
        <v>187</v>
      </c>
      <c r="I1833" t="s">
        <v>2777</v>
      </c>
      <c r="J1833" t="s">
        <v>2776</v>
      </c>
      <c r="K1833" t="s">
        <v>2892</v>
      </c>
      <c r="L1833" t="s">
        <v>19</v>
      </c>
      <c r="M1833" t="s">
        <v>46</v>
      </c>
      <c r="N1833" s="2">
        <v>45566</v>
      </c>
      <c r="O1833" s="2">
        <v>45596</v>
      </c>
      <c r="P1833">
        <v>10000</v>
      </c>
      <c r="Q1833">
        <v>10000</v>
      </c>
      <c r="R1833" t="s">
        <v>2867</v>
      </c>
    </row>
    <row r="1834" spans="1:20" x14ac:dyDescent="0.25">
      <c r="A1834" t="s">
        <v>14</v>
      </c>
      <c r="B1834" t="s">
        <v>711</v>
      </c>
      <c r="C1834" t="s">
        <v>4369</v>
      </c>
      <c r="D1834" t="s">
        <v>4370</v>
      </c>
      <c r="E1834">
        <v>47300086445</v>
      </c>
      <c r="F1834" t="s">
        <v>16</v>
      </c>
      <c r="G1834" t="s">
        <v>28</v>
      </c>
      <c r="H1834" t="s">
        <v>187</v>
      </c>
      <c r="I1834" t="s">
        <v>2777</v>
      </c>
      <c r="J1834" t="s">
        <v>2776</v>
      </c>
      <c r="K1834" t="s">
        <v>2864</v>
      </c>
      <c r="L1834" t="s">
        <v>47</v>
      </c>
      <c r="N1834" s="2">
        <v>45536</v>
      </c>
      <c r="O1834" s="2">
        <v>45565</v>
      </c>
      <c r="P1834">
        <v>10000</v>
      </c>
      <c r="Q1834">
        <v>10000</v>
      </c>
      <c r="R1834" t="s">
        <v>2867</v>
      </c>
    </row>
    <row r="1835" spans="1:20" x14ac:dyDescent="0.25">
      <c r="A1835" t="s">
        <v>14</v>
      </c>
      <c r="B1835" t="s">
        <v>709</v>
      </c>
      <c r="C1835" t="s">
        <v>4394</v>
      </c>
      <c r="D1835" t="s">
        <v>4395</v>
      </c>
      <c r="E1835">
        <v>47300026094</v>
      </c>
      <c r="F1835" t="s">
        <v>35</v>
      </c>
      <c r="G1835" t="s">
        <v>36</v>
      </c>
      <c r="H1835" t="s">
        <v>4359</v>
      </c>
      <c r="K1835" t="s">
        <v>3795</v>
      </c>
      <c r="L1835" t="s">
        <v>19</v>
      </c>
      <c r="M1835" t="s">
        <v>20</v>
      </c>
      <c r="P1835">
        <v>200000</v>
      </c>
      <c r="Q1835">
        <v>200000</v>
      </c>
      <c r="R1835" t="s">
        <v>4072</v>
      </c>
      <c r="S1835" t="s">
        <v>710</v>
      </c>
      <c r="T1835">
        <v>832.6</v>
      </c>
    </row>
    <row r="1836" spans="1:20" x14ac:dyDescent="0.25">
      <c r="A1836" t="s">
        <v>14</v>
      </c>
      <c r="B1836" t="s">
        <v>707</v>
      </c>
      <c r="C1836" t="s">
        <v>4400</v>
      </c>
      <c r="D1836" t="s">
        <v>4401</v>
      </c>
      <c r="E1836">
        <v>47300025708</v>
      </c>
      <c r="F1836" t="s">
        <v>35</v>
      </c>
      <c r="G1836" t="s">
        <v>36</v>
      </c>
      <c r="H1836" t="s">
        <v>4360</v>
      </c>
      <c r="K1836" t="s">
        <v>3795</v>
      </c>
      <c r="L1836" t="s">
        <v>19</v>
      </c>
      <c r="M1836" t="s">
        <v>20</v>
      </c>
      <c r="P1836">
        <v>200000</v>
      </c>
      <c r="Q1836">
        <v>200000</v>
      </c>
      <c r="R1836" t="s">
        <v>4073</v>
      </c>
      <c r="S1836" t="s">
        <v>708</v>
      </c>
      <c r="T1836">
        <v>832.6</v>
      </c>
    </row>
    <row r="1837" spans="1:20" x14ac:dyDescent="0.25">
      <c r="A1837" t="s">
        <v>14</v>
      </c>
      <c r="B1837" t="s">
        <v>705</v>
      </c>
      <c r="C1837" t="s">
        <v>4419</v>
      </c>
      <c r="D1837" t="s">
        <v>4368</v>
      </c>
      <c r="E1837">
        <v>47300020147</v>
      </c>
      <c r="F1837" t="s">
        <v>35</v>
      </c>
      <c r="G1837" t="s">
        <v>36</v>
      </c>
      <c r="H1837" t="s">
        <v>4363</v>
      </c>
      <c r="K1837" t="s">
        <v>4266</v>
      </c>
      <c r="L1837" t="s">
        <v>19</v>
      </c>
      <c r="M1837" t="s">
        <v>63</v>
      </c>
      <c r="N1837" s="2">
        <v>45566</v>
      </c>
      <c r="O1837" s="2">
        <v>45596</v>
      </c>
      <c r="P1837">
        <v>100000</v>
      </c>
      <c r="Q1837">
        <v>100000</v>
      </c>
      <c r="R1837" t="s">
        <v>3460</v>
      </c>
      <c r="S1837" t="s">
        <v>706</v>
      </c>
      <c r="T1837">
        <v>416.3</v>
      </c>
    </row>
    <row r="1838" spans="1:20" x14ac:dyDescent="0.25">
      <c r="A1838" t="s">
        <v>14</v>
      </c>
      <c r="B1838" t="s">
        <v>705</v>
      </c>
      <c r="C1838" t="s">
        <v>4394</v>
      </c>
      <c r="D1838" t="s">
        <v>4395</v>
      </c>
      <c r="E1838">
        <v>47300020147</v>
      </c>
      <c r="F1838" t="s">
        <v>35</v>
      </c>
      <c r="G1838" t="s">
        <v>36</v>
      </c>
      <c r="H1838" t="s">
        <v>4363</v>
      </c>
      <c r="K1838" t="s">
        <v>3294</v>
      </c>
      <c r="L1838" t="s">
        <v>19</v>
      </c>
      <c r="M1838" t="s">
        <v>46</v>
      </c>
      <c r="N1838" s="2">
        <v>45566</v>
      </c>
      <c r="O1838" s="2">
        <v>45596</v>
      </c>
      <c r="P1838">
        <v>500</v>
      </c>
      <c r="Q1838">
        <v>500</v>
      </c>
      <c r="R1838" t="s">
        <v>3460</v>
      </c>
    </row>
    <row r="1839" spans="1:20" x14ac:dyDescent="0.25">
      <c r="A1839" t="s">
        <v>14</v>
      </c>
      <c r="B1839" t="s">
        <v>703</v>
      </c>
      <c r="C1839" t="s">
        <v>4400</v>
      </c>
      <c r="D1839" t="s">
        <v>4401</v>
      </c>
      <c r="E1839">
        <v>47300070522</v>
      </c>
      <c r="F1839" t="s">
        <v>16</v>
      </c>
      <c r="G1839" t="s">
        <v>17</v>
      </c>
      <c r="H1839" t="s">
        <v>18</v>
      </c>
      <c r="K1839" t="s">
        <v>4266</v>
      </c>
      <c r="L1839" t="s">
        <v>19</v>
      </c>
      <c r="M1839" t="s">
        <v>63</v>
      </c>
      <c r="N1839" s="2">
        <v>45566</v>
      </c>
      <c r="O1839" s="2">
        <v>45596</v>
      </c>
      <c r="P1839">
        <v>80000</v>
      </c>
      <c r="Q1839">
        <v>80000</v>
      </c>
      <c r="R1839" t="s">
        <v>3112</v>
      </c>
      <c r="S1839" t="s">
        <v>704</v>
      </c>
      <c r="T1839">
        <v>333.1</v>
      </c>
    </row>
    <row r="1840" spans="1:20" x14ac:dyDescent="0.25">
      <c r="A1840" t="s">
        <v>14</v>
      </c>
      <c r="B1840" t="s">
        <v>703</v>
      </c>
      <c r="C1840" t="s">
        <v>4419</v>
      </c>
      <c r="D1840" t="s">
        <v>4368</v>
      </c>
      <c r="E1840">
        <v>47300070522</v>
      </c>
      <c r="F1840" t="s">
        <v>16</v>
      </c>
      <c r="G1840" t="s">
        <v>17</v>
      </c>
      <c r="H1840" t="s">
        <v>18</v>
      </c>
      <c r="K1840" t="s">
        <v>3294</v>
      </c>
      <c r="L1840" t="s">
        <v>19</v>
      </c>
      <c r="M1840" t="s">
        <v>46</v>
      </c>
      <c r="N1840" s="2">
        <v>45566</v>
      </c>
      <c r="O1840" s="2">
        <v>45596</v>
      </c>
      <c r="P1840">
        <v>500</v>
      </c>
      <c r="Q1840">
        <v>500</v>
      </c>
      <c r="R1840" t="s">
        <v>3112</v>
      </c>
    </row>
    <row r="1841" spans="1:20" x14ac:dyDescent="0.25">
      <c r="A1841" t="s">
        <v>14</v>
      </c>
      <c r="B1841" t="s">
        <v>703</v>
      </c>
      <c r="C1841" t="s">
        <v>4371</v>
      </c>
      <c r="D1841" t="s">
        <v>4368</v>
      </c>
      <c r="E1841">
        <v>47300070522</v>
      </c>
      <c r="F1841" t="s">
        <v>16</v>
      </c>
      <c r="G1841" t="s">
        <v>17</v>
      </c>
      <c r="H1841" t="s">
        <v>18</v>
      </c>
      <c r="K1841" t="s">
        <v>2892</v>
      </c>
      <c r="L1841" t="s">
        <v>19</v>
      </c>
      <c r="M1841" t="s">
        <v>46</v>
      </c>
      <c r="N1841" s="2">
        <v>45566</v>
      </c>
      <c r="O1841" s="2">
        <v>45596</v>
      </c>
      <c r="P1841">
        <v>10000</v>
      </c>
      <c r="Q1841">
        <v>10000</v>
      </c>
      <c r="R1841" t="s">
        <v>3112</v>
      </c>
    </row>
    <row r="1842" spans="1:20" x14ac:dyDescent="0.25">
      <c r="A1842" t="s">
        <v>14</v>
      </c>
      <c r="B1842" t="s">
        <v>702</v>
      </c>
      <c r="C1842" t="s">
        <v>4367</v>
      </c>
      <c r="D1842" t="s">
        <v>4368</v>
      </c>
      <c r="E1842">
        <v>47300046241</v>
      </c>
      <c r="F1842" t="s">
        <v>16</v>
      </c>
      <c r="G1842" t="s">
        <v>23</v>
      </c>
      <c r="H1842" t="s">
        <v>24</v>
      </c>
      <c r="I1842" t="s">
        <v>2754</v>
      </c>
      <c r="J1842">
        <v>0</v>
      </c>
      <c r="K1842" t="s">
        <v>3259</v>
      </c>
      <c r="L1842" t="s">
        <v>47</v>
      </c>
      <c r="N1842" s="2">
        <v>45536</v>
      </c>
      <c r="O1842" s="2">
        <v>45565</v>
      </c>
      <c r="P1842">
        <v>92732</v>
      </c>
      <c r="Q1842">
        <v>92732</v>
      </c>
      <c r="R1842" t="s">
        <v>2782</v>
      </c>
    </row>
    <row r="1843" spans="1:20" x14ac:dyDescent="0.25">
      <c r="A1843" t="s">
        <v>14</v>
      </c>
      <c r="B1843" t="s">
        <v>702</v>
      </c>
      <c r="C1843" t="s">
        <v>4394</v>
      </c>
      <c r="D1843" t="s">
        <v>4395</v>
      </c>
      <c r="E1843">
        <v>47300046241</v>
      </c>
      <c r="F1843" t="s">
        <v>16</v>
      </c>
      <c r="G1843" t="s">
        <v>23</v>
      </c>
      <c r="H1843" t="s">
        <v>24</v>
      </c>
      <c r="I1843" t="s">
        <v>2754</v>
      </c>
      <c r="J1843">
        <v>0</v>
      </c>
      <c r="K1843" t="s">
        <v>3184</v>
      </c>
      <c r="L1843" t="s">
        <v>47</v>
      </c>
      <c r="N1843" s="2">
        <v>45536</v>
      </c>
      <c r="O1843" s="2">
        <v>45565</v>
      </c>
      <c r="P1843">
        <v>150650</v>
      </c>
      <c r="Q1843">
        <v>150650</v>
      </c>
      <c r="R1843" t="s">
        <v>2782</v>
      </c>
    </row>
    <row r="1844" spans="1:20" x14ac:dyDescent="0.25">
      <c r="A1844" t="s">
        <v>14</v>
      </c>
      <c r="B1844" t="s">
        <v>702</v>
      </c>
      <c r="C1844" t="s">
        <v>4394</v>
      </c>
      <c r="D1844" t="s">
        <v>4395</v>
      </c>
      <c r="E1844">
        <v>47300046241</v>
      </c>
      <c r="F1844" t="s">
        <v>16</v>
      </c>
      <c r="G1844" t="s">
        <v>23</v>
      </c>
      <c r="H1844" t="s">
        <v>24</v>
      </c>
      <c r="I1844" t="s">
        <v>2754</v>
      </c>
      <c r="J1844">
        <v>0</v>
      </c>
      <c r="K1844" t="s">
        <v>2864</v>
      </c>
      <c r="L1844" t="s">
        <v>47</v>
      </c>
      <c r="N1844" s="2">
        <v>45536</v>
      </c>
      <c r="O1844" s="2">
        <v>45565</v>
      </c>
      <c r="P1844">
        <v>10000</v>
      </c>
      <c r="Q1844">
        <v>10000</v>
      </c>
      <c r="R1844" t="s">
        <v>2782</v>
      </c>
    </row>
    <row r="1845" spans="1:20" x14ac:dyDescent="0.25">
      <c r="A1845" t="s">
        <v>14</v>
      </c>
      <c r="B1845" t="s">
        <v>702</v>
      </c>
      <c r="C1845" t="s">
        <v>4394</v>
      </c>
      <c r="D1845" t="s">
        <v>4395</v>
      </c>
      <c r="E1845">
        <v>47300046241</v>
      </c>
      <c r="F1845" t="s">
        <v>16</v>
      </c>
      <c r="G1845" t="s">
        <v>23</v>
      </c>
      <c r="H1845" t="s">
        <v>24</v>
      </c>
      <c r="I1845" t="s">
        <v>2754</v>
      </c>
      <c r="J1845">
        <v>0</v>
      </c>
      <c r="K1845" t="s">
        <v>2760</v>
      </c>
      <c r="L1845" t="s">
        <v>47</v>
      </c>
      <c r="N1845" s="2">
        <v>45566</v>
      </c>
      <c r="O1845" s="2">
        <v>45557</v>
      </c>
      <c r="P1845">
        <v>237681.39</v>
      </c>
      <c r="Q1845">
        <v>237681.39</v>
      </c>
      <c r="R1845" t="s">
        <v>2782</v>
      </c>
    </row>
    <row r="1846" spans="1:20" x14ac:dyDescent="0.25">
      <c r="A1846" t="s">
        <v>14</v>
      </c>
      <c r="B1846" t="s">
        <v>700</v>
      </c>
      <c r="C1846" t="s">
        <v>4394</v>
      </c>
      <c r="D1846" t="s">
        <v>4395</v>
      </c>
      <c r="E1846">
        <v>47300046241</v>
      </c>
      <c r="F1846" t="s">
        <v>16</v>
      </c>
      <c r="G1846" t="s">
        <v>23</v>
      </c>
      <c r="H1846" t="s">
        <v>24</v>
      </c>
      <c r="I1846" t="s">
        <v>2754</v>
      </c>
      <c r="J1846">
        <v>0</v>
      </c>
      <c r="K1846" t="s">
        <v>4266</v>
      </c>
      <c r="L1846" t="s">
        <v>19</v>
      </c>
      <c r="M1846" t="s">
        <v>63</v>
      </c>
      <c r="N1846" s="2">
        <v>45566</v>
      </c>
      <c r="O1846" s="2">
        <v>45596</v>
      </c>
      <c r="P1846">
        <v>20000</v>
      </c>
      <c r="Q1846">
        <v>20000</v>
      </c>
      <c r="R1846" t="s">
        <v>3113</v>
      </c>
      <c r="S1846" t="s">
        <v>701</v>
      </c>
      <c r="T1846">
        <v>83.3</v>
      </c>
    </row>
    <row r="1847" spans="1:20" x14ac:dyDescent="0.25">
      <c r="A1847" t="s">
        <v>14</v>
      </c>
      <c r="B1847" t="s">
        <v>700</v>
      </c>
      <c r="C1847" t="s">
        <v>4394</v>
      </c>
      <c r="D1847" t="s">
        <v>4395</v>
      </c>
      <c r="E1847">
        <v>47300046241</v>
      </c>
      <c r="F1847" t="s">
        <v>16</v>
      </c>
      <c r="G1847" t="s">
        <v>23</v>
      </c>
      <c r="H1847" t="s">
        <v>24</v>
      </c>
      <c r="I1847" t="s">
        <v>2754</v>
      </c>
      <c r="J1847">
        <v>0</v>
      </c>
      <c r="K1847" t="s">
        <v>3294</v>
      </c>
      <c r="L1847" t="s">
        <v>19</v>
      </c>
      <c r="M1847" t="s">
        <v>46</v>
      </c>
      <c r="N1847" s="2">
        <v>45566</v>
      </c>
      <c r="O1847" s="2">
        <v>45596</v>
      </c>
      <c r="P1847">
        <v>500</v>
      </c>
      <c r="Q1847">
        <v>500</v>
      </c>
      <c r="R1847" t="s">
        <v>3113</v>
      </c>
    </row>
    <row r="1848" spans="1:20" x14ac:dyDescent="0.25">
      <c r="A1848" t="s">
        <v>14</v>
      </c>
      <c r="B1848" t="s">
        <v>700</v>
      </c>
      <c r="C1848" t="s">
        <v>4400</v>
      </c>
      <c r="D1848" t="s">
        <v>4401</v>
      </c>
      <c r="E1848">
        <v>47300046241</v>
      </c>
      <c r="F1848" t="s">
        <v>16</v>
      </c>
      <c r="G1848" t="s">
        <v>23</v>
      </c>
      <c r="H1848" t="s">
        <v>24</v>
      </c>
      <c r="I1848" t="s">
        <v>2754</v>
      </c>
      <c r="J1848">
        <v>0</v>
      </c>
      <c r="K1848" t="s">
        <v>3197</v>
      </c>
      <c r="L1848" t="s">
        <v>19</v>
      </c>
      <c r="M1848" t="s">
        <v>46</v>
      </c>
      <c r="N1848" s="2">
        <v>45566</v>
      </c>
      <c r="O1848" s="2">
        <v>45596</v>
      </c>
      <c r="P1848">
        <v>150650</v>
      </c>
      <c r="Q1848">
        <v>150650</v>
      </c>
      <c r="R1848" t="s">
        <v>3113</v>
      </c>
    </row>
    <row r="1849" spans="1:20" x14ac:dyDescent="0.25">
      <c r="A1849" t="s">
        <v>14</v>
      </c>
      <c r="B1849" t="s">
        <v>700</v>
      </c>
      <c r="C1849" t="s">
        <v>4394</v>
      </c>
      <c r="D1849" t="s">
        <v>4395</v>
      </c>
      <c r="E1849">
        <v>47300046241</v>
      </c>
      <c r="F1849" t="s">
        <v>16</v>
      </c>
      <c r="G1849" t="s">
        <v>23</v>
      </c>
      <c r="H1849" t="s">
        <v>24</v>
      </c>
      <c r="I1849" t="s">
        <v>2754</v>
      </c>
      <c r="J1849">
        <v>0</v>
      </c>
      <c r="K1849" t="s">
        <v>2892</v>
      </c>
      <c r="L1849" t="s">
        <v>19</v>
      </c>
      <c r="M1849" t="s">
        <v>46</v>
      </c>
      <c r="N1849" s="2">
        <v>45566</v>
      </c>
      <c r="O1849" s="2">
        <v>45596</v>
      </c>
      <c r="P1849">
        <v>10000</v>
      </c>
      <c r="Q1849">
        <v>10000</v>
      </c>
      <c r="R1849" t="s">
        <v>3113</v>
      </c>
    </row>
    <row r="1850" spans="1:20" x14ac:dyDescent="0.25">
      <c r="A1850" t="s">
        <v>14</v>
      </c>
      <c r="B1850" t="s">
        <v>699</v>
      </c>
      <c r="C1850" t="s">
        <v>4414</v>
      </c>
      <c r="D1850" t="s">
        <v>4401</v>
      </c>
      <c r="E1850">
        <v>47300046746</v>
      </c>
      <c r="F1850" t="s">
        <v>16</v>
      </c>
      <c r="G1850" t="s">
        <v>28</v>
      </c>
      <c r="H1850" t="s">
        <v>32</v>
      </c>
      <c r="K1850" t="s">
        <v>3294</v>
      </c>
      <c r="L1850" t="s">
        <v>19</v>
      </c>
      <c r="M1850" t="s">
        <v>46</v>
      </c>
      <c r="N1850" s="2">
        <v>45566</v>
      </c>
      <c r="O1850" s="2">
        <v>45596</v>
      </c>
      <c r="P1850">
        <v>500</v>
      </c>
      <c r="Q1850">
        <v>500</v>
      </c>
      <c r="R1850" t="s">
        <v>3114</v>
      </c>
    </row>
    <row r="1851" spans="1:20" x14ac:dyDescent="0.25">
      <c r="A1851" t="s">
        <v>14</v>
      </c>
      <c r="B1851" t="s">
        <v>699</v>
      </c>
      <c r="C1851" t="s">
        <v>4414</v>
      </c>
      <c r="D1851" t="s">
        <v>4401</v>
      </c>
      <c r="E1851">
        <v>47300046746</v>
      </c>
      <c r="F1851" t="s">
        <v>16</v>
      </c>
      <c r="G1851" t="s">
        <v>28</v>
      </c>
      <c r="H1851" t="s">
        <v>32</v>
      </c>
      <c r="K1851" t="s">
        <v>2892</v>
      </c>
      <c r="L1851" t="s">
        <v>19</v>
      </c>
      <c r="M1851" t="s">
        <v>46</v>
      </c>
      <c r="N1851" s="2">
        <v>45566</v>
      </c>
      <c r="O1851" s="2">
        <v>45596</v>
      </c>
      <c r="P1851">
        <v>10000</v>
      </c>
      <c r="Q1851">
        <v>10000</v>
      </c>
      <c r="R1851" t="s">
        <v>3114</v>
      </c>
    </row>
    <row r="1852" spans="1:20" x14ac:dyDescent="0.25">
      <c r="A1852" t="s">
        <v>14</v>
      </c>
      <c r="B1852" t="s">
        <v>698</v>
      </c>
      <c r="C1852" t="s">
        <v>4402</v>
      </c>
      <c r="D1852" t="s">
        <v>4403</v>
      </c>
      <c r="E1852">
        <v>47300070548</v>
      </c>
      <c r="F1852" t="s">
        <v>27</v>
      </c>
      <c r="G1852" t="s">
        <v>17</v>
      </c>
      <c r="H1852" t="s">
        <v>51</v>
      </c>
      <c r="K1852" t="s">
        <v>3294</v>
      </c>
      <c r="L1852" t="s">
        <v>19</v>
      </c>
      <c r="M1852" t="s">
        <v>46</v>
      </c>
      <c r="N1852" s="2">
        <v>45566</v>
      </c>
      <c r="O1852" s="2">
        <v>45596</v>
      </c>
      <c r="P1852">
        <v>500</v>
      </c>
      <c r="Q1852">
        <v>500</v>
      </c>
      <c r="R1852" t="s">
        <v>3272</v>
      </c>
    </row>
    <row r="1853" spans="1:20" x14ac:dyDescent="0.25">
      <c r="A1853" t="s">
        <v>14</v>
      </c>
      <c r="B1853" t="s">
        <v>698</v>
      </c>
      <c r="C1853" t="s">
        <v>4413</v>
      </c>
      <c r="D1853" t="s">
        <v>4395</v>
      </c>
      <c r="E1853">
        <v>47300070548</v>
      </c>
      <c r="F1853" t="s">
        <v>27</v>
      </c>
      <c r="G1853" t="s">
        <v>17</v>
      </c>
      <c r="H1853" t="s">
        <v>51</v>
      </c>
      <c r="K1853" t="s">
        <v>3273</v>
      </c>
      <c r="L1853" t="s">
        <v>47</v>
      </c>
      <c r="N1853" s="2">
        <v>45536</v>
      </c>
      <c r="O1853" s="2">
        <v>45565</v>
      </c>
      <c r="P1853">
        <v>500</v>
      </c>
      <c r="Q1853">
        <v>500</v>
      </c>
      <c r="R1853" t="s">
        <v>3272</v>
      </c>
    </row>
    <row r="1854" spans="1:20" x14ac:dyDescent="0.25">
      <c r="A1854" t="s">
        <v>14</v>
      </c>
      <c r="B1854" t="s">
        <v>697</v>
      </c>
      <c r="C1854" t="s">
        <v>4413</v>
      </c>
      <c r="D1854" t="s">
        <v>4395</v>
      </c>
      <c r="E1854">
        <v>47300046746</v>
      </c>
      <c r="F1854" t="s">
        <v>16</v>
      </c>
      <c r="G1854" t="s">
        <v>28</v>
      </c>
      <c r="H1854" t="s">
        <v>32</v>
      </c>
      <c r="K1854" t="s">
        <v>3197</v>
      </c>
      <c r="L1854" t="s">
        <v>19</v>
      </c>
      <c r="M1854" t="s">
        <v>46</v>
      </c>
      <c r="N1854" s="2">
        <v>45566</v>
      </c>
      <c r="O1854" s="2">
        <v>45596</v>
      </c>
      <c r="P1854">
        <v>150650</v>
      </c>
      <c r="Q1854">
        <v>150650</v>
      </c>
      <c r="R1854" t="s">
        <v>3230</v>
      </c>
    </row>
    <row r="1855" spans="1:20" x14ac:dyDescent="0.25">
      <c r="A1855" t="s">
        <v>14</v>
      </c>
      <c r="B1855" t="s">
        <v>695</v>
      </c>
      <c r="C1855" t="s">
        <v>4402</v>
      </c>
      <c r="D1855" t="s">
        <v>4403</v>
      </c>
      <c r="E1855">
        <v>47300070845</v>
      </c>
      <c r="F1855" t="s">
        <v>16</v>
      </c>
      <c r="G1855" t="s">
        <v>23</v>
      </c>
      <c r="H1855" t="s">
        <v>157</v>
      </c>
      <c r="K1855" t="s">
        <v>4266</v>
      </c>
      <c r="L1855" t="s">
        <v>19</v>
      </c>
      <c r="M1855" t="s">
        <v>63</v>
      </c>
      <c r="N1855" s="2">
        <v>45566</v>
      </c>
      <c r="O1855" s="2">
        <v>45596</v>
      </c>
      <c r="P1855">
        <v>100000</v>
      </c>
      <c r="Q1855">
        <v>100000</v>
      </c>
      <c r="R1855" t="s">
        <v>3115</v>
      </c>
      <c r="S1855" t="s">
        <v>696</v>
      </c>
      <c r="T1855">
        <v>416.3</v>
      </c>
    </row>
    <row r="1856" spans="1:20" x14ac:dyDescent="0.25">
      <c r="A1856" t="s">
        <v>14</v>
      </c>
      <c r="B1856" t="s">
        <v>695</v>
      </c>
      <c r="C1856" t="s">
        <v>4414</v>
      </c>
      <c r="D1856" t="s">
        <v>4401</v>
      </c>
      <c r="E1856">
        <v>47300070845</v>
      </c>
      <c r="F1856" t="s">
        <v>16</v>
      </c>
      <c r="G1856" t="s">
        <v>23</v>
      </c>
      <c r="H1856" t="s">
        <v>157</v>
      </c>
      <c r="K1856" t="s">
        <v>3294</v>
      </c>
      <c r="L1856" t="s">
        <v>19</v>
      </c>
      <c r="M1856" t="s">
        <v>46</v>
      </c>
      <c r="N1856" s="2">
        <v>45566</v>
      </c>
      <c r="O1856" s="2">
        <v>45688</v>
      </c>
      <c r="P1856">
        <v>500</v>
      </c>
      <c r="Q1856">
        <v>2000</v>
      </c>
      <c r="R1856" t="s">
        <v>3115</v>
      </c>
    </row>
    <row r="1857" spans="1:20" x14ac:dyDescent="0.25">
      <c r="A1857" t="s">
        <v>14</v>
      </c>
      <c r="B1857" t="s">
        <v>695</v>
      </c>
      <c r="C1857" t="s">
        <v>4402</v>
      </c>
      <c r="D1857" t="s">
        <v>4403</v>
      </c>
      <c r="E1857">
        <v>47300070845</v>
      </c>
      <c r="F1857" t="s">
        <v>16</v>
      </c>
      <c r="G1857" t="s">
        <v>23</v>
      </c>
      <c r="H1857" t="s">
        <v>157</v>
      </c>
      <c r="K1857" t="s">
        <v>2892</v>
      </c>
      <c r="L1857" t="s">
        <v>19</v>
      </c>
      <c r="M1857" t="s">
        <v>46</v>
      </c>
      <c r="N1857" s="2">
        <v>45566</v>
      </c>
      <c r="O1857" s="2">
        <v>45596</v>
      </c>
      <c r="P1857">
        <v>10000</v>
      </c>
      <c r="Q1857">
        <v>10000</v>
      </c>
      <c r="R1857" t="s">
        <v>3115</v>
      </c>
    </row>
    <row r="1858" spans="1:20" x14ac:dyDescent="0.25">
      <c r="A1858" t="s">
        <v>14</v>
      </c>
      <c r="B1858" t="s">
        <v>694</v>
      </c>
      <c r="C1858" t="s">
        <v>4380</v>
      </c>
      <c r="D1858" t="s">
        <v>4381</v>
      </c>
      <c r="E1858">
        <v>47300046688</v>
      </c>
      <c r="F1858" t="s">
        <v>16</v>
      </c>
      <c r="G1858" t="s">
        <v>17</v>
      </c>
      <c r="H1858" t="s">
        <v>154</v>
      </c>
      <c r="K1858" t="s">
        <v>3197</v>
      </c>
      <c r="L1858" t="s">
        <v>19</v>
      </c>
      <c r="M1858" t="s">
        <v>46</v>
      </c>
      <c r="N1858" s="2">
        <v>45566</v>
      </c>
      <c r="O1858" s="2">
        <v>45596</v>
      </c>
      <c r="P1858">
        <v>150650</v>
      </c>
      <c r="Q1858">
        <v>150650</v>
      </c>
      <c r="R1858" t="s">
        <v>3231</v>
      </c>
    </row>
    <row r="1859" spans="1:20" x14ac:dyDescent="0.25">
      <c r="A1859" t="s">
        <v>14</v>
      </c>
      <c r="B1859" t="s">
        <v>693</v>
      </c>
      <c r="C1859" t="s">
        <v>4412</v>
      </c>
      <c r="D1859" t="s">
        <v>4424</v>
      </c>
      <c r="E1859">
        <v>47300046761</v>
      </c>
      <c r="F1859" t="s">
        <v>42</v>
      </c>
      <c r="G1859" t="s">
        <v>28</v>
      </c>
      <c r="H1859" t="s">
        <v>43</v>
      </c>
      <c r="K1859" t="s">
        <v>3294</v>
      </c>
      <c r="L1859" t="s">
        <v>19</v>
      </c>
      <c r="M1859" t="s">
        <v>46</v>
      </c>
      <c r="N1859" s="2">
        <v>45566</v>
      </c>
      <c r="O1859" s="2">
        <v>45596</v>
      </c>
      <c r="P1859">
        <v>500</v>
      </c>
      <c r="Q1859">
        <v>500</v>
      </c>
      <c r="R1859" t="s">
        <v>3116</v>
      </c>
    </row>
    <row r="1860" spans="1:20" x14ac:dyDescent="0.25">
      <c r="A1860" t="s">
        <v>14</v>
      </c>
      <c r="B1860" t="s">
        <v>693</v>
      </c>
      <c r="C1860" t="s">
        <v>4387</v>
      </c>
      <c r="D1860" t="s">
        <v>4388</v>
      </c>
      <c r="E1860">
        <v>47300046761</v>
      </c>
      <c r="F1860" t="s">
        <v>42</v>
      </c>
      <c r="G1860" t="s">
        <v>28</v>
      </c>
      <c r="H1860" t="s">
        <v>43</v>
      </c>
      <c r="K1860" t="s">
        <v>2892</v>
      </c>
      <c r="L1860" t="s">
        <v>19</v>
      </c>
      <c r="M1860" t="s">
        <v>46</v>
      </c>
      <c r="N1860" s="2">
        <v>45566</v>
      </c>
      <c r="O1860" s="2">
        <v>45596</v>
      </c>
      <c r="P1860">
        <v>10000</v>
      </c>
      <c r="Q1860">
        <v>10000</v>
      </c>
      <c r="R1860" t="s">
        <v>3116</v>
      </c>
    </row>
    <row r="1861" spans="1:20" x14ac:dyDescent="0.25">
      <c r="A1861" t="s">
        <v>14</v>
      </c>
      <c r="B1861" t="s">
        <v>691</v>
      </c>
      <c r="C1861" t="s">
        <v>4387</v>
      </c>
      <c r="D1861" t="s">
        <v>4388</v>
      </c>
      <c r="E1861">
        <v>47300046761</v>
      </c>
      <c r="F1861" t="s">
        <v>42</v>
      </c>
      <c r="G1861" t="s">
        <v>28</v>
      </c>
      <c r="H1861" t="s">
        <v>43</v>
      </c>
      <c r="K1861" t="s">
        <v>4266</v>
      </c>
      <c r="L1861" t="s">
        <v>19</v>
      </c>
      <c r="M1861" t="s">
        <v>63</v>
      </c>
      <c r="N1861" s="2">
        <v>45566</v>
      </c>
      <c r="O1861" s="2">
        <v>45596</v>
      </c>
      <c r="P1861">
        <v>10000</v>
      </c>
      <c r="Q1861">
        <v>10000</v>
      </c>
      <c r="R1861" t="s">
        <v>3232</v>
      </c>
      <c r="S1861" t="s">
        <v>692</v>
      </c>
      <c r="T1861">
        <v>41.6</v>
      </c>
    </row>
    <row r="1862" spans="1:20" x14ac:dyDescent="0.25">
      <c r="A1862" t="s">
        <v>14</v>
      </c>
      <c r="B1862" t="s">
        <v>691</v>
      </c>
      <c r="C1862" t="s">
        <v>4406</v>
      </c>
      <c r="D1862" t="s">
        <v>4394</v>
      </c>
      <c r="E1862">
        <v>47300046761</v>
      </c>
      <c r="F1862" t="s">
        <v>42</v>
      </c>
      <c r="G1862" t="s">
        <v>28</v>
      </c>
      <c r="H1862" t="s">
        <v>43</v>
      </c>
      <c r="K1862" t="s">
        <v>3197</v>
      </c>
      <c r="L1862" t="s">
        <v>19</v>
      </c>
      <c r="M1862" t="s">
        <v>46</v>
      </c>
      <c r="N1862" s="2">
        <v>45566</v>
      </c>
      <c r="O1862" s="2">
        <v>45596</v>
      </c>
      <c r="P1862">
        <v>150650</v>
      </c>
      <c r="Q1862">
        <v>150650</v>
      </c>
      <c r="R1862" t="s">
        <v>3232</v>
      </c>
    </row>
    <row r="1863" spans="1:20" x14ac:dyDescent="0.25">
      <c r="A1863" t="s">
        <v>14</v>
      </c>
      <c r="B1863" t="s">
        <v>690</v>
      </c>
      <c r="C1863" t="s">
        <v>4412</v>
      </c>
      <c r="D1863" t="s">
        <v>4424</v>
      </c>
      <c r="E1863">
        <v>47300046761</v>
      </c>
      <c r="F1863" t="s">
        <v>42</v>
      </c>
      <c r="G1863" t="s">
        <v>28</v>
      </c>
      <c r="H1863" t="s">
        <v>43</v>
      </c>
      <c r="K1863" t="s">
        <v>3261</v>
      </c>
      <c r="L1863" t="s">
        <v>19</v>
      </c>
      <c r="M1863" t="s">
        <v>46</v>
      </c>
      <c r="N1863" s="2">
        <v>45566</v>
      </c>
      <c r="O1863" s="2">
        <v>45596</v>
      </c>
      <c r="P1863">
        <v>92732</v>
      </c>
      <c r="Q1863">
        <v>92732</v>
      </c>
      <c r="R1863" t="s">
        <v>3267</v>
      </c>
    </row>
    <row r="1864" spans="1:20" x14ac:dyDescent="0.25">
      <c r="A1864" t="s">
        <v>14</v>
      </c>
      <c r="B1864" t="s">
        <v>688</v>
      </c>
      <c r="C1864" t="s">
        <v>4387</v>
      </c>
      <c r="D1864" t="s">
        <v>4388</v>
      </c>
      <c r="E1864">
        <v>47300046738</v>
      </c>
      <c r="F1864" t="s">
        <v>16</v>
      </c>
      <c r="G1864" t="s">
        <v>28</v>
      </c>
      <c r="H1864" t="s">
        <v>202</v>
      </c>
      <c r="K1864" t="s">
        <v>4266</v>
      </c>
      <c r="L1864" t="s">
        <v>19</v>
      </c>
      <c r="M1864" t="s">
        <v>63</v>
      </c>
      <c r="N1864" s="2">
        <v>45566</v>
      </c>
      <c r="O1864" s="2">
        <v>45596</v>
      </c>
      <c r="P1864">
        <v>10000</v>
      </c>
      <c r="Q1864">
        <v>10000</v>
      </c>
      <c r="R1864" t="s">
        <v>3117</v>
      </c>
      <c r="S1864" t="s">
        <v>689</v>
      </c>
      <c r="T1864">
        <v>41.6</v>
      </c>
    </row>
    <row r="1865" spans="1:20" x14ac:dyDescent="0.25">
      <c r="A1865" t="s">
        <v>14</v>
      </c>
      <c r="B1865" t="s">
        <v>688</v>
      </c>
      <c r="C1865" t="s">
        <v>4387</v>
      </c>
      <c r="D1865" t="s">
        <v>4388</v>
      </c>
      <c r="E1865">
        <v>47300046738</v>
      </c>
      <c r="F1865" t="s">
        <v>16</v>
      </c>
      <c r="G1865" t="s">
        <v>28</v>
      </c>
      <c r="H1865" t="s">
        <v>202</v>
      </c>
      <c r="K1865" t="s">
        <v>3294</v>
      </c>
      <c r="L1865" t="s">
        <v>19</v>
      </c>
      <c r="M1865" t="s">
        <v>46</v>
      </c>
      <c r="N1865" s="2">
        <v>45566</v>
      </c>
      <c r="O1865" s="2">
        <v>45596</v>
      </c>
      <c r="P1865">
        <v>500</v>
      </c>
      <c r="Q1865">
        <v>500</v>
      </c>
      <c r="R1865" t="s">
        <v>3117</v>
      </c>
    </row>
    <row r="1866" spans="1:20" x14ac:dyDescent="0.25">
      <c r="A1866" t="s">
        <v>14</v>
      </c>
      <c r="B1866" t="s">
        <v>688</v>
      </c>
      <c r="C1866" t="s">
        <v>4387</v>
      </c>
      <c r="D1866" t="s">
        <v>4388</v>
      </c>
      <c r="E1866">
        <v>47300046738</v>
      </c>
      <c r="F1866" t="s">
        <v>16</v>
      </c>
      <c r="G1866" t="s">
        <v>28</v>
      </c>
      <c r="H1866" t="s">
        <v>202</v>
      </c>
      <c r="K1866" t="s">
        <v>2892</v>
      </c>
      <c r="L1866" t="s">
        <v>19</v>
      </c>
      <c r="M1866" t="s">
        <v>46</v>
      </c>
      <c r="N1866" s="2">
        <v>45566</v>
      </c>
      <c r="O1866" s="2">
        <v>45596</v>
      </c>
      <c r="P1866">
        <v>10000</v>
      </c>
      <c r="Q1866">
        <v>10000</v>
      </c>
      <c r="R1866" t="s">
        <v>3117</v>
      </c>
    </row>
    <row r="1867" spans="1:20" x14ac:dyDescent="0.25">
      <c r="A1867" t="s">
        <v>14</v>
      </c>
      <c r="B1867" t="s">
        <v>686</v>
      </c>
      <c r="C1867" t="s">
        <v>4406</v>
      </c>
      <c r="D1867" t="s">
        <v>4394</v>
      </c>
      <c r="E1867">
        <v>47300046688</v>
      </c>
      <c r="F1867" t="s">
        <v>16</v>
      </c>
      <c r="G1867" t="s">
        <v>17</v>
      </c>
      <c r="H1867" t="s">
        <v>154</v>
      </c>
      <c r="K1867" t="s">
        <v>4266</v>
      </c>
      <c r="L1867" t="s">
        <v>19</v>
      </c>
      <c r="M1867" t="s">
        <v>63</v>
      </c>
      <c r="N1867" s="2">
        <v>45566</v>
      </c>
      <c r="O1867" s="2">
        <v>45596</v>
      </c>
      <c r="P1867">
        <v>70000</v>
      </c>
      <c r="Q1867">
        <v>70000</v>
      </c>
      <c r="R1867" t="s">
        <v>4309</v>
      </c>
      <c r="S1867" t="s">
        <v>687</v>
      </c>
      <c r="T1867">
        <v>291.39999999999998</v>
      </c>
    </row>
    <row r="1868" spans="1:20" x14ac:dyDescent="0.25">
      <c r="A1868" t="s">
        <v>14</v>
      </c>
      <c r="B1868" t="s">
        <v>685</v>
      </c>
      <c r="C1868" t="s">
        <v>4412</v>
      </c>
      <c r="D1868" t="s">
        <v>4424</v>
      </c>
      <c r="E1868">
        <v>47300046605</v>
      </c>
      <c r="F1868" t="s">
        <v>16</v>
      </c>
      <c r="G1868" t="s">
        <v>17</v>
      </c>
      <c r="H1868" t="s">
        <v>49</v>
      </c>
      <c r="K1868" t="s">
        <v>3294</v>
      </c>
      <c r="L1868" t="s">
        <v>19</v>
      </c>
      <c r="M1868" t="s">
        <v>46</v>
      </c>
      <c r="N1868" s="2">
        <v>45566</v>
      </c>
      <c r="O1868" s="2">
        <v>45657</v>
      </c>
      <c r="P1868">
        <v>500</v>
      </c>
      <c r="Q1868">
        <v>1500</v>
      </c>
      <c r="R1868" t="s">
        <v>3461</v>
      </c>
    </row>
    <row r="1869" spans="1:20" x14ac:dyDescent="0.25">
      <c r="A1869" t="s">
        <v>14</v>
      </c>
      <c r="B1869" t="s">
        <v>683</v>
      </c>
      <c r="C1869" t="s">
        <v>4387</v>
      </c>
      <c r="D1869" t="s">
        <v>4388</v>
      </c>
      <c r="E1869">
        <v>47300046761</v>
      </c>
      <c r="F1869" t="s">
        <v>42</v>
      </c>
      <c r="G1869" t="s">
        <v>28</v>
      </c>
      <c r="H1869" t="s">
        <v>43</v>
      </c>
      <c r="K1869" t="s">
        <v>3795</v>
      </c>
      <c r="L1869" t="s">
        <v>19</v>
      </c>
      <c r="M1869" t="s">
        <v>20</v>
      </c>
      <c r="P1869">
        <v>25000</v>
      </c>
      <c r="Q1869">
        <v>25000</v>
      </c>
      <c r="R1869" t="s">
        <v>4074</v>
      </c>
      <c r="S1869" t="s">
        <v>684</v>
      </c>
      <c r="T1869">
        <v>104.1</v>
      </c>
    </row>
    <row r="1870" spans="1:20" x14ac:dyDescent="0.25">
      <c r="A1870" t="s">
        <v>14</v>
      </c>
      <c r="B1870" t="s">
        <v>682</v>
      </c>
      <c r="C1870" t="s">
        <v>4389</v>
      </c>
      <c r="D1870" t="s">
        <v>4375</v>
      </c>
      <c r="E1870">
        <v>47300070514</v>
      </c>
      <c r="F1870" t="s">
        <v>27</v>
      </c>
      <c r="G1870" t="s">
        <v>28</v>
      </c>
      <c r="H1870" t="s">
        <v>29</v>
      </c>
      <c r="K1870" t="s">
        <v>3259</v>
      </c>
      <c r="L1870" t="s">
        <v>47</v>
      </c>
      <c r="N1870" s="2">
        <v>45536</v>
      </c>
      <c r="O1870" s="2">
        <v>45565</v>
      </c>
      <c r="P1870">
        <v>92732</v>
      </c>
      <c r="Q1870">
        <v>92732</v>
      </c>
      <c r="R1870" t="s">
        <v>2868</v>
      </c>
    </row>
    <row r="1871" spans="1:20" x14ac:dyDescent="0.25">
      <c r="A1871" t="s">
        <v>14</v>
      </c>
      <c r="B1871" t="s">
        <v>682</v>
      </c>
      <c r="C1871" t="s">
        <v>4389</v>
      </c>
      <c r="D1871" t="s">
        <v>4375</v>
      </c>
      <c r="E1871">
        <v>47300070514</v>
      </c>
      <c r="F1871" t="s">
        <v>27</v>
      </c>
      <c r="G1871" t="s">
        <v>28</v>
      </c>
      <c r="H1871" t="s">
        <v>29</v>
      </c>
      <c r="K1871" t="s">
        <v>3184</v>
      </c>
      <c r="L1871" t="s">
        <v>47</v>
      </c>
      <c r="N1871" s="2">
        <v>45536</v>
      </c>
      <c r="O1871" s="2">
        <v>45565</v>
      </c>
      <c r="P1871">
        <v>150650</v>
      </c>
      <c r="Q1871">
        <v>150650</v>
      </c>
      <c r="R1871" t="s">
        <v>2868</v>
      </c>
    </row>
    <row r="1872" spans="1:20" x14ac:dyDescent="0.25">
      <c r="A1872" t="s">
        <v>14</v>
      </c>
      <c r="B1872" t="s">
        <v>682</v>
      </c>
      <c r="C1872" t="s">
        <v>4389</v>
      </c>
      <c r="D1872" t="s">
        <v>4375</v>
      </c>
      <c r="E1872">
        <v>47300070514</v>
      </c>
      <c r="F1872" t="s">
        <v>27</v>
      </c>
      <c r="G1872" t="s">
        <v>28</v>
      </c>
      <c r="H1872" t="s">
        <v>29</v>
      </c>
      <c r="K1872" t="s">
        <v>2864</v>
      </c>
      <c r="L1872" t="s">
        <v>47</v>
      </c>
      <c r="N1872" s="2">
        <v>45536</v>
      </c>
      <c r="O1872" s="2">
        <v>45565</v>
      </c>
      <c r="P1872">
        <v>10000</v>
      </c>
      <c r="Q1872">
        <v>10000</v>
      </c>
      <c r="R1872" t="s">
        <v>2868</v>
      </c>
    </row>
    <row r="1873" spans="1:20" x14ac:dyDescent="0.25">
      <c r="A1873" t="s">
        <v>14</v>
      </c>
      <c r="B1873" t="s">
        <v>680</v>
      </c>
      <c r="C1873" t="s">
        <v>4374</v>
      </c>
      <c r="D1873" t="s">
        <v>4375</v>
      </c>
      <c r="E1873">
        <v>47300070795</v>
      </c>
      <c r="F1873" t="s">
        <v>16</v>
      </c>
      <c r="G1873" t="s">
        <v>87</v>
      </c>
      <c r="H1873" t="s">
        <v>88</v>
      </c>
      <c r="K1873" t="s">
        <v>4266</v>
      </c>
      <c r="L1873" t="s">
        <v>19</v>
      </c>
      <c r="M1873" t="s">
        <v>63</v>
      </c>
      <c r="N1873" s="2">
        <v>45566</v>
      </c>
      <c r="O1873" s="2">
        <v>45596</v>
      </c>
      <c r="P1873">
        <v>50000</v>
      </c>
      <c r="Q1873">
        <v>50000</v>
      </c>
      <c r="R1873" t="s">
        <v>3118</v>
      </c>
      <c r="S1873" t="s">
        <v>681</v>
      </c>
      <c r="T1873">
        <v>208.2</v>
      </c>
    </row>
    <row r="1874" spans="1:20" x14ac:dyDescent="0.25">
      <c r="A1874" t="s">
        <v>14</v>
      </c>
      <c r="B1874" t="s">
        <v>680</v>
      </c>
      <c r="C1874" t="s">
        <v>4387</v>
      </c>
      <c r="D1874" t="s">
        <v>4388</v>
      </c>
      <c r="E1874">
        <v>47300070795</v>
      </c>
      <c r="F1874" t="s">
        <v>16</v>
      </c>
      <c r="G1874" t="s">
        <v>87</v>
      </c>
      <c r="H1874" t="s">
        <v>88</v>
      </c>
      <c r="K1874" t="s">
        <v>3294</v>
      </c>
      <c r="L1874" t="s">
        <v>19</v>
      </c>
      <c r="M1874" t="s">
        <v>46</v>
      </c>
      <c r="N1874" s="2">
        <v>45566</v>
      </c>
      <c r="O1874" s="2">
        <v>45596</v>
      </c>
      <c r="P1874">
        <v>500</v>
      </c>
      <c r="Q1874">
        <v>500</v>
      </c>
      <c r="R1874" t="s">
        <v>3118</v>
      </c>
    </row>
    <row r="1875" spans="1:20" x14ac:dyDescent="0.25">
      <c r="A1875" t="s">
        <v>14</v>
      </c>
      <c r="B1875" t="s">
        <v>680</v>
      </c>
      <c r="C1875" t="s">
        <v>4374</v>
      </c>
      <c r="D1875" t="s">
        <v>4375</v>
      </c>
      <c r="E1875">
        <v>47300070795</v>
      </c>
      <c r="F1875" t="s">
        <v>16</v>
      </c>
      <c r="G1875" t="s">
        <v>87</v>
      </c>
      <c r="H1875" t="s">
        <v>88</v>
      </c>
      <c r="K1875" t="s">
        <v>3197</v>
      </c>
      <c r="L1875" t="s">
        <v>19</v>
      </c>
      <c r="M1875" t="s">
        <v>46</v>
      </c>
      <c r="N1875" s="2">
        <v>45566</v>
      </c>
      <c r="O1875" s="2">
        <v>45596</v>
      </c>
      <c r="P1875">
        <v>150650</v>
      </c>
      <c r="Q1875">
        <v>150650</v>
      </c>
      <c r="R1875" t="s">
        <v>3118</v>
      </c>
    </row>
    <row r="1876" spans="1:20" x14ac:dyDescent="0.25">
      <c r="A1876" t="s">
        <v>14</v>
      </c>
      <c r="B1876" t="s">
        <v>680</v>
      </c>
      <c r="C1876" t="s">
        <v>4374</v>
      </c>
      <c r="D1876" t="s">
        <v>4375</v>
      </c>
      <c r="E1876">
        <v>47300070795</v>
      </c>
      <c r="F1876" t="s">
        <v>16</v>
      </c>
      <c r="G1876" t="s">
        <v>87</v>
      </c>
      <c r="H1876" t="s">
        <v>88</v>
      </c>
      <c r="K1876" t="s">
        <v>2892</v>
      </c>
      <c r="L1876" t="s">
        <v>19</v>
      </c>
      <c r="M1876" t="s">
        <v>46</v>
      </c>
      <c r="N1876" s="2">
        <v>45566</v>
      </c>
      <c r="O1876" s="2">
        <v>45596</v>
      </c>
      <c r="P1876">
        <v>10000</v>
      </c>
      <c r="Q1876">
        <v>10000</v>
      </c>
      <c r="R1876" t="s">
        <v>3118</v>
      </c>
    </row>
    <row r="1877" spans="1:20" x14ac:dyDescent="0.25">
      <c r="A1877" t="s">
        <v>14</v>
      </c>
      <c r="B1877" t="s">
        <v>678</v>
      </c>
      <c r="C1877" t="s">
        <v>4374</v>
      </c>
      <c r="D1877" t="s">
        <v>4375</v>
      </c>
      <c r="E1877">
        <v>47300046761</v>
      </c>
      <c r="F1877" t="s">
        <v>42</v>
      </c>
      <c r="G1877" t="s">
        <v>28</v>
      </c>
      <c r="H1877" t="s">
        <v>43</v>
      </c>
      <c r="K1877" t="s">
        <v>3795</v>
      </c>
      <c r="L1877" t="s">
        <v>19</v>
      </c>
      <c r="M1877" t="s">
        <v>20</v>
      </c>
      <c r="P1877">
        <v>25000</v>
      </c>
      <c r="Q1877">
        <v>25000</v>
      </c>
      <c r="R1877" t="s">
        <v>4075</v>
      </c>
      <c r="S1877" t="s">
        <v>679</v>
      </c>
      <c r="T1877">
        <v>104.1</v>
      </c>
    </row>
    <row r="1878" spans="1:20" x14ac:dyDescent="0.25">
      <c r="A1878" t="s">
        <v>14</v>
      </c>
      <c r="B1878" t="s">
        <v>677</v>
      </c>
      <c r="C1878" t="s">
        <v>4376</v>
      </c>
      <c r="D1878" t="s">
        <v>4407</v>
      </c>
      <c r="E1878">
        <v>47300070522</v>
      </c>
      <c r="F1878" t="s">
        <v>16</v>
      </c>
      <c r="G1878" t="s">
        <v>17</v>
      </c>
      <c r="H1878" t="s">
        <v>18</v>
      </c>
      <c r="K1878" t="s">
        <v>3261</v>
      </c>
      <c r="L1878" t="s">
        <v>19</v>
      </c>
      <c r="M1878" t="s">
        <v>46</v>
      </c>
      <c r="N1878" s="2">
        <v>45566</v>
      </c>
      <c r="O1878" s="2">
        <v>45596</v>
      </c>
      <c r="P1878">
        <v>92732</v>
      </c>
      <c r="Q1878">
        <v>92732</v>
      </c>
      <c r="R1878" t="s">
        <v>3119</v>
      </c>
    </row>
    <row r="1879" spans="1:20" x14ac:dyDescent="0.25">
      <c r="A1879" t="s">
        <v>14</v>
      </c>
      <c r="B1879" t="s">
        <v>677</v>
      </c>
      <c r="C1879" t="s">
        <v>4376</v>
      </c>
      <c r="D1879" t="s">
        <v>4407</v>
      </c>
      <c r="E1879">
        <v>47300070522</v>
      </c>
      <c r="F1879" t="s">
        <v>16</v>
      </c>
      <c r="G1879" t="s">
        <v>17</v>
      </c>
      <c r="H1879" t="s">
        <v>18</v>
      </c>
      <c r="K1879" t="s">
        <v>3197</v>
      </c>
      <c r="L1879" t="s">
        <v>19</v>
      </c>
      <c r="M1879" t="s">
        <v>46</v>
      </c>
      <c r="N1879" s="2">
        <v>45566</v>
      </c>
      <c r="O1879" s="2">
        <v>45596</v>
      </c>
      <c r="P1879">
        <v>150650</v>
      </c>
      <c r="Q1879">
        <v>150650</v>
      </c>
      <c r="R1879" t="s">
        <v>3119</v>
      </c>
    </row>
    <row r="1880" spans="1:20" x14ac:dyDescent="0.25">
      <c r="A1880" t="s">
        <v>14</v>
      </c>
      <c r="B1880" t="s">
        <v>677</v>
      </c>
      <c r="C1880" t="s">
        <v>4369</v>
      </c>
      <c r="D1880" t="s">
        <v>4370</v>
      </c>
      <c r="E1880">
        <v>47300070522</v>
      </c>
      <c r="F1880" t="s">
        <v>16</v>
      </c>
      <c r="G1880" t="s">
        <v>17</v>
      </c>
      <c r="H1880" t="s">
        <v>18</v>
      </c>
      <c r="K1880" t="s">
        <v>2892</v>
      </c>
      <c r="L1880" t="s">
        <v>19</v>
      </c>
      <c r="M1880" t="s">
        <v>46</v>
      </c>
      <c r="N1880" s="2">
        <v>45566</v>
      </c>
      <c r="O1880" s="2">
        <v>45596</v>
      </c>
      <c r="P1880">
        <v>10000</v>
      </c>
      <c r="Q1880">
        <v>10000</v>
      </c>
      <c r="R1880" t="s">
        <v>3119</v>
      </c>
    </row>
    <row r="1881" spans="1:20" x14ac:dyDescent="0.25">
      <c r="A1881" t="s">
        <v>14</v>
      </c>
      <c r="B1881" t="s">
        <v>676</v>
      </c>
      <c r="C1881" t="s">
        <v>4402</v>
      </c>
      <c r="D1881" t="s">
        <v>4403</v>
      </c>
      <c r="E1881">
        <v>47300070845</v>
      </c>
      <c r="F1881" t="s">
        <v>16</v>
      </c>
      <c r="G1881" t="s">
        <v>23</v>
      </c>
      <c r="H1881" t="s">
        <v>157</v>
      </c>
      <c r="K1881" t="s">
        <v>3555</v>
      </c>
      <c r="L1881" t="s">
        <v>47</v>
      </c>
      <c r="N1881" s="2">
        <v>45576</v>
      </c>
      <c r="O1881" s="2">
        <v>45575</v>
      </c>
      <c r="P1881">
        <v>92732</v>
      </c>
      <c r="Q1881">
        <v>92732</v>
      </c>
      <c r="R1881" t="s">
        <v>3554</v>
      </c>
    </row>
    <row r="1882" spans="1:20" x14ac:dyDescent="0.25">
      <c r="A1882" t="s">
        <v>14</v>
      </c>
      <c r="B1882" t="s">
        <v>674</v>
      </c>
      <c r="C1882" t="s">
        <v>4376</v>
      </c>
      <c r="D1882" t="s">
        <v>4407</v>
      </c>
      <c r="E1882">
        <v>47300086445</v>
      </c>
      <c r="F1882" t="s">
        <v>16</v>
      </c>
      <c r="G1882" t="s">
        <v>28</v>
      </c>
      <c r="H1882" t="s">
        <v>187</v>
      </c>
      <c r="I1882" t="s">
        <v>2777</v>
      </c>
      <c r="J1882" t="s">
        <v>2776</v>
      </c>
      <c r="K1882" t="s">
        <v>3795</v>
      </c>
      <c r="L1882" t="s">
        <v>19</v>
      </c>
      <c r="M1882" t="s">
        <v>20</v>
      </c>
      <c r="P1882">
        <v>30000</v>
      </c>
      <c r="Q1882">
        <v>30000</v>
      </c>
      <c r="R1882" t="s">
        <v>4076</v>
      </c>
      <c r="S1882" t="s">
        <v>675</v>
      </c>
      <c r="T1882">
        <v>124.9</v>
      </c>
    </row>
    <row r="1883" spans="1:20" x14ac:dyDescent="0.25">
      <c r="A1883" t="s">
        <v>14</v>
      </c>
      <c r="B1883" t="s">
        <v>673</v>
      </c>
      <c r="C1883" t="s">
        <v>4400</v>
      </c>
      <c r="D1883" t="s">
        <v>4401</v>
      </c>
      <c r="E1883">
        <v>47300070522</v>
      </c>
      <c r="F1883" t="s">
        <v>16</v>
      </c>
      <c r="G1883" t="s">
        <v>17</v>
      </c>
      <c r="H1883" t="s">
        <v>18</v>
      </c>
      <c r="K1883" t="s">
        <v>2851</v>
      </c>
      <c r="L1883" t="s">
        <v>47</v>
      </c>
      <c r="N1883" s="2">
        <v>45576</v>
      </c>
      <c r="O1883" s="2">
        <v>45576</v>
      </c>
      <c r="P1883">
        <v>5000</v>
      </c>
      <c r="Q1883">
        <v>5000</v>
      </c>
      <c r="R1883" t="s">
        <v>2857</v>
      </c>
    </row>
    <row r="1884" spans="1:20" x14ac:dyDescent="0.25">
      <c r="A1884" t="s">
        <v>14</v>
      </c>
      <c r="B1884" t="s">
        <v>671</v>
      </c>
      <c r="C1884" t="s">
        <v>4400</v>
      </c>
      <c r="D1884" t="s">
        <v>4401</v>
      </c>
      <c r="E1884">
        <v>47300070589</v>
      </c>
      <c r="F1884" t="s">
        <v>16</v>
      </c>
      <c r="G1884" t="s">
        <v>28</v>
      </c>
      <c r="H1884" t="s">
        <v>221</v>
      </c>
      <c r="K1884" t="s">
        <v>4266</v>
      </c>
      <c r="L1884" t="s">
        <v>19</v>
      </c>
      <c r="M1884" t="s">
        <v>63</v>
      </c>
      <c r="N1884" s="2">
        <v>45566</v>
      </c>
      <c r="O1884" s="2">
        <v>45596</v>
      </c>
      <c r="P1884">
        <v>40000</v>
      </c>
      <c r="Q1884">
        <v>40000</v>
      </c>
      <c r="R1884" t="s">
        <v>3120</v>
      </c>
      <c r="S1884" t="s">
        <v>672</v>
      </c>
      <c r="T1884">
        <v>166.5</v>
      </c>
    </row>
    <row r="1885" spans="1:20" x14ac:dyDescent="0.25">
      <c r="A1885" t="s">
        <v>14</v>
      </c>
      <c r="B1885" t="s">
        <v>671</v>
      </c>
      <c r="C1885" t="s">
        <v>4376</v>
      </c>
      <c r="D1885" t="s">
        <v>4407</v>
      </c>
      <c r="E1885">
        <v>47300070589</v>
      </c>
      <c r="F1885" t="s">
        <v>16</v>
      </c>
      <c r="G1885" t="s">
        <v>28</v>
      </c>
      <c r="H1885" t="s">
        <v>221</v>
      </c>
      <c r="K1885" t="s">
        <v>3294</v>
      </c>
      <c r="L1885" t="s">
        <v>19</v>
      </c>
      <c r="M1885" t="s">
        <v>46</v>
      </c>
      <c r="N1885" s="2">
        <v>45566</v>
      </c>
      <c r="O1885" s="2">
        <v>45596</v>
      </c>
      <c r="P1885">
        <v>500</v>
      </c>
      <c r="Q1885">
        <v>500</v>
      </c>
      <c r="R1885" t="s">
        <v>3120</v>
      </c>
    </row>
    <row r="1886" spans="1:20" x14ac:dyDescent="0.25">
      <c r="A1886" t="s">
        <v>14</v>
      </c>
      <c r="B1886" t="s">
        <v>671</v>
      </c>
      <c r="C1886" t="s">
        <v>4400</v>
      </c>
      <c r="D1886" t="s">
        <v>4401</v>
      </c>
      <c r="E1886">
        <v>47300070589</v>
      </c>
      <c r="F1886" t="s">
        <v>16</v>
      </c>
      <c r="G1886" t="s">
        <v>28</v>
      </c>
      <c r="H1886" t="s">
        <v>221</v>
      </c>
      <c r="K1886" t="s">
        <v>3261</v>
      </c>
      <c r="L1886" t="s">
        <v>19</v>
      </c>
      <c r="M1886" t="s">
        <v>46</v>
      </c>
      <c r="N1886" s="2">
        <v>45566</v>
      </c>
      <c r="O1886" s="2">
        <v>45596</v>
      </c>
      <c r="P1886">
        <v>92732</v>
      </c>
      <c r="Q1886">
        <v>92732</v>
      </c>
      <c r="R1886" t="s">
        <v>3120</v>
      </c>
    </row>
    <row r="1887" spans="1:20" x14ac:dyDescent="0.25">
      <c r="A1887" t="s">
        <v>14</v>
      </c>
      <c r="B1887" t="s">
        <v>671</v>
      </c>
      <c r="C1887" t="s">
        <v>4376</v>
      </c>
      <c r="D1887" t="s">
        <v>4407</v>
      </c>
      <c r="E1887">
        <v>47300070589</v>
      </c>
      <c r="F1887" t="s">
        <v>16</v>
      </c>
      <c r="G1887" t="s">
        <v>28</v>
      </c>
      <c r="H1887" t="s">
        <v>221</v>
      </c>
      <c r="K1887" t="s">
        <v>3197</v>
      </c>
      <c r="L1887" t="s">
        <v>19</v>
      </c>
      <c r="M1887" t="s">
        <v>46</v>
      </c>
      <c r="N1887" s="2">
        <v>45566</v>
      </c>
      <c r="O1887" s="2">
        <v>45596</v>
      </c>
      <c r="P1887">
        <v>150650</v>
      </c>
      <c r="Q1887">
        <v>150650</v>
      </c>
      <c r="R1887" t="s">
        <v>3120</v>
      </c>
    </row>
    <row r="1888" spans="1:20" x14ac:dyDescent="0.25">
      <c r="A1888" t="s">
        <v>14</v>
      </c>
      <c r="B1888" t="s">
        <v>671</v>
      </c>
      <c r="C1888" t="s">
        <v>4400</v>
      </c>
      <c r="D1888" t="s">
        <v>4401</v>
      </c>
      <c r="E1888">
        <v>47300070589</v>
      </c>
      <c r="F1888" t="s">
        <v>16</v>
      </c>
      <c r="G1888" t="s">
        <v>28</v>
      </c>
      <c r="H1888" t="s">
        <v>221</v>
      </c>
      <c r="K1888" t="s">
        <v>2892</v>
      </c>
      <c r="L1888" t="s">
        <v>19</v>
      </c>
      <c r="M1888" t="s">
        <v>46</v>
      </c>
      <c r="N1888" s="2">
        <v>45566</v>
      </c>
      <c r="O1888" s="2">
        <v>45596</v>
      </c>
      <c r="P1888">
        <v>10000</v>
      </c>
      <c r="Q1888">
        <v>10000</v>
      </c>
      <c r="R1888" t="s">
        <v>3120</v>
      </c>
    </row>
    <row r="1889" spans="1:24" x14ac:dyDescent="0.25">
      <c r="A1889" t="s">
        <v>14</v>
      </c>
      <c r="B1889" t="s">
        <v>669</v>
      </c>
      <c r="C1889" t="s">
        <v>4367</v>
      </c>
      <c r="D1889" t="s">
        <v>4368</v>
      </c>
      <c r="E1889">
        <v>47300026094</v>
      </c>
      <c r="F1889" t="s">
        <v>35</v>
      </c>
      <c r="G1889" t="s">
        <v>36</v>
      </c>
      <c r="H1889" t="s">
        <v>4359</v>
      </c>
      <c r="K1889" t="s">
        <v>3795</v>
      </c>
      <c r="L1889" t="s">
        <v>19</v>
      </c>
      <c r="M1889" t="s">
        <v>20</v>
      </c>
      <c r="P1889">
        <v>250000</v>
      </c>
      <c r="Q1889">
        <v>250000</v>
      </c>
      <c r="R1889" t="s">
        <v>4077</v>
      </c>
      <c r="S1889" t="s">
        <v>670</v>
      </c>
      <c r="T1889">
        <v>1040.7</v>
      </c>
    </row>
    <row r="1890" spans="1:24" x14ac:dyDescent="0.25">
      <c r="A1890" t="s">
        <v>14</v>
      </c>
      <c r="B1890" t="s">
        <v>668</v>
      </c>
      <c r="C1890" t="s">
        <v>4412</v>
      </c>
      <c r="D1890" t="s">
        <v>4377</v>
      </c>
      <c r="E1890">
        <v>47300046605</v>
      </c>
      <c r="F1890" t="s">
        <v>16</v>
      </c>
      <c r="G1890" t="s">
        <v>17</v>
      </c>
      <c r="H1890" t="s">
        <v>49</v>
      </c>
      <c r="K1890" t="s">
        <v>3197</v>
      </c>
      <c r="L1890" t="s">
        <v>19</v>
      </c>
      <c r="M1890" t="s">
        <v>46</v>
      </c>
      <c r="N1890" s="2">
        <v>45566</v>
      </c>
      <c r="O1890" s="2">
        <v>45596</v>
      </c>
      <c r="P1890">
        <v>150650</v>
      </c>
      <c r="Q1890">
        <v>150650</v>
      </c>
      <c r="R1890" t="s">
        <v>3233</v>
      </c>
    </row>
    <row r="1891" spans="1:24" x14ac:dyDescent="0.25">
      <c r="A1891" t="s">
        <v>14</v>
      </c>
      <c r="B1891" t="s">
        <v>667</v>
      </c>
      <c r="C1891" t="s">
        <v>4412</v>
      </c>
      <c r="D1891" t="s">
        <v>4377</v>
      </c>
      <c r="E1891">
        <v>47300046738</v>
      </c>
      <c r="F1891" t="s">
        <v>16</v>
      </c>
      <c r="G1891" t="s">
        <v>28</v>
      </c>
      <c r="H1891" t="s">
        <v>202</v>
      </c>
      <c r="K1891" t="s">
        <v>3501</v>
      </c>
      <c r="L1891" t="s">
        <v>47</v>
      </c>
      <c r="N1891" s="2">
        <v>45579</v>
      </c>
      <c r="O1891" s="2">
        <v>45576</v>
      </c>
      <c r="P1891">
        <v>92732</v>
      </c>
      <c r="Q1891">
        <v>92732</v>
      </c>
      <c r="R1891" t="s">
        <v>3500</v>
      </c>
    </row>
    <row r="1892" spans="1:24" x14ac:dyDescent="0.25">
      <c r="A1892" t="s">
        <v>14</v>
      </c>
      <c r="B1892" t="s">
        <v>665</v>
      </c>
      <c r="C1892" t="s">
        <v>4387</v>
      </c>
      <c r="D1892" t="s">
        <v>4388</v>
      </c>
      <c r="E1892">
        <v>47300046761</v>
      </c>
      <c r="F1892" t="s">
        <v>42</v>
      </c>
      <c r="G1892" t="s">
        <v>28</v>
      </c>
      <c r="H1892" t="s">
        <v>43</v>
      </c>
      <c r="K1892" t="s">
        <v>3795</v>
      </c>
      <c r="L1892" t="s">
        <v>19</v>
      </c>
      <c r="M1892" t="s">
        <v>20</v>
      </c>
      <c r="P1892">
        <v>10000</v>
      </c>
      <c r="Q1892">
        <v>10000</v>
      </c>
      <c r="R1892" t="s">
        <v>4078</v>
      </c>
      <c r="S1892" t="s">
        <v>666</v>
      </c>
      <c r="T1892">
        <v>41.6</v>
      </c>
    </row>
    <row r="1893" spans="1:24" x14ac:dyDescent="0.25">
      <c r="A1893" t="s">
        <v>14</v>
      </c>
      <c r="B1893" t="s">
        <v>663</v>
      </c>
      <c r="C1893" t="s">
        <v>4412</v>
      </c>
      <c r="D1893" t="s">
        <v>4424</v>
      </c>
      <c r="E1893">
        <v>47300046258</v>
      </c>
      <c r="F1893" t="s">
        <v>16</v>
      </c>
      <c r="G1893" t="s">
        <v>28</v>
      </c>
      <c r="H1893" t="s">
        <v>160</v>
      </c>
      <c r="K1893" t="s">
        <v>4266</v>
      </c>
      <c r="L1893" t="s">
        <v>19</v>
      </c>
      <c r="M1893" t="s">
        <v>63</v>
      </c>
      <c r="N1893" s="2">
        <v>45566</v>
      </c>
      <c r="O1893" s="2">
        <v>45596</v>
      </c>
      <c r="P1893">
        <v>50000</v>
      </c>
      <c r="Q1893">
        <v>50000</v>
      </c>
      <c r="R1893" t="s">
        <v>2869</v>
      </c>
      <c r="S1893" t="s">
        <v>664</v>
      </c>
      <c r="T1893">
        <v>208.1</v>
      </c>
    </row>
    <row r="1894" spans="1:24" x14ac:dyDescent="0.25">
      <c r="A1894" t="s">
        <v>14</v>
      </c>
      <c r="B1894" t="s">
        <v>663</v>
      </c>
      <c r="C1894" t="s">
        <v>4412</v>
      </c>
      <c r="D1894" t="s">
        <v>4377</v>
      </c>
      <c r="E1894">
        <v>47300046258</v>
      </c>
      <c r="F1894" t="s">
        <v>16</v>
      </c>
      <c r="G1894" t="s">
        <v>28</v>
      </c>
      <c r="H1894" t="s">
        <v>160</v>
      </c>
      <c r="K1894" t="s">
        <v>3294</v>
      </c>
      <c r="L1894" t="s">
        <v>19</v>
      </c>
      <c r="M1894" t="s">
        <v>46</v>
      </c>
      <c r="N1894" s="2">
        <v>45566</v>
      </c>
      <c r="O1894" s="2">
        <v>45596</v>
      </c>
      <c r="P1894">
        <v>500</v>
      </c>
      <c r="Q1894">
        <v>500</v>
      </c>
      <c r="R1894" t="s">
        <v>2869</v>
      </c>
    </row>
    <row r="1895" spans="1:24" x14ac:dyDescent="0.25">
      <c r="A1895" t="s">
        <v>14</v>
      </c>
      <c r="B1895" t="s">
        <v>663</v>
      </c>
      <c r="C1895" t="s">
        <v>4412</v>
      </c>
      <c r="D1895" t="s">
        <v>4377</v>
      </c>
      <c r="E1895">
        <v>47300046258</v>
      </c>
      <c r="F1895" t="s">
        <v>16</v>
      </c>
      <c r="G1895" t="s">
        <v>28</v>
      </c>
      <c r="H1895" t="s">
        <v>160</v>
      </c>
      <c r="K1895" t="s">
        <v>3261</v>
      </c>
      <c r="L1895" t="s">
        <v>19</v>
      </c>
      <c r="M1895" t="s">
        <v>46</v>
      </c>
      <c r="N1895" s="2">
        <v>45566</v>
      </c>
      <c r="O1895" s="2">
        <v>45596</v>
      </c>
      <c r="P1895">
        <v>92732</v>
      </c>
      <c r="Q1895">
        <v>92732</v>
      </c>
      <c r="R1895" t="s">
        <v>2869</v>
      </c>
    </row>
    <row r="1896" spans="1:24" x14ac:dyDescent="0.25">
      <c r="A1896" t="s">
        <v>14</v>
      </c>
      <c r="B1896" t="s">
        <v>663</v>
      </c>
      <c r="C1896" t="s">
        <v>4412</v>
      </c>
      <c r="D1896" t="s">
        <v>4377</v>
      </c>
      <c r="E1896">
        <v>47300046258</v>
      </c>
      <c r="F1896" t="s">
        <v>16</v>
      </c>
      <c r="G1896" t="s">
        <v>28</v>
      </c>
      <c r="H1896" t="s">
        <v>160</v>
      </c>
      <c r="K1896" t="s">
        <v>3259</v>
      </c>
      <c r="L1896" t="s">
        <v>47</v>
      </c>
      <c r="N1896" s="2">
        <v>45536</v>
      </c>
      <c r="O1896" s="2">
        <v>45565</v>
      </c>
      <c r="P1896">
        <v>92732</v>
      </c>
      <c r="Q1896">
        <v>92732</v>
      </c>
      <c r="R1896" t="s">
        <v>2869</v>
      </c>
    </row>
    <row r="1897" spans="1:24" x14ac:dyDescent="0.25">
      <c r="A1897" t="s">
        <v>14</v>
      </c>
      <c r="B1897" t="s">
        <v>663</v>
      </c>
      <c r="C1897" t="s">
        <v>4380</v>
      </c>
      <c r="D1897" t="s">
        <v>4381</v>
      </c>
      <c r="E1897">
        <v>47300046258</v>
      </c>
      <c r="F1897" t="s">
        <v>16</v>
      </c>
      <c r="G1897" t="s">
        <v>28</v>
      </c>
      <c r="H1897" t="s">
        <v>160</v>
      </c>
      <c r="K1897" t="s">
        <v>3197</v>
      </c>
      <c r="L1897" t="s">
        <v>19</v>
      </c>
      <c r="M1897" t="s">
        <v>46</v>
      </c>
      <c r="N1897" s="2">
        <v>45566</v>
      </c>
      <c r="O1897" s="2">
        <v>45596</v>
      </c>
      <c r="P1897">
        <v>150650</v>
      </c>
      <c r="Q1897">
        <v>150650</v>
      </c>
      <c r="R1897" t="s">
        <v>2869</v>
      </c>
    </row>
    <row r="1898" spans="1:24" x14ac:dyDescent="0.25">
      <c r="A1898" t="s">
        <v>14</v>
      </c>
      <c r="B1898" t="s">
        <v>663</v>
      </c>
      <c r="C1898" t="s">
        <v>4412</v>
      </c>
      <c r="D1898" t="s">
        <v>4377</v>
      </c>
      <c r="E1898">
        <v>47300046258</v>
      </c>
      <c r="F1898" t="s">
        <v>16</v>
      </c>
      <c r="G1898" t="s">
        <v>28</v>
      </c>
      <c r="H1898" t="s">
        <v>160</v>
      </c>
      <c r="K1898" t="s">
        <v>3184</v>
      </c>
      <c r="L1898" t="s">
        <v>47</v>
      </c>
      <c r="N1898" s="2">
        <v>45536</v>
      </c>
      <c r="O1898" s="2">
        <v>45565</v>
      </c>
      <c r="P1898">
        <v>150650</v>
      </c>
      <c r="Q1898">
        <v>150650</v>
      </c>
      <c r="R1898" t="s">
        <v>2869</v>
      </c>
    </row>
    <row r="1899" spans="1:24" x14ac:dyDescent="0.25">
      <c r="A1899" t="s">
        <v>14</v>
      </c>
      <c r="B1899" t="s">
        <v>663</v>
      </c>
      <c r="C1899" t="s">
        <v>4412</v>
      </c>
      <c r="D1899" t="s">
        <v>4377</v>
      </c>
      <c r="E1899">
        <v>47300046258</v>
      </c>
      <c r="F1899" t="s">
        <v>16</v>
      </c>
      <c r="G1899" t="s">
        <v>28</v>
      </c>
      <c r="H1899" t="s">
        <v>160</v>
      </c>
      <c r="K1899" t="s">
        <v>2892</v>
      </c>
      <c r="L1899" t="s">
        <v>19</v>
      </c>
      <c r="M1899" t="s">
        <v>46</v>
      </c>
      <c r="N1899" s="2">
        <v>45566</v>
      </c>
      <c r="O1899" s="2">
        <v>45596</v>
      </c>
      <c r="P1899">
        <v>10000</v>
      </c>
      <c r="Q1899">
        <v>10000</v>
      </c>
      <c r="R1899" t="s">
        <v>2869</v>
      </c>
    </row>
    <row r="1900" spans="1:24" x14ac:dyDescent="0.25">
      <c r="A1900" t="s">
        <v>14</v>
      </c>
      <c r="B1900" t="s">
        <v>663</v>
      </c>
      <c r="C1900" t="s">
        <v>4412</v>
      </c>
      <c r="D1900" t="s">
        <v>4377</v>
      </c>
      <c r="E1900">
        <v>47300046258</v>
      </c>
      <c r="F1900" t="s">
        <v>16</v>
      </c>
      <c r="G1900" t="s">
        <v>28</v>
      </c>
      <c r="H1900" t="s">
        <v>160</v>
      </c>
      <c r="K1900" t="s">
        <v>2864</v>
      </c>
      <c r="L1900" t="s">
        <v>47</v>
      </c>
      <c r="N1900" s="2">
        <v>45536</v>
      </c>
      <c r="O1900" s="2">
        <v>45565</v>
      </c>
      <c r="P1900">
        <v>10000</v>
      </c>
      <c r="Q1900">
        <v>10000</v>
      </c>
      <c r="R1900" t="s">
        <v>2869</v>
      </c>
    </row>
    <row r="1901" spans="1:24" x14ac:dyDescent="0.25">
      <c r="A1901" t="s">
        <v>14</v>
      </c>
      <c r="B1901" t="s">
        <v>662</v>
      </c>
      <c r="C1901" t="s">
        <v>4394</v>
      </c>
      <c r="D1901" t="s">
        <v>4395</v>
      </c>
      <c r="E1901">
        <v>47300046241</v>
      </c>
      <c r="F1901" t="s">
        <v>16</v>
      </c>
      <c r="G1901" t="s">
        <v>23</v>
      </c>
      <c r="H1901" t="s">
        <v>24</v>
      </c>
      <c r="I1901" t="s">
        <v>2754</v>
      </c>
      <c r="J1901">
        <v>0</v>
      </c>
      <c r="K1901" t="s">
        <v>3261</v>
      </c>
      <c r="L1901" t="s">
        <v>19</v>
      </c>
      <c r="M1901" t="s">
        <v>46</v>
      </c>
      <c r="N1901" s="2">
        <v>45566</v>
      </c>
      <c r="O1901" s="2">
        <v>45596</v>
      </c>
      <c r="P1901">
        <v>92732</v>
      </c>
      <c r="Q1901">
        <v>92732</v>
      </c>
      <c r="R1901" t="s">
        <v>3268</v>
      </c>
    </row>
    <row r="1902" spans="1:24" x14ac:dyDescent="0.25">
      <c r="A1902" t="s">
        <v>14</v>
      </c>
      <c r="B1902" t="s">
        <v>660</v>
      </c>
      <c r="C1902" t="s">
        <v>4394</v>
      </c>
      <c r="D1902" t="s">
        <v>4395</v>
      </c>
      <c r="E1902">
        <v>47300046241</v>
      </c>
      <c r="F1902" t="s">
        <v>16</v>
      </c>
      <c r="G1902" t="s">
        <v>23</v>
      </c>
      <c r="H1902" t="s">
        <v>24</v>
      </c>
      <c r="I1902" t="s">
        <v>2754</v>
      </c>
      <c r="J1902">
        <v>0</v>
      </c>
      <c r="K1902" t="s">
        <v>3795</v>
      </c>
      <c r="L1902" t="s">
        <v>19</v>
      </c>
      <c r="M1902" t="s">
        <v>20</v>
      </c>
      <c r="P1902">
        <v>25000</v>
      </c>
      <c r="Q1902">
        <v>25000</v>
      </c>
      <c r="R1902" t="s">
        <v>4079</v>
      </c>
      <c r="S1902" t="s">
        <v>661</v>
      </c>
      <c r="T1902">
        <v>104</v>
      </c>
    </row>
    <row r="1903" spans="1:24" x14ac:dyDescent="0.25">
      <c r="A1903" t="s">
        <v>14</v>
      </c>
      <c r="B1903" t="s">
        <v>658</v>
      </c>
      <c r="C1903" t="s">
        <v>4404</v>
      </c>
      <c r="D1903" t="s">
        <v>2893</v>
      </c>
      <c r="E1903">
        <v>47300046761</v>
      </c>
      <c r="F1903" t="s">
        <v>42</v>
      </c>
      <c r="G1903" t="s">
        <v>28</v>
      </c>
      <c r="H1903" t="s">
        <v>43</v>
      </c>
      <c r="K1903" t="s">
        <v>3795</v>
      </c>
      <c r="L1903" t="s">
        <v>19</v>
      </c>
      <c r="M1903" t="s">
        <v>20</v>
      </c>
      <c r="P1903">
        <v>25000</v>
      </c>
      <c r="Q1903">
        <v>25000</v>
      </c>
      <c r="R1903" t="s">
        <v>4080</v>
      </c>
      <c r="S1903" t="s">
        <v>659</v>
      </c>
      <c r="T1903">
        <v>104.1</v>
      </c>
      <c r="X1903" t="s">
        <v>3275</v>
      </c>
    </row>
    <row r="1904" spans="1:24" x14ac:dyDescent="0.25">
      <c r="A1904" t="s">
        <v>14</v>
      </c>
      <c r="B1904" t="s">
        <v>656</v>
      </c>
      <c r="C1904" t="s">
        <v>4404</v>
      </c>
      <c r="D1904" t="s">
        <v>2893</v>
      </c>
      <c r="E1904">
        <v>47300046738</v>
      </c>
      <c r="F1904" t="s">
        <v>16</v>
      </c>
      <c r="G1904" t="s">
        <v>28</v>
      </c>
      <c r="H1904" t="s">
        <v>202</v>
      </c>
      <c r="K1904" t="s">
        <v>3795</v>
      </c>
      <c r="L1904" t="s">
        <v>19</v>
      </c>
      <c r="M1904" t="s">
        <v>20</v>
      </c>
      <c r="P1904">
        <v>230000</v>
      </c>
      <c r="Q1904">
        <v>230000</v>
      </c>
      <c r="R1904" t="s">
        <v>4081</v>
      </c>
      <c r="S1904" t="s">
        <v>657</v>
      </c>
      <c r="T1904">
        <v>957.5</v>
      </c>
      <c r="X1904" t="s">
        <v>3275</v>
      </c>
    </row>
    <row r="1905" spans="1:24" x14ac:dyDescent="0.25">
      <c r="A1905" t="s">
        <v>14</v>
      </c>
      <c r="B1905" t="s">
        <v>653</v>
      </c>
      <c r="C1905" t="s">
        <v>4404</v>
      </c>
      <c r="D1905" t="s">
        <v>2893</v>
      </c>
      <c r="E1905">
        <v>47300088367</v>
      </c>
      <c r="F1905" t="s">
        <v>35</v>
      </c>
      <c r="G1905" t="s">
        <v>36</v>
      </c>
      <c r="H1905" t="s">
        <v>654</v>
      </c>
      <c r="K1905" t="s">
        <v>4266</v>
      </c>
      <c r="L1905" t="s">
        <v>19</v>
      </c>
      <c r="M1905" t="s">
        <v>63</v>
      </c>
      <c r="N1905" s="2">
        <v>45566</v>
      </c>
      <c r="O1905" s="2">
        <v>45596</v>
      </c>
      <c r="P1905">
        <v>100000</v>
      </c>
      <c r="Q1905">
        <v>100000</v>
      </c>
      <c r="R1905" t="s">
        <v>3274</v>
      </c>
      <c r="S1905" t="s">
        <v>655</v>
      </c>
      <c r="T1905">
        <v>416.3</v>
      </c>
      <c r="X1905" t="s">
        <v>3275</v>
      </c>
    </row>
    <row r="1906" spans="1:24" x14ac:dyDescent="0.25">
      <c r="A1906" t="s">
        <v>14</v>
      </c>
      <c r="B1906" t="s">
        <v>653</v>
      </c>
      <c r="C1906" t="s">
        <v>4376</v>
      </c>
      <c r="D1906" t="s">
        <v>4377</v>
      </c>
      <c r="E1906">
        <v>47300088367</v>
      </c>
      <c r="F1906" t="s">
        <v>35</v>
      </c>
      <c r="G1906" t="s">
        <v>36</v>
      </c>
      <c r="H1906" t="s">
        <v>654</v>
      </c>
      <c r="K1906" t="s">
        <v>3294</v>
      </c>
      <c r="L1906" t="s">
        <v>19</v>
      </c>
      <c r="M1906" t="s">
        <v>46</v>
      </c>
      <c r="N1906" s="2">
        <v>45566</v>
      </c>
      <c r="O1906" s="2">
        <v>45596</v>
      </c>
      <c r="P1906">
        <v>500</v>
      </c>
      <c r="Q1906">
        <v>500</v>
      </c>
      <c r="R1906" t="s">
        <v>3274</v>
      </c>
    </row>
    <row r="1907" spans="1:24" x14ac:dyDescent="0.25">
      <c r="A1907" t="s">
        <v>14</v>
      </c>
      <c r="B1907" t="s">
        <v>653</v>
      </c>
      <c r="C1907" t="s">
        <v>4404</v>
      </c>
      <c r="D1907" t="s">
        <v>2893</v>
      </c>
      <c r="E1907">
        <v>47300088367</v>
      </c>
      <c r="F1907" t="s">
        <v>35</v>
      </c>
      <c r="G1907" t="s">
        <v>36</v>
      </c>
      <c r="H1907" t="s">
        <v>654</v>
      </c>
      <c r="K1907" t="s">
        <v>3291</v>
      </c>
      <c r="L1907" t="s">
        <v>47</v>
      </c>
      <c r="N1907" s="2">
        <v>45505</v>
      </c>
      <c r="O1907" s="2">
        <v>45535</v>
      </c>
      <c r="P1907">
        <v>500</v>
      </c>
      <c r="Q1907">
        <v>500</v>
      </c>
      <c r="R1907" t="s">
        <v>3274</v>
      </c>
      <c r="X1907" t="s">
        <v>3275</v>
      </c>
    </row>
    <row r="1908" spans="1:24" x14ac:dyDescent="0.25">
      <c r="A1908" t="s">
        <v>14</v>
      </c>
      <c r="B1908" t="s">
        <v>653</v>
      </c>
      <c r="C1908" t="s">
        <v>4412</v>
      </c>
      <c r="D1908" t="s">
        <v>4424</v>
      </c>
      <c r="E1908">
        <v>47300088367</v>
      </c>
      <c r="F1908" t="s">
        <v>35</v>
      </c>
      <c r="G1908" t="s">
        <v>36</v>
      </c>
      <c r="H1908" t="s">
        <v>654</v>
      </c>
      <c r="K1908" t="s">
        <v>3273</v>
      </c>
      <c r="L1908" t="s">
        <v>47</v>
      </c>
      <c r="N1908" s="2">
        <v>45536</v>
      </c>
      <c r="O1908" s="2">
        <v>45565</v>
      </c>
      <c r="P1908">
        <v>500</v>
      </c>
      <c r="Q1908">
        <v>500</v>
      </c>
      <c r="R1908" t="s">
        <v>3274</v>
      </c>
    </row>
    <row r="1909" spans="1:24" x14ac:dyDescent="0.25">
      <c r="A1909" t="s">
        <v>14</v>
      </c>
      <c r="B1909" t="s">
        <v>651</v>
      </c>
      <c r="C1909" t="s">
        <v>4387</v>
      </c>
      <c r="D1909" t="s">
        <v>4388</v>
      </c>
      <c r="E1909">
        <v>47300046720</v>
      </c>
      <c r="F1909" t="s">
        <v>16</v>
      </c>
      <c r="G1909" t="s">
        <v>28</v>
      </c>
      <c r="H1909" t="s">
        <v>143</v>
      </c>
      <c r="K1909" t="s">
        <v>3795</v>
      </c>
      <c r="L1909" t="s">
        <v>19</v>
      </c>
      <c r="M1909" t="s">
        <v>20</v>
      </c>
      <c r="P1909">
        <v>20000</v>
      </c>
      <c r="Q1909">
        <v>20000</v>
      </c>
      <c r="R1909" t="s">
        <v>4082</v>
      </c>
      <c r="S1909" t="s">
        <v>652</v>
      </c>
      <c r="T1909">
        <v>83.2</v>
      </c>
    </row>
    <row r="1910" spans="1:24" x14ac:dyDescent="0.25">
      <c r="A1910" t="s">
        <v>14</v>
      </c>
      <c r="B1910" t="s">
        <v>649</v>
      </c>
      <c r="C1910" t="s">
        <v>4369</v>
      </c>
      <c r="D1910" t="s">
        <v>4370</v>
      </c>
      <c r="E1910">
        <v>47300086445</v>
      </c>
      <c r="F1910" t="s">
        <v>16</v>
      </c>
      <c r="G1910" t="s">
        <v>28</v>
      </c>
      <c r="H1910" t="s">
        <v>187</v>
      </c>
      <c r="I1910" t="s">
        <v>2777</v>
      </c>
      <c r="J1910" t="s">
        <v>2776</v>
      </c>
      <c r="K1910" t="s">
        <v>3795</v>
      </c>
      <c r="L1910" t="s">
        <v>19</v>
      </c>
      <c r="M1910" t="s">
        <v>20</v>
      </c>
      <c r="P1910">
        <v>30000</v>
      </c>
      <c r="Q1910">
        <v>30000</v>
      </c>
      <c r="R1910" t="s">
        <v>4083</v>
      </c>
      <c r="S1910" t="s">
        <v>650</v>
      </c>
      <c r="T1910">
        <v>124.9</v>
      </c>
    </row>
    <row r="1911" spans="1:24" x14ac:dyDescent="0.25">
      <c r="A1911" t="s">
        <v>14</v>
      </c>
      <c r="B1911" t="s">
        <v>647</v>
      </c>
      <c r="C1911" t="s">
        <v>4387</v>
      </c>
      <c r="D1911" t="s">
        <v>4388</v>
      </c>
      <c r="E1911">
        <v>47300025708</v>
      </c>
      <c r="F1911" t="s">
        <v>35</v>
      </c>
      <c r="G1911" t="s">
        <v>36</v>
      </c>
      <c r="H1911" t="s">
        <v>4360</v>
      </c>
      <c r="K1911" t="s">
        <v>3795</v>
      </c>
      <c r="L1911" t="s">
        <v>19</v>
      </c>
      <c r="M1911" t="s">
        <v>20</v>
      </c>
      <c r="P1911">
        <v>100000</v>
      </c>
      <c r="Q1911">
        <v>100000</v>
      </c>
      <c r="R1911" t="s">
        <v>4084</v>
      </c>
      <c r="S1911" t="s">
        <v>648</v>
      </c>
      <c r="T1911">
        <v>416.3</v>
      </c>
    </row>
    <row r="1912" spans="1:24" x14ac:dyDescent="0.25">
      <c r="A1912" t="s">
        <v>14</v>
      </c>
      <c r="B1912" t="s">
        <v>645</v>
      </c>
      <c r="C1912" t="s">
        <v>4371</v>
      </c>
      <c r="D1912" t="s">
        <v>4368</v>
      </c>
      <c r="E1912">
        <v>47300046761</v>
      </c>
      <c r="F1912" t="s">
        <v>42</v>
      </c>
      <c r="G1912" t="s">
        <v>28</v>
      </c>
      <c r="H1912" t="s">
        <v>43</v>
      </c>
      <c r="K1912" t="s">
        <v>3795</v>
      </c>
      <c r="L1912" t="s">
        <v>19</v>
      </c>
      <c r="M1912" t="s">
        <v>20</v>
      </c>
      <c r="P1912">
        <v>25000</v>
      </c>
      <c r="Q1912">
        <v>25000</v>
      </c>
      <c r="R1912" t="s">
        <v>4085</v>
      </c>
      <c r="S1912" t="s">
        <v>646</v>
      </c>
      <c r="T1912">
        <v>104.1</v>
      </c>
    </row>
    <row r="1913" spans="1:24" x14ac:dyDescent="0.25">
      <c r="A1913" t="s">
        <v>14</v>
      </c>
      <c r="B1913" t="s">
        <v>644</v>
      </c>
      <c r="C1913" t="s">
        <v>4389</v>
      </c>
      <c r="D1913" t="s">
        <v>4375</v>
      </c>
      <c r="E1913">
        <v>47300070571</v>
      </c>
      <c r="F1913" t="s">
        <v>42</v>
      </c>
      <c r="G1913" t="s">
        <v>28</v>
      </c>
      <c r="H1913" t="s">
        <v>72</v>
      </c>
      <c r="K1913" t="s">
        <v>3261</v>
      </c>
      <c r="L1913" t="s">
        <v>19</v>
      </c>
      <c r="M1913" t="s">
        <v>46</v>
      </c>
      <c r="N1913" s="2">
        <v>45566</v>
      </c>
      <c r="O1913" s="2">
        <v>45596</v>
      </c>
      <c r="P1913">
        <v>92732</v>
      </c>
      <c r="Q1913">
        <v>92732</v>
      </c>
      <c r="R1913" t="s">
        <v>3121</v>
      </c>
    </row>
    <row r="1914" spans="1:24" x14ac:dyDescent="0.25">
      <c r="A1914" t="s">
        <v>14</v>
      </c>
      <c r="B1914" t="s">
        <v>644</v>
      </c>
      <c r="C1914" t="s">
        <v>4389</v>
      </c>
      <c r="D1914" t="s">
        <v>4375</v>
      </c>
      <c r="E1914">
        <v>47300070571</v>
      </c>
      <c r="F1914" t="s">
        <v>42</v>
      </c>
      <c r="G1914" t="s">
        <v>28</v>
      </c>
      <c r="H1914" t="s">
        <v>72</v>
      </c>
      <c r="K1914" t="s">
        <v>3197</v>
      </c>
      <c r="L1914" t="s">
        <v>19</v>
      </c>
      <c r="M1914" t="s">
        <v>46</v>
      </c>
      <c r="N1914" s="2">
        <v>45566</v>
      </c>
      <c r="O1914" s="2">
        <v>45596</v>
      </c>
      <c r="P1914">
        <v>150650</v>
      </c>
      <c r="Q1914">
        <v>150650</v>
      </c>
      <c r="R1914" t="s">
        <v>3121</v>
      </c>
    </row>
    <row r="1915" spans="1:24" x14ac:dyDescent="0.25">
      <c r="A1915" t="s">
        <v>14</v>
      </c>
      <c r="B1915" t="s">
        <v>644</v>
      </c>
      <c r="C1915" t="s">
        <v>4414</v>
      </c>
      <c r="D1915" t="s">
        <v>4401</v>
      </c>
      <c r="E1915">
        <v>47300070571</v>
      </c>
      <c r="F1915" t="s">
        <v>42</v>
      </c>
      <c r="G1915" t="s">
        <v>28</v>
      </c>
      <c r="H1915" t="s">
        <v>72</v>
      </c>
      <c r="K1915" t="s">
        <v>2892</v>
      </c>
      <c r="L1915" t="s">
        <v>19</v>
      </c>
      <c r="M1915" t="s">
        <v>46</v>
      </c>
      <c r="N1915" s="2">
        <v>45566</v>
      </c>
      <c r="O1915" s="2">
        <v>45596</v>
      </c>
      <c r="P1915">
        <v>10000</v>
      </c>
      <c r="Q1915">
        <v>10000</v>
      </c>
      <c r="R1915" t="s">
        <v>3121</v>
      </c>
    </row>
    <row r="1916" spans="1:24" x14ac:dyDescent="0.25">
      <c r="A1916" t="s">
        <v>14</v>
      </c>
      <c r="B1916" t="s">
        <v>642</v>
      </c>
      <c r="C1916" t="s">
        <v>4389</v>
      </c>
      <c r="D1916" t="s">
        <v>4390</v>
      </c>
      <c r="E1916">
        <v>47300070571</v>
      </c>
      <c r="F1916" t="s">
        <v>42</v>
      </c>
      <c r="G1916" t="s">
        <v>28</v>
      </c>
      <c r="H1916" t="s">
        <v>72</v>
      </c>
      <c r="K1916" t="s">
        <v>3795</v>
      </c>
      <c r="L1916" t="s">
        <v>19</v>
      </c>
      <c r="M1916" t="s">
        <v>20</v>
      </c>
      <c r="P1916">
        <v>110000</v>
      </c>
      <c r="Q1916">
        <v>110000</v>
      </c>
      <c r="R1916" t="s">
        <v>4086</v>
      </c>
      <c r="S1916" t="s">
        <v>643</v>
      </c>
      <c r="T1916">
        <v>457.9</v>
      </c>
    </row>
    <row r="1917" spans="1:24" x14ac:dyDescent="0.25">
      <c r="A1917" t="s">
        <v>14</v>
      </c>
      <c r="B1917" t="s">
        <v>640</v>
      </c>
      <c r="C1917" t="s">
        <v>4389</v>
      </c>
      <c r="D1917" t="s">
        <v>4375</v>
      </c>
      <c r="E1917">
        <v>47300046746</v>
      </c>
      <c r="F1917" t="s">
        <v>16</v>
      </c>
      <c r="G1917" t="s">
        <v>28</v>
      </c>
      <c r="H1917" t="s">
        <v>32</v>
      </c>
      <c r="K1917" t="s">
        <v>4266</v>
      </c>
      <c r="L1917" t="s">
        <v>19</v>
      </c>
      <c r="M1917" t="s">
        <v>63</v>
      </c>
      <c r="N1917" s="2">
        <v>45566</v>
      </c>
      <c r="O1917" s="2">
        <v>45596</v>
      </c>
      <c r="P1917">
        <v>15000</v>
      </c>
      <c r="Q1917">
        <v>15000</v>
      </c>
      <c r="R1917" t="s">
        <v>4310</v>
      </c>
      <c r="S1917" t="s">
        <v>641</v>
      </c>
      <c r="T1917">
        <v>62.5</v>
      </c>
    </row>
    <row r="1918" spans="1:24" x14ac:dyDescent="0.25">
      <c r="A1918" t="s">
        <v>14</v>
      </c>
      <c r="B1918" t="s">
        <v>638</v>
      </c>
      <c r="C1918" t="s">
        <v>4389</v>
      </c>
      <c r="D1918" t="s">
        <v>4390</v>
      </c>
      <c r="E1918">
        <v>47300070514</v>
      </c>
      <c r="F1918" t="s">
        <v>27</v>
      </c>
      <c r="G1918" t="s">
        <v>28</v>
      </c>
      <c r="H1918" t="s">
        <v>29</v>
      </c>
      <c r="K1918" t="s">
        <v>4266</v>
      </c>
      <c r="L1918" t="s">
        <v>19</v>
      </c>
      <c r="M1918" t="s">
        <v>63</v>
      </c>
      <c r="N1918" s="2">
        <v>45566</v>
      </c>
      <c r="O1918" s="2">
        <v>45596</v>
      </c>
      <c r="P1918">
        <v>35000</v>
      </c>
      <c r="Q1918">
        <v>35000</v>
      </c>
      <c r="R1918" t="s">
        <v>3122</v>
      </c>
      <c r="S1918" t="s">
        <v>639</v>
      </c>
      <c r="T1918">
        <v>145.69999999999999</v>
      </c>
    </row>
    <row r="1919" spans="1:24" x14ac:dyDescent="0.25">
      <c r="A1919" t="s">
        <v>14</v>
      </c>
      <c r="B1919" t="s">
        <v>638</v>
      </c>
      <c r="C1919" t="s">
        <v>4389</v>
      </c>
      <c r="D1919" t="s">
        <v>4375</v>
      </c>
      <c r="E1919">
        <v>47300070514</v>
      </c>
      <c r="F1919" t="s">
        <v>27</v>
      </c>
      <c r="G1919" t="s">
        <v>28</v>
      </c>
      <c r="H1919" t="s">
        <v>29</v>
      </c>
      <c r="K1919" t="s">
        <v>3294</v>
      </c>
      <c r="L1919" t="s">
        <v>19</v>
      </c>
      <c r="M1919" t="s">
        <v>46</v>
      </c>
      <c r="N1919" s="2">
        <v>45566</v>
      </c>
      <c r="O1919" s="2">
        <v>45596</v>
      </c>
      <c r="P1919">
        <v>500</v>
      </c>
      <c r="Q1919">
        <v>500</v>
      </c>
      <c r="R1919" t="s">
        <v>3122</v>
      </c>
    </row>
    <row r="1920" spans="1:24" x14ac:dyDescent="0.25">
      <c r="A1920" t="s">
        <v>14</v>
      </c>
      <c r="B1920" t="s">
        <v>638</v>
      </c>
      <c r="C1920" t="s">
        <v>4389</v>
      </c>
      <c r="D1920" t="s">
        <v>4390</v>
      </c>
      <c r="E1920">
        <v>47300070514</v>
      </c>
      <c r="F1920" t="s">
        <v>27</v>
      </c>
      <c r="G1920" t="s">
        <v>28</v>
      </c>
      <c r="H1920" t="s">
        <v>29</v>
      </c>
      <c r="K1920" t="s">
        <v>3261</v>
      </c>
      <c r="L1920" t="s">
        <v>19</v>
      </c>
      <c r="M1920" t="s">
        <v>46</v>
      </c>
      <c r="N1920" s="2">
        <v>45566</v>
      </c>
      <c r="O1920" s="2">
        <v>45596</v>
      </c>
      <c r="P1920">
        <v>92732</v>
      </c>
      <c r="Q1920">
        <v>92732</v>
      </c>
      <c r="R1920" t="s">
        <v>3122</v>
      </c>
    </row>
    <row r="1921" spans="1:20" x14ac:dyDescent="0.25">
      <c r="A1921" t="s">
        <v>14</v>
      </c>
      <c r="B1921" t="s">
        <v>638</v>
      </c>
      <c r="C1921" t="s">
        <v>4389</v>
      </c>
      <c r="D1921" t="s">
        <v>4375</v>
      </c>
      <c r="E1921">
        <v>47300070514</v>
      </c>
      <c r="F1921" t="s">
        <v>27</v>
      </c>
      <c r="G1921" t="s">
        <v>28</v>
      </c>
      <c r="H1921" t="s">
        <v>29</v>
      </c>
      <c r="K1921" t="s">
        <v>3197</v>
      </c>
      <c r="L1921" t="s">
        <v>19</v>
      </c>
      <c r="M1921" t="s">
        <v>46</v>
      </c>
      <c r="N1921" s="2">
        <v>45566</v>
      </c>
      <c r="O1921" s="2">
        <v>45596</v>
      </c>
      <c r="P1921">
        <v>150650</v>
      </c>
      <c r="Q1921">
        <v>150650</v>
      </c>
      <c r="R1921" t="s">
        <v>3122</v>
      </c>
    </row>
    <row r="1922" spans="1:20" x14ac:dyDescent="0.25">
      <c r="A1922" t="s">
        <v>14</v>
      </c>
      <c r="B1922" t="s">
        <v>638</v>
      </c>
      <c r="C1922" t="s">
        <v>4389</v>
      </c>
      <c r="D1922" t="s">
        <v>4390</v>
      </c>
      <c r="E1922">
        <v>47300070514</v>
      </c>
      <c r="F1922" t="s">
        <v>27</v>
      </c>
      <c r="G1922" t="s">
        <v>28</v>
      </c>
      <c r="H1922" t="s">
        <v>29</v>
      </c>
      <c r="K1922" t="s">
        <v>2892</v>
      </c>
      <c r="L1922" t="s">
        <v>19</v>
      </c>
      <c r="M1922" t="s">
        <v>46</v>
      </c>
      <c r="N1922" s="2">
        <v>45566</v>
      </c>
      <c r="O1922" s="2">
        <v>45596</v>
      </c>
      <c r="P1922">
        <v>10000</v>
      </c>
      <c r="Q1922">
        <v>10000</v>
      </c>
      <c r="R1922" t="s">
        <v>3122</v>
      </c>
    </row>
    <row r="1923" spans="1:20" x14ac:dyDescent="0.25">
      <c r="A1923" t="s">
        <v>14</v>
      </c>
      <c r="B1923" t="s">
        <v>636</v>
      </c>
      <c r="C1923" t="s">
        <v>4396</v>
      </c>
      <c r="D1923" t="s">
        <v>4397</v>
      </c>
      <c r="E1923">
        <v>47300070688</v>
      </c>
      <c r="F1923" t="s">
        <v>16</v>
      </c>
      <c r="G1923" t="s">
        <v>17</v>
      </c>
      <c r="H1923" t="s">
        <v>149</v>
      </c>
      <c r="K1923" t="s">
        <v>4266</v>
      </c>
      <c r="L1923" t="s">
        <v>19</v>
      </c>
      <c r="M1923" t="s">
        <v>63</v>
      </c>
      <c r="N1923" s="2">
        <v>45566</v>
      </c>
      <c r="O1923" s="2">
        <v>45596</v>
      </c>
      <c r="P1923">
        <v>50000</v>
      </c>
      <c r="Q1923">
        <v>50000</v>
      </c>
      <c r="R1923" t="s">
        <v>2783</v>
      </c>
      <c r="S1923" t="s">
        <v>637</v>
      </c>
      <c r="T1923">
        <v>208.1</v>
      </c>
    </row>
    <row r="1924" spans="1:20" x14ac:dyDescent="0.25">
      <c r="A1924" t="s">
        <v>14</v>
      </c>
      <c r="B1924" t="s">
        <v>636</v>
      </c>
      <c r="C1924" t="s">
        <v>4392</v>
      </c>
      <c r="D1924" t="s">
        <v>4393</v>
      </c>
      <c r="E1924">
        <v>47300070688</v>
      </c>
      <c r="F1924" t="s">
        <v>16</v>
      </c>
      <c r="G1924" t="s">
        <v>17</v>
      </c>
      <c r="H1924" t="s">
        <v>149</v>
      </c>
      <c r="K1924" t="s">
        <v>3536</v>
      </c>
      <c r="L1924" t="s">
        <v>47</v>
      </c>
      <c r="N1924" s="2">
        <v>45541</v>
      </c>
      <c r="O1924" s="2">
        <v>45539</v>
      </c>
      <c r="P1924">
        <v>64912.4</v>
      </c>
      <c r="Q1924">
        <v>64912.4</v>
      </c>
      <c r="R1924" t="s">
        <v>2783</v>
      </c>
    </row>
    <row r="1925" spans="1:20" x14ac:dyDescent="0.25">
      <c r="A1925" t="s">
        <v>14</v>
      </c>
      <c r="B1925" t="s">
        <v>636</v>
      </c>
      <c r="C1925" t="s">
        <v>4392</v>
      </c>
      <c r="D1925" t="s">
        <v>4393</v>
      </c>
      <c r="E1925">
        <v>47300070688</v>
      </c>
      <c r="F1925" t="s">
        <v>16</v>
      </c>
      <c r="G1925" t="s">
        <v>17</v>
      </c>
      <c r="H1925" t="s">
        <v>149</v>
      </c>
      <c r="K1925" t="s">
        <v>3294</v>
      </c>
      <c r="L1925" t="s">
        <v>19</v>
      </c>
      <c r="M1925" t="s">
        <v>46</v>
      </c>
      <c r="N1925" s="2">
        <v>45566</v>
      </c>
      <c r="O1925" s="2">
        <v>45596</v>
      </c>
      <c r="P1925">
        <v>500</v>
      </c>
      <c r="Q1925">
        <v>500</v>
      </c>
      <c r="R1925" t="s">
        <v>2783</v>
      </c>
    </row>
    <row r="1926" spans="1:20" x14ac:dyDescent="0.25">
      <c r="A1926" t="s">
        <v>14</v>
      </c>
      <c r="B1926" t="s">
        <v>636</v>
      </c>
      <c r="C1926" t="s">
        <v>4376</v>
      </c>
      <c r="D1926" t="s">
        <v>4377</v>
      </c>
      <c r="E1926">
        <v>47300070688</v>
      </c>
      <c r="F1926" t="s">
        <v>16</v>
      </c>
      <c r="G1926" t="s">
        <v>17</v>
      </c>
      <c r="H1926" t="s">
        <v>149</v>
      </c>
      <c r="K1926" t="s">
        <v>3273</v>
      </c>
      <c r="L1926" t="s">
        <v>47</v>
      </c>
      <c r="N1926" s="2">
        <v>45536</v>
      </c>
      <c r="O1926" s="2">
        <v>45565</v>
      </c>
      <c r="P1926">
        <v>500</v>
      </c>
      <c r="Q1926">
        <v>500</v>
      </c>
      <c r="R1926" t="s">
        <v>2783</v>
      </c>
    </row>
    <row r="1927" spans="1:20" x14ac:dyDescent="0.25">
      <c r="A1927" t="s">
        <v>14</v>
      </c>
      <c r="B1927" t="s">
        <v>636</v>
      </c>
      <c r="C1927" t="s">
        <v>4396</v>
      </c>
      <c r="D1927" t="s">
        <v>4397</v>
      </c>
      <c r="E1927">
        <v>47300070688</v>
      </c>
      <c r="F1927" t="s">
        <v>16</v>
      </c>
      <c r="G1927" t="s">
        <v>17</v>
      </c>
      <c r="H1927" t="s">
        <v>149</v>
      </c>
      <c r="K1927" t="s">
        <v>3261</v>
      </c>
      <c r="L1927" t="s">
        <v>19</v>
      </c>
      <c r="M1927" t="s">
        <v>46</v>
      </c>
      <c r="N1927" s="2">
        <v>45566</v>
      </c>
      <c r="O1927" s="2">
        <v>45596</v>
      </c>
      <c r="P1927">
        <v>92732</v>
      </c>
      <c r="Q1927">
        <v>92732</v>
      </c>
      <c r="R1927" t="s">
        <v>2783</v>
      </c>
    </row>
    <row r="1928" spans="1:20" x14ac:dyDescent="0.25">
      <c r="A1928" t="s">
        <v>14</v>
      </c>
      <c r="B1928" t="s">
        <v>636</v>
      </c>
      <c r="C1928" t="s">
        <v>4392</v>
      </c>
      <c r="D1928" t="s">
        <v>4393</v>
      </c>
      <c r="E1928">
        <v>47300070688</v>
      </c>
      <c r="F1928" t="s">
        <v>16</v>
      </c>
      <c r="G1928" t="s">
        <v>17</v>
      </c>
      <c r="H1928" t="s">
        <v>149</v>
      </c>
      <c r="K1928" t="s">
        <v>3259</v>
      </c>
      <c r="L1928" t="s">
        <v>47</v>
      </c>
      <c r="N1928" s="2">
        <v>45536</v>
      </c>
      <c r="O1928" s="2">
        <v>45565</v>
      </c>
      <c r="P1928">
        <v>92732</v>
      </c>
      <c r="Q1928">
        <v>92732</v>
      </c>
      <c r="R1928" t="s">
        <v>2783</v>
      </c>
    </row>
    <row r="1929" spans="1:20" x14ac:dyDescent="0.25">
      <c r="A1929" t="s">
        <v>14</v>
      </c>
      <c r="B1929" t="s">
        <v>636</v>
      </c>
      <c r="C1929" t="s">
        <v>4392</v>
      </c>
      <c r="D1929" t="s">
        <v>4393</v>
      </c>
      <c r="E1929">
        <v>47300070688</v>
      </c>
      <c r="F1929" t="s">
        <v>16</v>
      </c>
      <c r="G1929" t="s">
        <v>17</v>
      </c>
      <c r="H1929" t="s">
        <v>149</v>
      </c>
      <c r="K1929" t="s">
        <v>3197</v>
      </c>
      <c r="L1929" t="s">
        <v>19</v>
      </c>
      <c r="M1929" t="s">
        <v>46</v>
      </c>
      <c r="N1929" s="2">
        <v>45566</v>
      </c>
      <c r="O1929" s="2">
        <v>45596</v>
      </c>
      <c r="P1929">
        <v>150650</v>
      </c>
      <c r="Q1929">
        <v>150650</v>
      </c>
      <c r="R1929" t="s">
        <v>2783</v>
      </c>
    </row>
    <row r="1930" spans="1:20" x14ac:dyDescent="0.25">
      <c r="A1930" t="s">
        <v>14</v>
      </c>
      <c r="B1930" t="s">
        <v>636</v>
      </c>
      <c r="C1930" t="s">
        <v>4396</v>
      </c>
      <c r="D1930" t="s">
        <v>4397</v>
      </c>
      <c r="E1930">
        <v>47300070688</v>
      </c>
      <c r="F1930" t="s">
        <v>16</v>
      </c>
      <c r="G1930" t="s">
        <v>17</v>
      </c>
      <c r="H1930" t="s">
        <v>149</v>
      </c>
      <c r="K1930" t="s">
        <v>3184</v>
      </c>
      <c r="L1930" t="s">
        <v>47</v>
      </c>
      <c r="N1930" s="2">
        <v>45536</v>
      </c>
      <c r="O1930" s="2">
        <v>45565</v>
      </c>
      <c r="P1930">
        <v>150650</v>
      </c>
      <c r="Q1930">
        <v>150650</v>
      </c>
      <c r="R1930" t="s">
        <v>2783</v>
      </c>
    </row>
    <row r="1931" spans="1:20" x14ac:dyDescent="0.25">
      <c r="A1931" t="s">
        <v>14</v>
      </c>
      <c r="B1931" t="s">
        <v>636</v>
      </c>
      <c r="C1931" t="s">
        <v>4392</v>
      </c>
      <c r="D1931" t="s">
        <v>4393</v>
      </c>
      <c r="E1931">
        <v>47300070688</v>
      </c>
      <c r="F1931" t="s">
        <v>16</v>
      </c>
      <c r="G1931" t="s">
        <v>17</v>
      </c>
      <c r="H1931" t="s">
        <v>149</v>
      </c>
      <c r="K1931" t="s">
        <v>2892</v>
      </c>
      <c r="L1931" t="s">
        <v>19</v>
      </c>
      <c r="M1931" t="s">
        <v>46</v>
      </c>
      <c r="N1931" s="2">
        <v>45566</v>
      </c>
      <c r="O1931" s="2">
        <v>45596</v>
      </c>
      <c r="P1931">
        <v>10000</v>
      </c>
      <c r="Q1931">
        <v>10000</v>
      </c>
      <c r="R1931" t="s">
        <v>2783</v>
      </c>
    </row>
    <row r="1932" spans="1:20" x14ac:dyDescent="0.25">
      <c r="A1932" t="s">
        <v>14</v>
      </c>
      <c r="B1932" t="s">
        <v>636</v>
      </c>
      <c r="C1932" t="s">
        <v>4396</v>
      </c>
      <c r="D1932" t="s">
        <v>4397</v>
      </c>
      <c r="E1932">
        <v>47300070688</v>
      </c>
      <c r="F1932" t="s">
        <v>16</v>
      </c>
      <c r="G1932" t="s">
        <v>17</v>
      </c>
      <c r="H1932" t="s">
        <v>149</v>
      </c>
      <c r="K1932" t="s">
        <v>2864</v>
      </c>
      <c r="L1932" t="s">
        <v>47</v>
      </c>
      <c r="N1932" s="2">
        <v>45536</v>
      </c>
      <c r="O1932" s="2">
        <v>45565</v>
      </c>
      <c r="P1932">
        <v>10000</v>
      </c>
      <c r="Q1932">
        <v>10000</v>
      </c>
      <c r="R1932" t="s">
        <v>2783</v>
      </c>
    </row>
    <row r="1933" spans="1:20" x14ac:dyDescent="0.25">
      <c r="A1933" t="s">
        <v>14</v>
      </c>
      <c r="B1933" t="s">
        <v>636</v>
      </c>
      <c r="C1933" t="s">
        <v>4392</v>
      </c>
      <c r="D1933" t="s">
        <v>4393</v>
      </c>
      <c r="E1933">
        <v>47300070688</v>
      </c>
      <c r="F1933" t="s">
        <v>16</v>
      </c>
      <c r="G1933" t="s">
        <v>17</v>
      </c>
      <c r="H1933" t="s">
        <v>149</v>
      </c>
      <c r="K1933" t="s">
        <v>2760</v>
      </c>
      <c r="L1933" t="s">
        <v>47</v>
      </c>
      <c r="N1933" s="2">
        <v>45566</v>
      </c>
      <c r="O1933" s="2">
        <v>45532</v>
      </c>
      <c r="P1933">
        <v>237681.39</v>
      </c>
      <c r="Q1933">
        <v>237681.39</v>
      </c>
      <c r="R1933" t="s">
        <v>2783</v>
      </c>
    </row>
    <row r="1934" spans="1:20" x14ac:dyDescent="0.25">
      <c r="A1934" t="s">
        <v>14</v>
      </c>
      <c r="B1934" t="s">
        <v>634</v>
      </c>
      <c r="C1934" t="s">
        <v>4396</v>
      </c>
      <c r="D1934" t="s">
        <v>4397</v>
      </c>
      <c r="E1934">
        <v>47300046662</v>
      </c>
      <c r="F1934" t="s">
        <v>16</v>
      </c>
      <c r="G1934" t="s">
        <v>28</v>
      </c>
      <c r="H1934" t="s">
        <v>129</v>
      </c>
      <c r="K1934" t="s">
        <v>4266</v>
      </c>
      <c r="L1934" t="s">
        <v>19</v>
      </c>
      <c r="M1934" t="s">
        <v>63</v>
      </c>
      <c r="N1934" s="2">
        <v>45566</v>
      </c>
      <c r="O1934" s="2">
        <v>45596</v>
      </c>
      <c r="P1934">
        <v>40000</v>
      </c>
      <c r="Q1934">
        <v>40000</v>
      </c>
      <c r="R1934" t="s">
        <v>3123</v>
      </c>
      <c r="S1934" t="s">
        <v>635</v>
      </c>
      <c r="T1934">
        <v>166.5</v>
      </c>
    </row>
    <row r="1935" spans="1:20" x14ac:dyDescent="0.25">
      <c r="A1935" t="s">
        <v>14</v>
      </c>
      <c r="B1935" t="s">
        <v>634</v>
      </c>
      <c r="C1935" t="s">
        <v>4392</v>
      </c>
      <c r="D1935" t="s">
        <v>4393</v>
      </c>
      <c r="E1935">
        <v>47300046662</v>
      </c>
      <c r="F1935" t="s">
        <v>16</v>
      </c>
      <c r="G1935" t="s">
        <v>28</v>
      </c>
      <c r="H1935" t="s">
        <v>129</v>
      </c>
      <c r="K1935" t="s">
        <v>3294</v>
      </c>
      <c r="L1935" t="s">
        <v>19</v>
      </c>
      <c r="M1935" t="s">
        <v>46</v>
      </c>
      <c r="N1935" s="2">
        <v>45566</v>
      </c>
      <c r="O1935" s="2">
        <v>45596</v>
      </c>
      <c r="P1935">
        <v>500</v>
      </c>
      <c r="Q1935">
        <v>500</v>
      </c>
      <c r="R1935" t="s">
        <v>3123</v>
      </c>
    </row>
    <row r="1936" spans="1:20" x14ac:dyDescent="0.25">
      <c r="A1936" t="s">
        <v>14</v>
      </c>
      <c r="B1936" t="s">
        <v>634</v>
      </c>
      <c r="C1936" t="s">
        <v>4392</v>
      </c>
      <c r="D1936" t="s">
        <v>4393</v>
      </c>
      <c r="E1936">
        <v>47300046662</v>
      </c>
      <c r="F1936" t="s">
        <v>16</v>
      </c>
      <c r="G1936" t="s">
        <v>28</v>
      </c>
      <c r="H1936" t="s">
        <v>129</v>
      </c>
      <c r="K1936" t="s">
        <v>3261</v>
      </c>
      <c r="L1936" t="s">
        <v>19</v>
      </c>
      <c r="M1936" t="s">
        <v>46</v>
      </c>
      <c r="N1936" s="2">
        <v>45566</v>
      </c>
      <c r="O1936" s="2">
        <v>45596</v>
      </c>
      <c r="P1936">
        <v>92732</v>
      </c>
      <c r="Q1936">
        <v>92732</v>
      </c>
      <c r="R1936" t="s">
        <v>3123</v>
      </c>
    </row>
    <row r="1937" spans="1:20" x14ac:dyDescent="0.25">
      <c r="A1937" t="s">
        <v>14</v>
      </c>
      <c r="B1937" t="s">
        <v>634</v>
      </c>
      <c r="C1937" t="s">
        <v>4392</v>
      </c>
      <c r="D1937" t="s">
        <v>4393</v>
      </c>
      <c r="E1937">
        <v>47300046662</v>
      </c>
      <c r="F1937" t="s">
        <v>16</v>
      </c>
      <c r="G1937" t="s">
        <v>28</v>
      </c>
      <c r="H1937" t="s">
        <v>129</v>
      </c>
      <c r="K1937" t="s">
        <v>3259</v>
      </c>
      <c r="L1937" t="s">
        <v>47</v>
      </c>
      <c r="N1937" s="2">
        <v>45536</v>
      </c>
      <c r="O1937" s="2">
        <v>45565</v>
      </c>
      <c r="P1937">
        <v>92732</v>
      </c>
      <c r="Q1937">
        <v>92732</v>
      </c>
      <c r="R1937" t="s">
        <v>3123</v>
      </c>
    </row>
    <row r="1938" spans="1:20" x14ac:dyDescent="0.25">
      <c r="A1938" t="s">
        <v>14</v>
      </c>
      <c r="B1938" t="s">
        <v>634</v>
      </c>
      <c r="C1938" t="s">
        <v>4396</v>
      </c>
      <c r="D1938" t="s">
        <v>4397</v>
      </c>
      <c r="E1938">
        <v>47300046662</v>
      </c>
      <c r="F1938" t="s">
        <v>16</v>
      </c>
      <c r="G1938" t="s">
        <v>28</v>
      </c>
      <c r="H1938" t="s">
        <v>129</v>
      </c>
      <c r="K1938" t="s">
        <v>3197</v>
      </c>
      <c r="L1938" t="s">
        <v>19</v>
      </c>
      <c r="M1938" t="s">
        <v>46</v>
      </c>
      <c r="N1938" s="2">
        <v>45566</v>
      </c>
      <c r="O1938" s="2">
        <v>45596</v>
      </c>
      <c r="P1938">
        <v>150650</v>
      </c>
      <c r="Q1938">
        <v>150650</v>
      </c>
      <c r="R1938" t="s">
        <v>3123</v>
      </c>
    </row>
    <row r="1939" spans="1:20" x14ac:dyDescent="0.25">
      <c r="A1939" t="s">
        <v>14</v>
      </c>
      <c r="B1939" t="s">
        <v>634</v>
      </c>
      <c r="C1939" t="s">
        <v>4392</v>
      </c>
      <c r="D1939" t="s">
        <v>4393</v>
      </c>
      <c r="E1939">
        <v>47300046662</v>
      </c>
      <c r="F1939" t="s">
        <v>16</v>
      </c>
      <c r="G1939" t="s">
        <v>28</v>
      </c>
      <c r="H1939" t="s">
        <v>129</v>
      </c>
      <c r="K1939" t="s">
        <v>2892</v>
      </c>
      <c r="L1939" t="s">
        <v>19</v>
      </c>
      <c r="M1939" t="s">
        <v>46</v>
      </c>
      <c r="N1939" s="2">
        <v>45566</v>
      </c>
      <c r="O1939" s="2">
        <v>45596</v>
      </c>
      <c r="P1939">
        <v>10000</v>
      </c>
      <c r="Q1939">
        <v>10000</v>
      </c>
      <c r="R1939" t="s">
        <v>3123</v>
      </c>
    </row>
    <row r="1940" spans="1:20" x14ac:dyDescent="0.25">
      <c r="A1940" t="s">
        <v>14</v>
      </c>
      <c r="B1940" t="s">
        <v>632</v>
      </c>
      <c r="C1940" t="s">
        <v>4392</v>
      </c>
      <c r="D1940" t="s">
        <v>4393</v>
      </c>
      <c r="E1940">
        <v>47300046720</v>
      </c>
      <c r="F1940" t="s">
        <v>16</v>
      </c>
      <c r="G1940" t="s">
        <v>28</v>
      </c>
      <c r="H1940" t="s">
        <v>143</v>
      </c>
      <c r="K1940" t="s">
        <v>3795</v>
      </c>
      <c r="L1940" t="s">
        <v>19</v>
      </c>
      <c r="M1940" t="s">
        <v>20</v>
      </c>
      <c r="P1940">
        <v>30000</v>
      </c>
      <c r="Q1940">
        <v>30000</v>
      </c>
      <c r="R1940" t="s">
        <v>4087</v>
      </c>
      <c r="S1940" t="s">
        <v>633</v>
      </c>
      <c r="T1940">
        <v>124.9</v>
      </c>
    </row>
    <row r="1941" spans="1:20" x14ac:dyDescent="0.25">
      <c r="A1941" t="s">
        <v>14</v>
      </c>
      <c r="B1941" t="s">
        <v>630</v>
      </c>
      <c r="C1941" t="s">
        <v>4384</v>
      </c>
      <c r="D1941" t="s">
        <v>4391</v>
      </c>
      <c r="E1941">
        <v>47300046977</v>
      </c>
      <c r="F1941" t="s">
        <v>16</v>
      </c>
      <c r="G1941" t="s">
        <v>17</v>
      </c>
      <c r="H1941" t="s">
        <v>175</v>
      </c>
      <c r="K1941" t="s">
        <v>4266</v>
      </c>
      <c r="L1941" t="s">
        <v>19</v>
      </c>
      <c r="M1941" t="s">
        <v>63</v>
      </c>
      <c r="N1941" s="2">
        <v>45566</v>
      </c>
      <c r="O1941" s="2">
        <v>45596</v>
      </c>
      <c r="P1941">
        <v>10000</v>
      </c>
      <c r="Q1941">
        <v>10000</v>
      </c>
      <c r="R1941" t="s">
        <v>3124</v>
      </c>
      <c r="S1941" t="s">
        <v>631</v>
      </c>
      <c r="T1941">
        <v>41.6</v>
      </c>
    </row>
    <row r="1942" spans="1:20" x14ac:dyDescent="0.25">
      <c r="A1942" t="s">
        <v>14</v>
      </c>
      <c r="B1942" t="s">
        <v>630</v>
      </c>
      <c r="C1942" t="s">
        <v>4384</v>
      </c>
      <c r="D1942" t="s">
        <v>4391</v>
      </c>
      <c r="E1942">
        <v>47300046977</v>
      </c>
      <c r="F1942" t="s">
        <v>16</v>
      </c>
      <c r="G1942" t="s">
        <v>17</v>
      </c>
      <c r="H1942" t="s">
        <v>175</v>
      </c>
      <c r="K1942" t="s">
        <v>3261</v>
      </c>
      <c r="L1942" t="s">
        <v>19</v>
      </c>
      <c r="M1942" t="s">
        <v>46</v>
      </c>
      <c r="N1942" s="2">
        <v>45566</v>
      </c>
      <c r="O1942" s="2">
        <v>45596</v>
      </c>
      <c r="P1942">
        <v>92732</v>
      </c>
      <c r="Q1942">
        <v>92732</v>
      </c>
      <c r="R1942" t="s">
        <v>3124</v>
      </c>
    </row>
    <row r="1943" spans="1:20" x14ac:dyDescent="0.25">
      <c r="A1943" t="s">
        <v>14</v>
      </c>
      <c r="B1943" t="s">
        <v>630</v>
      </c>
      <c r="C1943" t="s">
        <v>4384</v>
      </c>
      <c r="D1943" t="s">
        <v>4391</v>
      </c>
      <c r="E1943">
        <v>47300046977</v>
      </c>
      <c r="F1943" t="s">
        <v>16</v>
      </c>
      <c r="G1943" t="s">
        <v>17</v>
      </c>
      <c r="H1943" t="s">
        <v>175</v>
      </c>
      <c r="K1943" t="s">
        <v>3197</v>
      </c>
      <c r="L1943" t="s">
        <v>19</v>
      </c>
      <c r="M1943" t="s">
        <v>46</v>
      </c>
      <c r="N1943" s="2">
        <v>45566</v>
      </c>
      <c r="O1943" s="2">
        <v>45596</v>
      </c>
      <c r="P1943">
        <v>150650</v>
      </c>
      <c r="Q1943">
        <v>150650</v>
      </c>
      <c r="R1943" t="s">
        <v>3124</v>
      </c>
    </row>
    <row r="1944" spans="1:20" x14ac:dyDescent="0.25">
      <c r="A1944" t="s">
        <v>14</v>
      </c>
      <c r="B1944" t="s">
        <v>630</v>
      </c>
      <c r="C1944" t="s">
        <v>4384</v>
      </c>
      <c r="D1944" t="s">
        <v>4391</v>
      </c>
      <c r="E1944">
        <v>47300046977</v>
      </c>
      <c r="F1944" t="s">
        <v>16</v>
      </c>
      <c r="G1944" t="s">
        <v>17</v>
      </c>
      <c r="H1944" t="s">
        <v>175</v>
      </c>
      <c r="K1944" t="s">
        <v>2892</v>
      </c>
      <c r="L1944" t="s">
        <v>19</v>
      </c>
      <c r="M1944" t="s">
        <v>46</v>
      </c>
      <c r="N1944" s="2">
        <v>45566</v>
      </c>
      <c r="O1944" s="2">
        <v>45596</v>
      </c>
      <c r="P1944">
        <v>10000</v>
      </c>
      <c r="Q1944">
        <v>10000</v>
      </c>
      <c r="R1944" t="s">
        <v>3124</v>
      </c>
    </row>
    <row r="1945" spans="1:20" x14ac:dyDescent="0.25">
      <c r="A1945" t="s">
        <v>14</v>
      </c>
      <c r="B1945" t="s">
        <v>628</v>
      </c>
      <c r="C1945" t="s">
        <v>4365</v>
      </c>
      <c r="D1945" t="s">
        <v>4366</v>
      </c>
      <c r="E1945">
        <v>47300046399</v>
      </c>
      <c r="F1945" t="s">
        <v>16</v>
      </c>
      <c r="G1945" t="s">
        <v>28</v>
      </c>
      <c r="H1945" t="s">
        <v>122</v>
      </c>
      <c r="K1945" t="s">
        <v>4266</v>
      </c>
      <c r="L1945" t="s">
        <v>19</v>
      </c>
      <c r="M1945" t="s">
        <v>63</v>
      </c>
      <c r="N1945" s="2">
        <v>45566</v>
      </c>
      <c r="O1945" s="2">
        <v>45596</v>
      </c>
      <c r="P1945">
        <v>100000</v>
      </c>
      <c r="Q1945">
        <v>100000</v>
      </c>
      <c r="R1945" t="s">
        <v>3234</v>
      </c>
      <c r="S1945" t="s">
        <v>629</v>
      </c>
      <c r="T1945">
        <v>416.3</v>
      </c>
    </row>
    <row r="1946" spans="1:20" x14ac:dyDescent="0.25">
      <c r="A1946" t="s">
        <v>14</v>
      </c>
      <c r="B1946" t="s">
        <v>628</v>
      </c>
      <c r="C1946" t="s">
        <v>4398</v>
      </c>
      <c r="D1946" t="s">
        <v>4377</v>
      </c>
      <c r="E1946">
        <v>47300046399</v>
      </c>
      <c r="F1946" t="s">
        <v>16</v>
      </c>
      <c r="G1946" t="s">
        <v>28</v>
      </c>
      <c r="H1946" t="s">
        <v>122</v>
      </c>
      <c r="K1946" t="s">
        <v>3197</v>
      </c>
      <c r="L1946" t="s">
        <v>19</v>
      </c>
      <c r="M1946" t="s">
        <v>46</v>
      </c>
      <c r="N1946" s="2">
        <v>45566</v>
      </c>
      <c r="O1946" s="2">
        <v>45596</v>
      </c>
      <c r="P1946">
        <v>150650</v>
      </c>
      <c r="Q1946">
        <v>150650</v>
      </c>
      <c r="R1946" t="s">
        <v>3234</v>
      </c>
    </row>
    <row r="1947" spans="1:20" x14ac:dyDescent="0.25">
      <c r="A1947" t="s">
        <v>14</v>
      </c>
      <c r="B1947" t="s">
        <v>626</v>
      </c>
      <c r="C1947" t="s">
        <v>4365</v>
      </c>
      <c r="D1947" t="s">
        <v>4366</v>
      </c>
      <c r="E1947">
        <v>47300046605</v>
      </c>
      <c r="F1947" t="s">
        <v>16</v>
      </c>
      <c r="G1947" t="s">
        <v>17</v>
      </c>
      <c r="H1947" t="s">
        <v>49</v>
      </c>
      <c r="K1947" t="s">
        <v>4266</v>
      </c>
      <c r="L1947" t="s">
        <v>19</v>
      </c>
      <c r="M1947" t="s">
        <v>63</v>
      </c>
      <c r="N1947" s="2">
        <v>45566</v>
      </c>
      <c r="O1947" s="2">
        <v>45596</v>
      </c>
      <c r="P1947">
        <v>130000</v>
      </c>
      <c r="Q1947">
        <v>130000</v>
      </c>
      <c r="R1947" t="s">
        <v>4311</v>
      </c>
      <c r="S1947" t="s">
        <v>627</v>
      </c>
      <c r="T1947">
        <v>541.20000000000005</v>
      </c>
    </row>
    <row r="1948" spans="1:20" x14ac:dyDescent="0.25">
      <c r="A1948" t="s">
        <v>14</v>
      </c>
      <c r="B1948" t="s">
        <v>624</v>
      </c>
      <c r="C1948" t="s">
        <v>4387</v>
      </c>
      <c r="D1948" t="s">
        <v>4388</v>
      </c>
      <c r="E1948">
        <v>47300046316</v>
      </c>
      <c r="F1948" t="s">
        <v>42</v>
      </c>
      <c r="G1948" t="s">
        <v>28</v>
      </c>
      <c r="H1948" t="s">
        <v>69</v>
      </c>
      <c r="K1948" t="s">
        <v>4266</v>
      </c>
      <c r="L1948" t="s">
        <v>19</v>
      </c>
      <c r="M1948" t="s">
        <v>63</v>
      </c>
      <c r="N1948" s="2">
        <v>45566</v>
      </c>
      <c r="O1948" s="2">
        <v>45596</v>
      </c>
      <c r="P1948">
        <v>30000</v>
      </c>
      <c r="Q1948">
        <v>30000</v>
      </c>
      <c r="R1948" t="s">
        <v>3125</v>
      </c>
      <c r="S1948" t="s">
        <v>625</v>
      </c>
      <c r="T1948">
        <v>124.9</v>
      </c>
    </row>
    <row r="1949" spans="1:20" x14ac:dyDescent="0.25">
      <c r="A1949" t="s">
        <v>14</v>
      </c>
      <c r="B1949" t="s">
        <v>624</v>
      </c>
      <c r="C1949" t="s">
        <v>4365</v>
      </c>
      <c r="D1949" t="s">
        <v>4366</v>
      </c>
      <c r="E1949">
        <v>47300046316</v>
      </c>
      <c r="F1949" t="s">
        <v>42</v>
      </c>
      <c r="G1949" t="s">
        <v>28</v>
      </c>
      <c r="H1949" t="s">
        <v>69</v>
      </c>
      <c r="K1949" t="s">
        <v>3294</v>
      </c>
      <c r="L1949" t="s">
        <v>19</v>
      </c>
      <c r="M1949" t="s">
        <v>46</v>
      </c>
      <c r="N1949" s="2">
        <v>45566</v>
      </c>
      <c r="O1949" s="2">
        <v>45596</v>
      </c>
      <c r="P1949">
        <v>500</v>
      </c>
      <c r="Q1949">
        <v>500</v>
      </c>
      <c r="R1949" t="s">
        <v>3125</v>
      </c>
    </row>
    <row r="1950" spans="1:20" x14ac:dyDescent="0.25">
      <c r="A1950" t="s">
        <v>14</v>
      </c>
      <c r="B1950" t="s">
        <v>624</v>
      </c>
      <c r="C1950" t="s">
        <v>4365</v>
      </c>
      <c r="D1950" t="s">
        <v>4366</v>
      </c>
      <c r="E1950">
        <v>47300046316</v>
      </c>
      <c r="F1950" t="s">
        <v>42</v>
      </c>
      <c r="G1950" t="s">
        <v>28</v>
      </c>
      <c r="H1950" t="s">
        <v>69</v>
      </c>
      <c r="K1950" t="s">
        <v>3197</v>
      </c>
      <c r="L1950" t="s">
        <v>19</v>
      </c>
      <c r="M1950" t="s">
        <v>46</v>
      </c>
      <c r="N1950" s="2">
        <v>45566</v>
      </c>
      <c r="O1950" s="2">
        <v>45596</v>
      </c>
      <c r="P1950">
        <v>150650</v>
      </c>
      <c r="Q1950">
        <v>150650</v>
      </c>
      <c r="R1950" t="s">
        <v>3125</v>
      </c>
    </row>
    <row r="1951" spans="1:20" x14ac:dyDescent="0.25">
      <c r="A1951" t="s">
        <v>14</v>
      </c>
      <c r="B1951" t="s">
        <v>624</v>
      </c>
      <c r="C1951" t="s">
        <v>4365</v>
      </c>
      <c r="D1951" t="s">
        <v>4366</v>
      </c>
      <c r="E1951">
        <v>47300046316</v>
      </c>
      <c r="F1951" t="s">
        <v>42</v>
      </c>
      <c r="G1951" t="s">
        <v>28</v>
      </c>
      <c r="H1951" t="s">
        <v>69</v>
      </c>
      <c r="K1951" t="s">
        <v>2892</v>
      </c>
      <c r="L1951" t="s">
        <v>19</v>
      </c>
      <c r="M1951" t="s">
        <v>46</v>
      </c>
      <c r="N1951" s="2">
        <v>45566</v>
      </c>
      <c r="O1951" s="2">
        <v>45596</v>
      </c>
      <c r="P1951">
        <v>10000</v>
      </c>
      <c r="Q1951">
        <v>10000</v>
      </c>
      <c r="R1951" t="s">
        <v>3125</v>
      </c>
    </row>
    <row r="1952" spans="1:20" x14ac:dyDescent="0.25">
      <c r="A1952" t="s">
        <v>14</v>
      </c>
      <c r="B1952" t="s">
        <v>622</v>
      </c>
      <c r="C1952" t="s">
        <v>4398</v>
      </c>
      <c r="D1952" t="s">
        <v>4377</v>
      </c>
      <c r="E1952">
        <v>47300070563</v>
      </c>
      <c r="F1952" t="s">
        <v>16</v>
      </c>
      <c r="G1952" t="s">
        <v>28</v>
      </c>
      <c r="H1952" t="s">
        <v>359</v>
      </c>
      <c r="K1952" t="s">
        <v>4266</v>
      </c>
      <c r="L1952" t="s">
        <v>19</v>
      </c>
      <c r="M1952" t="s">
        <v>63</v>
      </c>
      <c r="N1952" s="2">
        <v>45566</v>
      </c>
      <c r="O1952" s="2">
        <v>45596</v>
      </c>
      <c r="P1952">
        <v>150000</v>
      </c>
      <c r="Q1952">
        <v>150000</v>
      </c>
      <c r="R1952" t="s">
        <v>2784</v>
      </c>
      <c r="S1952" t="s">
        <v>623</v>
      </c>
      <c r="T1952">
        <v>624.5</v>
      </c>
    </row>
    <row r="1953" spans="1:20" x14ac:dyDescent="0.25">
      <c r="A1953" t="s">
        <v>14</v>
      </c>
      <c r="B1953" t="s">
        <v>622</v>
      </c>
      <c r="C1953" t="s">
        <v>4380</v>
      </c>
      <c r="D1953" t="s">
        <v>4381</v>
      </c>
      <c r="E1953">
        <v>47300070563</v>
      </c>
      <c r="F1953" t="s">
        <v>16</v>
      </c>
      <c r="G1953" t="s">
        <v>28</v>
      </c>
      <c r="H1953" t="s">
        <v>359</v>
      </c>
      <c r="K1953" t="s">
        <v>3536</v>
      </c>
      <c r="L1953" t="s">
        <v>47</v>
      </c>
      <c r="N1953" s="2">
        <v>45541</v>
      </c>
      <c r="O1953" s="2">
        <v>45539</v>
      </c>
      <c r="P1953">
        <v>64912.4</v>
      </c>
      <c r="Q1953">
        <v>64912.4</v>
      </c>
      <c r="R1953" t="s">
        <v>2784</v>
      </c>
    </row>
    <row r="1954" spans="1:20" x14ac:dyDescent="0.25">
      <c r="A1954" t="s">
        <v>14</v>
      </c>
      <c r="B1954" t="s">
        <v>622</v>
      </c>
      <c r="C1954" t="s">
        <v>4378</v>
      </c>
      <c r="D1954" t="s">
        <v>4379</v>
      </c>
      <c r="E1954">
        <v>47300070563</v>
      </c>
      <c r="F1954" t="s">
        <v>16</v>
      </c>
      <c r="G1954" t="s">
        <v>28</v>
      </c>
      <c r="H1954" t="s">
        <v>359</v>
      </c>
      <c r="K1954" t="s">
        <v>3294</v>
      </c>
      <c r="L1954" t="s">
        <v>19</v>
      </c>
      <c r="M1954" t="s">
        <v>46</v>
      </c>
      <c r="N1954" s="2">
        <v>45566</v>
      </c>
      <c r="O1954" s="2">
        <v>45596</v>
      </c>
      <c r="P1954">
        <v>500</v>
      </c>
      <c r="Q1954">
        <v>500</v>
      </c>
      <c r="R1954" t="s">
        <v>2784</v>
      </c>
    </row>
    <row r="1955" spans="1:20" x14ac:dyDescent="0.25">
      <c r="A1955" t="s">
        <v>14</v>
      </c>
      <c r="B1955" t="s">
        <v>622</v>
      </c>
      <c r="C1955" t="s">
        <v>4365</v>
      </c>
      <c r="D1955" t="s">
        <v>4366</v>
      </c>
      <c r="E1955">
        <v>47300070563</v>
      </c>
      <c r="F1955" t="s">
        <v>16</v>
      </c>
      <c r="G1955" t="s">
        <v>28</v>
      </c>
      <c r="H1955" t="s">
        <v>359</v>
      </c>
      <c r="K1955" t="s">
        <v>3273</v>
      </c>
      <c r="L1955" t="s">
        <v>47</v>
      </c>
      <c r="N1955" s="2">
        <v>45536</v>
      </c>
      <c r="O1955" s="2">
        <v>45565</v>
      </c>
      <c r="P1955">
        <v>500</v>
      </c>
      <c r="Q1955">
        <v>500</v>
      </c>
      <c r="R1955" t="s">
        <v>2784</v>
      </c>
    </row>
    <row r="1956" spans="1:20" x14ac:dyDescent="0.25">
      <c r="A1956" t="s">
        <v>14</v>
      </c>
      <c r="B1956" t="s">
        <v>622</v>
      </c>
      <c r="C1956" t="s">
        <v>4365</v>
      </c>
      <c r="D1956" t="s">
        <v>4366</v>
      </c>
      <c r="E1956">
        <v>47300070563</v>
      </c>
      <c r="F1956" t="s">
        <v>16</v>
      </c>
      <c r="G1956" t="s">
        <v>28</v>
      </c>
      <c r="H1956" t="s">
        <v>359</v>
      </c>
      <c r="K1956" t="s">
        <v>3261</v>
      </c>
      <c r="L1956" t="s">
        <v>19</v>
      </c>
      <c r="M1956" t="s">
        <v>46</v>
      </c>
      <c r="N1956" s="2">
        <v>45566</v>
      </c>
      <c r="O1956" s="2">
        <v>45596</v>
      </c>
      <c r="P1956">
        <v>92732</v>
      </c>
      <c r="Q1956">
        <v>92732</v>
      </c>
      <c r="R1956" t="s">
        <v>2784</v>
      </c>
    </row>
    <row r="1957" spans="1:20" x14ac:dyDescent="0.25">
      <c r="A1957" t="s">
        <v>14</v>
      </c>
      <c r="B1957" t="s">
        <v>622</v>
      </c>
      <c r="C1957" t="s">
        <v>4365</v>
      </c>
      <c r="D1957" t="s">
        <v>4366</v>
      </c>
      <c r="E1957">
        <v>47300070563</v>
      </c>
      <c r="F1957" t="s">
        <v>16</v>
      </c>
      <c r="G1957" t="s">
        <v>28</v>
      </c>
      <c r="H1957" t="s">
        <v>359</v>
      </c>
      <c r="K1957" t="s">
        <v>3259</v>
      </c>
      <c r="L1957" t="s">
        <v>47</v>
      </c>
      <c r="N1957" s="2">
        <v>45536</v>
      </c>
      <c r="O1957" s="2">
        <v>45565</v>
      </c>
      <c r="P1957">
        <v>92732</v>
      </c>
      <c r="Q1957">
        <v>92732</v>
      </c>
      <c r="R1957" t="s">
        <v>2784</v>
      </c>
    </row>
    <row r="1958" spans="1:20" x14ac:dyDescent="0.25">
      <c r="A1958" t="s">
        <v>14</v>
      </c>
      <c r="B1958" t="s">
        <v>622</v>
      </c>
      <c r="C1958" t="s">
        <v>4365</v>
      </c>
      <c r="D1958" t="s">
        <v>4366</v>
      </c>
      <c r="E1958">
        <v>47300070563</v>
      </c>
      <c r="F1958" t="s">
        <v>16</v>
      </c>
      <c r="G1958" t="s">
        <v>28</v>
      </c>
      <c r="H1958" t="s">
        <v>359</v>
      </c>
      <c r="K1958" t="s">
        <v>3197</v>
      </c>
      <c r="L1958" t="s">
        <v>19</v>
      </c>
      <c r="M1958" t="s">
        <v>46</v>
      </c>
      <c r="N1958" s="2">
        <v>45566</v>
      </c>
      <c r="O1958" s="2">
        <v>45596</v>
      </c>
      <c r="P1958">
        <v>150650</v>
      </c>
      <c r="Q1958">
        <v>150650</v>
      </c>
      <c r="R1958" t="s">
        <v>2784</v>
      </c>
    </row>
    <row r="1959" spans="1:20" x14ac:dyDescent="0.25">
      <c r="A1959" t="s">
        <v>14</v>
      </c>
      <c r="B1959" t="s">
        <v>622</v>
      </c>
      <c r="C1959" t="s">
        <v>4398</v>
      </c>
      <c r="D1959" t="s">
        <v>4377</v>
      </c>
      <c r="E1959">
        <v>47300070563</v>
      </c>
      <c r="F1959" t="s">
        <v>16</v>
      </c>
      <c r="G1959" t="s">
        <v>28</v>
      </c>
      <c r="H1959" t="s">
        <v>359</v>
      </c>
      <c r="K1959" t="s">
        <v>3184</v>
      </c>
      <c r="L1959" t="s">
        <v>47</v>
      </c>
      <c r="N1959" s="2">
        <v>45536</v>
      </c>
      <c r="O1959" s="2">
        <v>45565</v>
      </c>
      <c r="P1959">
        <v>150650</v>
      </c>
      <c r="Q1959">
        <v>150650</v>
      </c>
      <c r="R1959" t="s">
        <v>2784</v>
      </c>
    </row>
    <row r="1960" spans="1:20" x14ac:dyDescent="0.25">
      <c r="A1960" t="s">
        <v>14</v>
      </c>
      <c r="B1960" t="s">
        <v>622</v>
      </c>
      <c r="C1960" t="s">
        <v>4378</v>
      </c>
      <c r="D1960" t="s">
        <v>4379</v>
      </c>
      <c r="E1960">
        <v>47300070563</v>
      </c>
      <c r="F1960" t="s">
        <v>16</v>
      </c>
      <c r="G1960" t="s">
        <v>28</v>
      </c>
      <c r="H1960" t="s">
        <v>359</v>
      </c>
      <c r="K1960" t="s">
        <v>2892</v>
      </c>
      <c r="L1960" t="s">
        <v>19</v>
      </c>
      <c r="M1960" t="s">
        <v>46</v>
      </c>
      <c r="N1960" s="2">
        <v>45566</v>
      </c>
      <c r="O1960" s="2">
        <v>45596</v>
      </c>
      <c r="P1960">
        <v>10000</v>
      </c>
      <c r="Q1960">
        <v>10000</v>
      </c>
      <c r="R1960" t="s">
        <v>2784</v>
      </c>
    </row>
    <row r="1961" spans="1:20" x14ac:dyDescent="0.25">
      <c r="A1961" t="s">
        <v>14</v>
      </c>
      <c r="B1961" t="s">
        <v>622</v>
      </c>
      <c r="C1961" t="s">
        <v>4365</v>
      </c>
      <c r="D1961" t="s">
        <v>4366</v>
      </c>
      <c r="E1961">
        <v>47300070563</v>
      </c>
      <c r="F1961" t="s">
        <v>16</v>
      </c>
      <c r="G1961" t="s">
        <v>28</v>
      </c>
      <c r="H1961" t="s">
        <v>359</v>
      </c>
      <c r="K1961" t="s">
        <v>2864</v>
      </c>
      <c r="L1961" t="s">
        <v>47</v>
      </c>
      <c r="N1961" s="2">
        <v>45536</v>
      </c>
      <c r="O1961" s="2">
        <v>45565</v>
      </c>
      <c r="P1961">
        <v>10000</v>
      </c>
      <c r="Q1961">
        <v>10000</v>
      </c>
      <c r="R1961" t="s">
        <v>2784</v>
      </c>
    </row>
    <row r="1962" spans="1:20" x14ac:dyDescent="0.25">
      <c r="A1962" t="s">
        <v>14</v>
      </c>
      <c r="B1962" t="s">
        <v>622</v>
      </c>
      <c r="C1962" t="s">
        <v>4365</v>
      </c>
      <c r="D1962" t="s">
        <v>4366</v>
      </c>
      <c r="E1962">
        <v>47300070563</v>
      </c>
      <c r="F1962" t="s">
        <v>16</v>
      </c>
      <c r="G1962" t="s">
        <v>28</v>
      </c>
      <c r="H1962" t="s">
        <v>359</v>
      </c>
      <c r="K1962" t="s">
        <v>2760</v>
      </c>
      <c r="L1962" t="s">
        <v>47</v>
      </c>
      <c r="N1962" s="2">
        <v>45566</v>
      </c>
      <c r="O1962" s="2">
        <v>45532</v>
      </c>
      <c r="P1962">
        <v>237681.39</v>
      </c>
      <c r="Q1962">
        <v>237681.39</v>
      </c>
      <c r="R1962" t="s">
        <v>2784</v>
      </c>
    </row>
    <row r="1963" spans="1:20" x14ac:dyDescent="0.25">
      <c r="A1963" t="s">
        <v>14</v>
      </c>
      <c r="B1963" t="s">
        <v>620</v>
      </c>
      <c r="C1963" t="s">
        <v>4365</v>
      </c>
      <c r="D1963" t="s">
        <v>4366</v>
      </c>
      <c r="E1963">
        <v>47300070563</v>
      </c>
      <c r="F1963" t="s">
        <v>16</v>
      </c>
      <c r="G1963" t="s">
        <v>28</v>
      </c>
      <c r="H1963" t="s">
        <v>359</v>
      </c>
      <c r="K1963" t="s">
        <v>3795</v>
      </c>
      <c r="L1963" t="s">
        <v>19</v>
      </c>
      <c r="M1963" t="s">
        <v>20</v>
      </c>
      <c r="P1963">
        <v>50000</v>
      </c>
      <c r="Q1963">
        <v>50000</v>
      </c>
      <c r="R1963" t="s">
        <v>4088</v>
      </c>
      <c r="S1963" t="s">
        <v>621</v>
      </c>
      <c r="T1963">
        <v>208.1</v>
      </c>
    </row>
    <row r="1964" spans="1:20" x14ac:dyDescent="0.25">
      <c r="A1964" t="s">
        <v>14</v>
      </c>
      <c r="B1964" t="s">
        <v>618</v>
      </c>
      <c r="C1964" t="s">
        <v>4398</v>
      </c>
      <c r="D1964" t="s">
        <v>4377</v>
      </c>
      <c r="E1964">
        <v>47300070563</v>
      </c>
      <c r="F1964" t="s">
        <v>16</v>
      </c>
      <c r="G1964" t="s">
        <v>28</v>
      </c>
      <c r="H1964" t="s">
        <v>359</v>
      </c>
      <c r="K1964" t="s">
        <v>3795</v>
      </c>
      <c r="L1964" t="s">
        <v>19</v>
      </c>
      <c r="M1964" t="s">
        <v>20</v>
      </c>
      <c r="P1964">
        <v>40500</v>
      </c>
      <c r="Q1964">
        <v>40500</v>
      </c>
      <c r="R1964" t="s">
        <v>4089</v>
      </c>
      <c r="S1964" t="s">
        <v>619</v>
      </c>
      <c r="T1964">
        <v>168.6</v>
      </c>
    </row>
    <row r="1965" spans="1:20" x14ac:dyDescent="0.25">
      <c r="A1965" t="s">
        <v>14</v>
      </c>
      <c r="B1965" t="s">
        <v>616</v>
      </c>
      <c r="C1965" t="s">
        <v>4365</v>
      </c>
      <c r="D1965" t="s">
        <v>4366</v>
      </c>
      <c r="E1965">
        <v>47300046761</v>
      </c>
      <c r="F1965" t="s">
        <v>42</v>
      </c>
      <c r="G1965" t="s">
        <v>28</v>
      </c>
      <c r="H1965" t="s">
        <v>43</v>
      </c>
      <c r="K1965" t="s">
        <v>3795</v>
      </c>
      <c r="L1965" t="s">
        <v>19</v>
      </c>
      <c r="M1965" t="s">
        <v>20</v>
      </c>
      <c r="P1965">
        <v>25000</v>
      </c>
      <c r="Q1965">
        <v>25000</v>
      </c>
      <c r="R1965" t="s">
        <v>4090</v>
      </c>
      <c r="S1965" t="s">
        <v>617</v>
      </c>
      <c r="T1965">
        <v>104.1</v>
      </c>
    </row>
    <row r="1966" spans="1:20" x14ac:dyDescent="0.25">
      <c r="A1966" t="s">
        <v>14</v>
      </c>
      <c r="B1966" t="s">
        <v>614</v>
      </c>
      <c r="C1966" t="s">
        <v>4398</v>
      </c>
      <c r="D1966" t="s">
        <v>4399</v>
      </c>
      <c r="E1966">
        <v>47300026094</v>
      </c>
      <c r="F1966" t="s">
        <v>35</v>
      </c>
      <c r="G1966" t="s">
        <v>36</v>
      </c>
      <c r="H1966" t="s">
        <v>4359</v>
      </c>
      <c r="K1966" t="s">
        <v>3795</v>
      </c>
      <c r="L1966" t="s">
        <v>19</v>
      </c>
      <c r="M1966" t="s">
        <v>20</v>
      </c>
      <c r="P1966">
        <v>100000</v>
      </c>
      <c r="Q1966">
        <v>100000</v>
      </c>
      <c r="R1966" t="s">
        <v>4091</v>
      </c>
      <c r="S1966" t="s">
        <v>615</v>
      </c>
      <c r="T1966">
        <v>416.3</v>
      </c>
    </row>
    <row r="1967" spans="1:20" x14ac:dyDescent="0.25">
      <c r="A1967" t="s">
        <v>14</v>
      </c>
      <c r="B1967" t="s">
        <v>612</v>
      </c>
      <c r="C1967" t="s">
        <v>4371</v>
      </c>
      <c r="D1967" t="s">
        <v>4368</v>
      </c>
      <c r="E1967">
        <v>47300025708</v>
      </c>
      <c r="F1967" t="s">
        <v>35</v>
      </c>
      <c r="G1967" t="s">
        <v>36</v>
      </c>
      <c r="H1967" t="s">
        <v>4360</v>
      </c>
      <c r="K1967" t="s">
        <v>3795</v>
      </c>
      <c r="L1967" t="s">
        <v>19</v>
      </c>
      <c r="M1967" t="s">
        <v>20</v>
      </c>
      <c r="P1967">
        <v>50000</v>
      </c>
      <c r="Q1967">
        <v>50000</v>
      </c>
      <c r="R1967" t="s">
        <v>4092</v>
      </c>
      <c r="S1967" t="s">
        <v>613</v>
      </c>
      <c r="T1967">
        <v>208.1</v>
      </c>
    </row>
    <row r="1968" spans="1:20" x14ac:dyDescent="0.25">
      <c r="A1968" t="s">
        <v>14</v>
      </c>
      <c r="B1968" t="s">
        <v>610</v>
      </c>
      <c r="C1968" t="s">
        <v>4367</v>
      </c>
      <c r="D1968" t="s">
        <v>4368</v>
      </c>
      <c r="E1968">
        <v>47300046779</v>
      </c>
      <c r="F1968" t="s">
        <v>42</v>
      </c>
      <c r="G1968" t="s">
        <v>28</v>
      </c>
      <c r="H1968" t="s">
        <v>199</v>
      </c>
      <c r="K1968" t="s">
        <v>4266</v>
      </c>
      <c r="L1968" t="s">
        <v>19</v>
      </c>
      <c r="M1968" t="s">
        <v>63</v>
      </c>
      <c r="N1968" s="2">
        <v>45566</v>
      </c>
      <c r="O1968" s="2">
        <v>45596</v>
      </c>
      <c r="P1968">
        <v>100000</v>
      </c>
      <c r="Q1968">
        <v>100000</v>
      </c>
      <c r="R1968" t="s">
        <v>4312</v>
      </c>
      <c r="S1968" t="s">
        <v>611</v>
      </c>
      <c r="T1968">
        <v>416.3</v>
      </c>
    </row>
    <row r="1969" spans="1:20" x14ac:dyDescent="0.25">
      <c r="A1969" t="s">
        <v>14</v>
      </c>
      <c r="B1969" t="s">
        <v>608</v>
      </c>
      <c r="C1969" t="s">
        <v>2927</v>
      </c>
      <c r="D1969" t="s">
        <v>4385</v>
      </c>
      <c r="E1969">
        <v>47300070654</v>
      </c>
      <c r="F1969" t="s">
        <v>16</v>
      </c>
      <c r="G1969" t="s">
        <v>28</v>
      </c>
      <c r="H1969" t="s">
        <v>217</v>
      </c>
      <c r="K1969" t="s">
        <v>4341</v>
      </c>
      <c r="L1969" t="s">
        <v>47</v>
      </c>
      <c r="N1969" s="2">
        <v>45536</v>
      </c>
      <c r="O1969" s="2">
        <v>45565</v>
      </c>
      <c r="P1969">
        <v>5150</v>
      </c>
      <c r="Q1969">
        <v>5150</v>
      </c>
      <c r="R1969" t="s">
        <v>3126</v>
      </c>
    </row>
    <row r="1970" spans="1:20" x14ac:dyDescent="0.25">
      <c r="A1970" t="s">
        <v>14</v>
      </c>
      <c r="B1970" t="s">
        <v>608</v>
      </c>
      <c r="C1970" t="s">
        <v>4365</v>
      </c>
      <c r="D1970" t="s">
        <v>4403</v>
      </c>
      <c r="E1970">
        <v>47300070654</v>
      </c>
      <c r="F1970" t="s">
        <v>16</v>
      </c>
      <c r="G1970" t="s">
        <v>28</v>
      </c>
      <c r="H1970" t="s">
        <v>217</v>
      </c>
      <c r="K1970" t="s">
        <v>4266</v>
      </c>
      <c r="L1970" t="s">
        <v>19</v>
      </c>
      <c r="M1970" t="s">
        <v>63</v>
      </c>
      <c r="N1970" s="2">
        <v>45566</v>
      </c>
      <c r="O1970" s="2">
        <v>45596</v>
      </c>
      <c r="P1970">
        <v>70000</v>
      </c>
      <c r="Q1970">
        <v>70000</v>
      </c>
      <c r="R1970" t="s">
        <v>3126</v>
      </c>
      <c r="S1970" t="s">
        <v>609</v>
      </c>
      <c r="T1970">
        <v>291.39999999999998</v>
      </c>
    </row>
    <row r="1971" spans="1:20" x14ac:dyDescent="0.25">
      <c r="A1971" t="s">
        <v>14</v>
      </c>
      <c r="B1971" t="s">
        <v>608</v>
      </c>
      <c r="C1971" t="s">
        <v>4402</v>
      </c>
      <c r="D1971" t="s">
        <v>4379</v>
      </c>
      <c r="E1971">
        <v>47300070654</v>
      </c>
      <c r="F1971" t="s">
        <v>16</v>
      </c>
      <c r="G1971" t="s">
        <v>28</v>
      </c>
      <c r="H1971" t="s">
        <v>217</v>
      </c>
      <c r="K1971" t="s">
        <v>3294</v>
      </c>
      <c r="L1971" t="s">
        <v>19</v>
      </c>
      <c r="M1971" t="s">
        <v>46</v>
      </c>
      <c r="N1971" s="2">
        <v>45566</v>
      </c>
      <c r="O1971" s="2">
        <v>45596</v>
      </c>
      <c r="P1971">
        <v>500</v>
      </c>
      <c r="Q1971">
        <v>500</v>
      </c>
      <c r="R1971" t="s">
        <v>3126</v>
      </c>
    </row>
    <row r="1972" spans="1:20" x14ac:dyDescent="0.25">
      <c r="A1972" t="s">
        <v>14</v>
      </c>
      <c r="B1972" t="s">
        <v>608</v>
      </c>
      <c r="C1972" t="s">
        <v>2927</v>
      </c>
      <c r="D1972" t="s">
        <v>4385</v>
      </c>
      <c r="E1972">
        <v>47300070654</v>
      </c>
      <c r="F1972" t="s">
        <v>16</v>
      </c>
      <c r="G1972" t="s">
        <v>28</v>
      </c>
      <c r="H1972" t="s">
        <v>217</v>
      </c>
      <c r="K1972" t="s">
        <v>3261</v>
      </c>
      <c r="L1972" t="s">
        <v>19</v>
      </c>
      <c r="M1972" t="s">
        <v>46</v>
      </c>
      <c r="N1972" s="2">
        <v>45566</v>
      </c>
      <c r="O1972" s="2">
        <v>45596</v>
      </c>
      <c r="P1972">
        <v>92732</v>
      </c>
      <c r="Q1972">
        <v>92732</v>
      </c>
      <c r="R1972" t="s">
        <v>3126</v>
      </c>
    </row>
    <row r="1973" spans="1:20" x14ac:dyDescent="0.25">
      <c r="A1973" t="s">
        <v>14</v>
      </c>
      <c r="B1973" t="s">
        <v>608</v>
      </c>
      <c r="C1973" t="s">
        <v>4400</v>
      </c>
      <c r="D1973" t="s">
        <v>4401</v>
      </c>
      <c r="E1973">
        <v>47300070654</v>
      </c>
      <c r="F1973" t="s">
        <v>16</v>
      </c>
      <c r="G1973" t="s">
        <v>28</v>
      </c>
      <c r="H1973" t="s">
        <v>217</v>
      </c>
      <c r="K1973" t="s">
        <v>3259</v>
      </c>
      <c r="L1973" t="s">
        <v>47</v>
      </c>
      <c r="N1973" s="2">
        <v>45536</v>
      </c>
      <c r="O1973" s="2">
        <v>45565</v>
      </c>
      <c r="P1973">
        <v>92732</v>
      </c>
      <c r="Q1973">
        <v>92732</v>
      </c>
      <c r="R1973" t="s">
        <v>3126</v>
      </c>
    </row>
    <row r="1974" spans="1:20" x14ac:dyDescent="0.25">
      <c r="A1974" t="s">
        <v>14</v>
      </c>
      <c r="B1974" t="s">
        <v>608</v>
      </c>
      <c r="C1974" t="s">
        <v>4387</v>
      </c>
      <c r="D1974" t="s">
        <v>4388</v>
      </c>
      <c r="E1974">
        <v>47300070654</v>
      </c>
      <c r="F1974" t="s">
        <v>16</v>
      </c>
      <c r="G1974" t="s">
        <v>28</v>
      </c>
      <c r="H1974" t="s">
        <v>217</v>
      </c>
      <c r="K1974" t="s">
        <v>3197</v>
      </c>
      <c r="L1974" t="s">
        <v>19</v>
      </c>
      <c r="M1974" t="s">
        <v>46</v>
      </c>
      <c r="N1974" s="2">
        <v>45566</v>
      </c>
      <c r="O1974" s="2">
        <v>45596</v>
      </c>
      <c r="P1974">
        <v>150650</v>
      </c>
      <c r="Q1974">
        <v>150650</v>
      </c>
      <c r="R1974" t="s">
        <v>3126</v>
      </c>
    </row>
    <row r="1975" spans="1:20" x14ac:dyDescent="0.25">
      <c r="A1975" t="s">
        <v>14</v>
      </c>
      <c r="B1975" t="s">
        <v>608</v>
      </c>
      <c r="C1975" t="s">
        <v>4365</v>
      </c>
      <c r="D1975" t="s">
        <v>4403</v>
      </c>
      <c r="E1975">
        <v>47300070654</v>
      </c>
      <c r="F1975" t="s">
        <v>16</v>
      </c>
      <c r="G1975" t="s">
        <v>28</v>
      </c>
      <c r="H1975" t="s">
        <v>217</v>
      </c>
      <c r="K1975" t="s">
        <v>2892</v>
      </c>
      <c r="L1975" t="s">
        <v>19</v>
      </c>
      <c r="M1975" t="s">
        <v>46</v>
      </c>
      <c r="N1975" s="2">
        <v>45566</v>
      </c>
      <c r="O1975" s="2">
        <v>45596</v>
      </c>
      <c r="P1975">
        <v>10000</v>
      </c>
      <c r="Q1975">
        <v>10000</v>
      </c>
      <c r="R1975" t="s">
        <v>3126</v>
      </c>
    </row>
    <row r="1976" spans="1:20" x14ac:dyDescent="0.25">
      <c r="A1976" t="s">
        <v>14</v>
      </c>
      <c r="B1976" t="s">
        <v>607</v>
      </c>
      <c r="C1976" t="s">
        <v>2927</v>
      </c>
      <c r="D1976" t="s">
        <v>4385</v>
      </c>
      <c r="E1976">
        <v>47300070597</v>
      </c>
      <c r="F1976" t="s">
        <v>16</v>
      </c>
      <c r="G1976" t="s">
        <v>28</v>
      </c>
      <c r="H1976" t="s">
        <v>77</v>
      </c>
      <c r="K1976" t="s">
        <v>3273</v>
      </c>
      <c r="L1976" t="s">
        <v>47</v>
      </c>
      <c r="N1976" s="2">
        <v>45536</v>
      </c>
      <c r="O1976" s="2">
        <v>45565</v>
      </c>
      <c r="P1976">
        <v>500</v>
      </c>
      <c r="Q1976">
        <v>500</v>
      </c>
      <c r="R1976" t="s">
        <v>2870</v>
      </c>
    </row>
    <row r="1977" spans="1:20" x14ac:dyDescent="0.25">
      <c r="A1977" t="s">
        <v>14</v>
      </c>
      <c r="B1977" t="s">
        <v>607</v>
      </c>
      <c r="C1977" t="s">
        <v>4365</v>
      </c>
      <c r="D1977" t="s">
        <v>4403</v>
      </c>
      <c r="E1977">
        <v>47300070597</v>
      </c>
      <c r="F1977" t="s">
        <v>16</v>
      </c>
      <c r="G1977" t="s">
        <v>28</v>
      </c>
      <c r="H1977" t="s">
        <v>77</v>
      </c>
      <c r="K1977" t="s">
        <v>3259</v>
      </c>
      <c r="L1977" t="s">
        <v>47</v>
      </c>
      <c r="N1977" s="2">
        <v>45536</v>
      </c>
      <c r="O1977" s="2">
        <v>45565</v>
      </c>
      <c r="P1977">
        <v>92732</v>
      </c>
      <c r="Q1977">
        <v>92732</v>
      </c>
      <c r="R1977" t="s">
        <v>2870</v>
      </c>
    </row>
    <row r="1978" spans="1:20" x14ac:dyDescent="0.25">
      <c r="A1978" t="s">
        <v>14</v>
      </c>
      <c r="B1978" t="s">
        <v>607</v>
      </c>
      <c r="C1978" t="s">
        <v>2927</v>
      </c>
      <c r="D1978" t="s">
        <v>4375</v>
      </c>
      <c r="E1978">
        <v>47300070597</v>
      </c>
      <c r="F1978" t="s">
        <v>16</v>
      </c>
      <c r="G1978" t="s">
        <v>28</v>
      </c>
      <c r="H1978" t="s">
        <v>77</v>
      </c>
      <c r="K1978" t="s">
        <v>3184</v>
      </c>
      <c r="L1978" t="s">
        <v>47</v>
      </c>
      <c r="N1978" s="2">
        <v>45536</v>
      </c>
      <c r="O1978" s="2">
        <v>45565</v>
      </c>
      <c r="P1978">
        <v>150650</v>
      </c>
      <c r="Q1978">
        <v>150650</v>
      </c>
      <c r="R1978" t="s">
        <v>2870</v>
      </c>
    </row>
    <row r="1979" spans="1:20" x14ac:dyDescent="0.25">
      <c r="A1979" t="s">
        <v>14</v>
      </c>
      <c r="B1979" t="s">
        <v>607</v>
      </c>
      <c r="C1979" t="s">
        <v>4402</v>
      </c>
      <c r="D1979" t="s">
        <v>4379</v>
      </c>
      <c r="E1979">
        <v>47300070597</v>
      </c>
      <c r="F1979" t="s">
        <v>16</v>
      </c>
      <c r="G1979" t="s">
        <v>28</v>
      </c>
      <c r="H1979" t="s">
        <v>77</v>
      </c>
      <c r="K1979" t="s">
        <v>2864</v>
      </c>
      <c r="L1979" t="s">
        <v>47</v>
      </c>
      <c r="N1979" s="2">
        <v>45536</v>
      </c>
      <c r="O1979" s="2">
        <v>45565</v>
      </c>
      <c r="P1979">
        <v>10000</v>
      </c>
      <c r="Q1979">
        <v>10000</v>
      </c>
      <c r="R1979" t="s">
        <v>2870</v>
      </c>
    </row>
    <row r="1980" spans="1:20" x14ac:dyDescent="0.25">
      <c r="A1980" t="s">
        <v>14</v>
      </c>
      <c r="B1980" t="s">
        <v>606</v>
      </c>
      <c r="C1980" t="s">
        <v>4365</v>
      </c>
      <c r="D1980" t="s">
        <v>4403</v>
      </c>
      <c r="E1980">
        <v>47300070837</v>
      </c>
      <c r="F1980" t="s">
        <v>16</v>
      </c>
      <c r="G1980" t="s">
        <v>23</v>
      </c>
      <c r="H1980" t="s">
        <v>165</v>
      </c>
      <c r="K1980" t="s">
        <v>4344</v>
      </c>
      <c r="L1980" t="s">
        <v>47</v>
      </c>
      <c r="N1980" s="2">
        <v>45587</v>
      </c>
      <c r="O1980" s="2">
        <v>45587</v>
      </c>
      <c r="P1980">
        <v>602600</v>
      </c>
      <c r="Q1980">
        <v>602600</v>
      </c>
      <c r="R1980" t="s">
        <v>2785</v>
      </c>
    </row>
    <row r="1981" spans="1:20" x14ac:dyDescent="0.25">
      <c r="A1981" t="s">
        <v>14</v>
      </c>
      <c r="B1981" t="s">
        <v>606</v>
      </c>
      <c r="C1981" t="s">
        <v>2927</v>
      </c>
      <c r="D1981" t="s">
        <v>4385</v>
      </c>
      <c r="E1981">
        <v>47300070837</v>
      </c>
      <c r="F1981" t="s">
        <v>16</v>
      </c>
      <c r="G1981" t="s">
        <v>23</v>
      </c>
      <c r="H1981" t="s">
        <v>165</v>
      </c>
      <c r="K1981" t="s">
        <v>3259</v>
      </c>
      <c r="L1981" t="s">
        <v>47</v>
      </c>
      <c r="N1981" s="2">
        <v>45536</v>
      </c>
      <c r="O1981" s="2">
        <v>45565</v>
      </c>
      <c r="P1981">
        <v>92732</v>
      </c>
      <c r="Q1981">
        <v>92732</v>
      </c>
      <c r="R1981" t="s">
        <v>2785</v>
      </c>
    </row>
    <row r="1982" spans="1:20" x14ac:dyDescent="0.25">
      <c r="A1982" t="s">
        <v>14</v>
      </c>
      <c r="B1982" t="s">
        <v>606</v>
      </c>
      <c r="C1982" t="s">
        <v>2927</v>
      </c>
      <c r="D1982" t="s">
        <v>4375</v>
      </c>
      <c r="E1982">
        <v>47300070837</v>
      </c>
      <c r="F1982" t="s">
        <v>16</v>
      </c>
      <c r="G1982" t="s">
        <v>23</v>
      </c>
      <c r="H1982" t="s">
        <v>165</v>
      </c>
      <c r="K1982" t="s">
        <v>3184</v>
      </c>
      <c r="L1982" t="s">
        <v>47</v>
      </c>
      <c r="N1982" s="2">
        <v>45536</v>
      </c>
      <c r="O1982" s="2">
        <v>45565</v>
      </c>
      <c r="P1982">
        <v>150650</v>
      </c>
      <c r="Q1982">
        <v>150650</v>
      </c>
      <c r="R1982" t="s">
        <v>2785</v>
      </c>
    </row>
    <row r="1983" spans="1:20" x14ac:dyDescent="0.25">
      <c r="A1983" t="s">
        <v>14</v>
      </c>
      <c r="B1983" t="s">
        <v>606</v>
      </c>
      <c r="C1983" t="s">
        <v>4365</v>
      </c>
      <c r="D1983" t="s">
        <v>4403</v>
      </c>
      <c r="E1983">
        <v>47300070837</v>
      </c>
      <c r="F1983" t="s">
        <v>16</v>
      </c>
      <c r="G1983" t="s">
        <v>23</v>
      </c>
      <c r="H1983" t="s">
        <v>165</v>
      </c>
      <c r="K1983" t="s">
        <v>2760</v>
      </c>
      <c r="L1983" t="s">
        <v>47</v>
      </c>
      <c r="N1983" s="2">
        <v>45566</v>
      </c>
      <c r="O1983" s="2">
        <v>45532</v>
      </c>
      <c r="P1983">
        <v>237681.39</v>
      </c>
      <c r="Q1983">
        <v>237681.39</v>
      </c>
      <c r="R1983" t="s">
        <v>2785</v>
      </c>
    </row>
    <row r="1984" spans="1:20" x14ac:dyDescent="0.25">
      <c r="A1984" t="s">
        <v>14</v>
      </c>
      <c r="B1984" t="s">
        <v>604</v>
      </c>
      <c r="C1984" t="s">
        <v>2927</v>
      </c>
      <c r="D1984" t="s">
        <v>4385</v>
      </c>
      <c r="E1984">
        <v>47300046761</v>
      </c>
      <c r="F1984" t="s">
        <v>42</v>
      </c>
      <c r="G1984" t="s">
        <v>28</v>
      </c>
      <c r="H1984" t="s">
        <v>43</v>
      </c>
      <c r="K1984" t="s">
        <v>3795</v>
      </c>
      <c r="L1984" t="s">
        <v>19</v>
      </c>
      <c r="M1984" t="s">
        <v>20</v>
      </c>
      <c r="P1984">
        <v>25000</v>
      </c>
      <c r="Q1984">
        <v>25000</v>
      </c>
      <c r="R1984" t="s">
        <v>4093</v>
      </c>
      <c r="S1984" t="s">
        <v>605</v>
      </c>
      <c r="T1984">
        <v>104</v>
      </c>
    </row>
    <row r="1985" spans="1:20" x14ac:dyDescent="0.25">
      <c r="A1985" t="s">
        <v>14</v>
      </c>
      <c r="B1985" t="s">
        <v>602</v>
      </c>
      <c r="C1985" t="s">
        <v>4365</v>
      </c>
      <c r="D1985" t="s">
        <v>4403</v>
      </c>
      <c r="E1985">
        <v>47300070522</v>
      </c>
      <c r="F1985" t="s">
        <v>16</v>
      </c>
      <c r="G1985" t="s">
        <v>17</v>
      </c>
      <c r="H1985" t="s">
        <v>18</v>
      </c>
      <c r="K1985" t="s">
        <v>3795</v>
      </c>
      <c r="L1985" t="s">
        <v>19</v>
      </c>
      <c r="M1985" t="s">
        <v>20</v>
      </c>
      <c r="P1985">
        <v>20000</v>
      </c>
      <c r="Q1985">
        <v>20000</v>
      </c>
      <c r="R1985" t="s">
        <v>4094</v>
      </c>
      <c r="S1985" t="s">
        <v>603</v>
      </c>
      <c r="T1985">
        <v>83.2</v>
      </c>
    </row>
    <row r="1986" spans="1:20" x14ac:dyDescent="0.25">
      <c r="A1986" t="s">
        <v>14</v>
      </c>
      <c r="B1986" t="s">
        <v>600</v>
      </c>
      <c r="C1986" t="s">
        <v>2927</v>
      </c>
      <c r="D1986" t="s">
        <v>4375</v>
      </c>
      <c r="E1986">
        <v>47300046365</v>
      </c>
      <c r="F1986" t="s">
        <v>16</v>
      </c>
      <c r="G1986" t="s">
        <v>28</v>
      </c>
      <c r="H1986" t="s">
        <v>62</v>
      </c>
      <c r="K1986" t="s">
        <v>4266</v>
      </c>
      <c r="L1986" t="s">
        <v>19</v>
      </c>
      <c r="M1986" t="s">
        <v>63</v>
      </c>
      <c r="N1986" s="2">
        <v>45566</v>
      </c>
      <c r="O1986" s="2">
        <v>45596</v>
      </c>
      <c r="P1986">
        <v>50000</v>
      </c>
      <c r="Q1986">
        <v>50000</v>
      </c>
      <c r="R1986" t="s">
        <v>2786</v>
      </c>
      <c r="S1986" t="s">
        <v>601</v>
      </c>
      <c r="T1986">
        <v>208.1</v>
      </c>
    </row>
    <row r="1987" spans="1:20" x14ac:dyDescent="0.25">
      <c r="A1987" t="s">
        <v>14</v>
      </c>
      <c r="B1987" t="s">
        <v>600</v>
      </c>
      <c r="C1987" t="s">
        <v>4402</v>
      </c>
      <c r="D1987" t="s">
        <v>4379</v>
      </c>
      <c r="E1987">
        <v>47300046365</v>
      </c>
      <c r="F1987" t="s">
        <v>16</v>
      </c>
      <c r="G1987" t="s">
        <v>28</v>
      </c>
      <c r="H1987" t="s">
        <v>62</v>
      </c>
      <c r="K1987" t="s">
        <v>3294</v>
      </c>
      <c r="L1987" t="s">
        <v>19</v>
      </c>
      <c r="M1987" t="s">
        <v>46</v>
      </c>
      <c r="N1987" s="2">
        <v>45566</v>
      </c>
      <c r="O1987" s="2">
        <v>45596</v>
      </c>
      <c r="P1987">
        <v>500</v>
      </c>
      <c r="Q1987">
        <v>500</v>
      </c>
      <c r="R1987" t="s">
        <v>2786</v>
      </c>
    </row>
    <row r="1988" spans="1:20" x14ac:dyDescent="0.25">
      <c r="A1988" t="s">
        <v>14</v>
      </c>
      <c r="B1988" t="s">
        <v>600</v>
      </c>
      <c r="C1988" t="s">
        <v>2927</v>
      </c>
      <c r="D1988" t="s">
        <v>4385</v>
      </c>
      <c r="E1988">
        <v>47300046365</v>
      </c>
      <c r="F1988" t="s">
        <v>16</v>
      </c>
      <c r="G1988" t="s">
        <v>28</v>
      </c>
      <c r="H1988" t="s">
        <v>62</v>
      </c>
      <c r="K1988" t="s">
        <v>3261</v>
      </c>
      <c r="L1988" t="s">
        <v>19</v>
      </c>
      <c r="M1988" t="s">
        <v>46</v>
      </c>
      <c r="N1988" s="2">
        <v>45566</v>
      </c>
      <c r="O1988" s="2">
        <v>45596</v>
      </c>
      <c r="P1988">
        <v>92732</v>
      </c>
      <c r="Q1988">
        <v>92732</v>
      </c>
      <c r="R1988" t="s">
        <v>2786</v>
      </c>
    </row>
    <row r="1989" spans="1:20" x14ac:dyDescent="0.25">
      <c r="A1989" t="s">
        <v>14</v>
      </c>
      <c r="B1989" t="s">
        <v>600</v>
      </c>
      <c r="C1989" t="s">
        <v>2927</v>
      </c>
      <c r="D1989" t="s">
        <v>4375</v>
      </c>
      <c r="E1989">
        <v>47300046365</v>
      </c>
      <c r="F1989" t="s">
        <v>16</v>
      </c>
      <c r="G1989" t="s">
        <v>28</v>
      </c>
      <c r="H1989" t="s">
        <v>62</v>
      </c>
      <c r="K1989" t="s">
        <v>3197</v>
      </c>
      <c r="L1989" t="s">
        <v>19</v>
      </c>
      <c r="M1989" t="s">
        <v>46</v>
      </c>
      <c r="N1989" s="2">
        <v>45566</v>
      </c>
      <c r="O1989" s="2">
        <v>45596</v>
      </c>
      <c r="P1989">
        <v>150650</v>
      </c>
      <c r="Q1989">
        <v>150650</v>
      </c>
      <c r="R1989" t="s">
        <v>2786</v>
      </c>
    </row>
    <row r="1990" spans="1:20" x14ac:dyDescent="0.25">
      <c r="A1990" t="s">
        <v>14</v>
      </c>
      <c r="B1990" t="s">
        <v>600</v>
      </c>
      <c r="C1990" t="s">
        <v>2927</v>
      </c>
      <c r="D1990" t="s">
        <v>4385</v>
      </c>
      <c r="E1990">
        <v>47300046365</v>
      </c>
      <c r="F1990" t="s">
        <v>16</v>
      </c>
      <c r="G1990" t="s">
        <v>28</v>
      </c>
      <c r="H1990" t="s">
        <v>62</v>
      </c>
      <c r="K1990" t="s">
        <v>2892</v>
      </c>
      <c r="L1990" t="s">
        <v>19</v>
      </c>
      <c r="M1990" t="s">
        <v>46</v>
      </c>
      <c r="N1990" s="2">
        <v>45566</v>
      </c>
      <c r="O1990" s="2">
        <v>45596</v>
      </c>
      <c r="P1990">
        <v>10000</v>
      </c>
      <c r="Q1990">
        <v>10000</v>
      </c>
      <c r="R1990" t="s">
        <v>2786</v>
      </c>
    </row>
    <row r="1991" spans="1:20" x14ac:dyDescent="0.25">
      <c r="A1991" t="s">
        <v>14</v>
      </c>
      <c r="B1991" t="s">
        <v>600</v>
      </c>
      <c r="C1991" t="s">
        <v>4365</v>
      </c>
      <c r="D1991" t="s">
        <v>4403</v>
      </c>
      <c r="E1991">
        <v>47300046365</v>
      </c>
      <c r="F1991" t="s">
        <v>16</v>
      </c>
      <c r="G1991" t="s">
        <v>28</v>
      </c>
      <c r="H1991" t="s">
        <v>62</v>
      </c>
      <c r="K1991" t="s">
        <v>2851</v>
      </c>
      <c r="L1991" t="s">
        <v>47</v>
      </c>
      <c r="N1991" s="2">
        <v>45574</v>
      </c>
      <c r="O1991" s="2">
        <v>45574</v>
      </c>
      <c r="P1991">
        <v>5000</v>
      </c>
      <c r="Q1991">
        <v>5000</v>
      </c>
      <c r="R1991" t="s">
        <v>2786</v>
      </c>
    </row>
    <row r="1992" spans="1:20" x14ac:dyDescent="0.25">
      <c r="A1992" t="s">
        <v>14</v>
      </c>
      <c r="B1992" t="s">
        <v>600</v>
      </c>
      <c r="C1992" t="s">
        <v>4402</v>
      </c>
      <c r="D1992" t="s">
        <v>4379</v>
      </c>
      <c r="E1992">
        <v>47300046365</v>
      </c>
      <c r="F1992" t="s">
        <v>16</v>
      </c>
      <c r="G1992" t="s">
        <v>28</v>
      </c>
      <c r="H1992" t="s">
        <v>62</v>
      </c>
      <c r="K1992" t="s">
        <v>2760</v>
      </c>
      <c r="L1992" t="s">
        <v>47</v>
      </c>
      <c r="N1992" s="2">
        <v>45566</v>
      </c>
      <c r="O1992" s="2">
        <v>45532</v>
      </c>
      <c r="P1992">
        <v>237681.39</v>
      </c>
      <c r="Q1992">
        <v>237681.39</v>
      </c>
      <c r="R1992" t="s">
        <v>2786</v>
      </c>
    </row>
    <row r="1993" spans="1:20" x14ac:dyDescent="0.25">
      <c r="A1993" t="s">
        <v>14</v>
      </c>
      <c r="B1993" t="s">
        <v>598</v>
      </c>
      <c r="C1993" t="s">
        <v>4386</v>
      </c>
      <c r="D1993" t="s">
        <v>4368</v>
      </c>
      <c r="E1993">
        <v>47300046688</v>
      </c>
      <c r="F1993" t="s">
        <v>16</v>
      </c>
      <c r="G1993" t="s">
        <v>17</v>
      </c>
      <c r="H1993" t="s">
        <v>154</v>
      </c>
      <c r="K1993" t="s">
        <v>3795</v>
      </c>
      <c r="L1993" t="s">
        <v>19</v>
      </c>
      <c r="M1993" t="s">
        <v>20</v>
      </c>
      <c r="P1993">
        <v>53000</v>
      </c>
      <c r="Q1993">
        <v>53000</v>
      </c>
      <c r="R1993" t="s">
        <v>4095</v>
      </c>
      <c r="S1993" t="s">
        <v>599</v>
      </c>
      <c r="T1993">
        <v>220.7</v>
      </c>
    </row>
    <row r="1994" spans="1:20" x14ac:dyDescent="0.25">
      <c r="A1994" t="s">
        <v>14</v>
      </c>
      <c r="B1994" t="s">
        <v>596</v>
      </c>
      <c r="C1994" t="s">
        <v>4409</v>
      </c>
      <c r="D1994" t="s">
        <v>4410</v>
      </c>
      <c r="E1994">
        <v>47300026185</v>
      </c>
      <c r="F1994" t="s">
        <v>35</v>
      </c>
      <c r="G1994" t="s">
        <v>36</v>
      </c>
      <c r="H1994" t="s">
        <v>4361</v>
      </c>
      <c r="K1994" t="s">
        <v>4266</v>
      </c>
      <c r="L1994" t="s">
        <v>19</v>
      </c>
      <c r="M1994" t="s">
        <v>63</v>
      </c>
      <c r="N1994" s="2">
        <v>45566</v>
      </c>
      <c r="O1994" s="2">
        <v>45596</v>
      </c>
      <c r="P1994">
        <v>50000</v>
      </c>
      <c r="Q1994">
        <v>50000</v>
      </c>
      <c r="R1994" t="s">
        <v>3462</v>
      </c>
      <c r="S1994" t="s">
        <v>597</v>
      </c>
      <c r="T1994">
        <v>208.1</v>
      </c>
    </row>
    <row r="1995" spans="1:20" x14ac:dyDescent="0.25">
      <c r="A1995" t="s">
        <v>14</v>
      </c>
      <c r="B1995" t="s">
        <v>596</v>
      </c>
      <c r="C1995" t="s">
        <v>4386</v>
      </c>
      <c r="D1995" t="s">
        <v>4368</v>
      </c>
      <c r="E1995">
        <v>47300026185</v>
      </c>
      <c r="F1995" t="s">
        <v>35</v>
      </c>
      <c r="G1995" t="s">
        <v>36</v>
      </c>
      <c r="H1995" t="s">
        <v>4361</v>
      </c>
      <c r="K1995" t="s">
        <v>3294</v>
      </c>
      <c r="L1995" t="s">
        <v>19</v>
      </c>
      <c r="M1995" t="s">
        <v>46</v>
      </c>
      <c r="N1995" s="2">
        <v>45566</v>
      </c>
      <c r="O1995" s="2">
        <v>45596</v>
      </c>
      <c r="P1995">
        <v>500</v>
      </c>
      <c r="Q1995">
        <v>500</v>
      </c>
      <c r="R1995" t="s">
        <v>3462</v>
      </c>
    </row>
    <row r="1996" spans="1:20" x14ac:dyDescent="0.25">
      <c r="A1996" t="s">
        <v>14</v>
      </c>
      <c r="B1996" t="s">
        <v>594</v>
      </c>
      <c r="C1996" t="s">
        <v>4409</v>
      </c>
      <c r="D1996" t="s">
        <v>4410</v>
      </c>
      <c r="E1996">
        <v>47300025690</v>
      </c>
      <c r="F1996" t="s">
        <v>35</v>
      </c>
      <c r="G1996" t="s">
        <v>36</v>
      </c>
      <c r="H1996" t="s">
        <v>37</v>
      </c>
      <c r="K1996" t="s">
        <v>4266</v>
      </c>
      <c r="L1996" t="s">
        <v>19</v>
      </c>
      <c r="M1996" t="s">
        <v>63</v>
      </c>
      <c r="N1996" s="2">
        <v>45566</v>
      </c>
      <c r="O1996" s="2">
        <v>45596</v>
      </c>
      <c r="P1996">
        <v>50000</v>
      </c>
      <c r="Q1996">
        <v>50000</v>
      </c>
      <c r="R1996" t="s">
        <v>3463</v>
      </c>
      <c r="S1996" t="s">
        <v>595</v>
      </c>
      <c r="T1996">
        <v>208.1</v>
      </c>
    </row>
    <row r="1997" spans="1:20" x14ac:dyDescent="0.25">
      <c r="A1997" t="s">
        <v>14</v>
      </c>
      <c r="B1997" t="s">
        <v>594</v>
      </c>
      <c r="C1997" t="s">
        <v>4406</v>
      </c>
      <c r="D1997" t="s">
        <v>4394</v>
      </c>
      <c r="E1997">
        <v>47300025690</v>
      </c>
      <c r="F1997" t="s">
        <v>35</v>
      </c>
      <c r="G1997" t="s">
        <v>36</v>
      </c>
      <c r="H1997" t="s">
        <v>37</v>
      </c>
      <c r="K1997" t="s">
        <v>3294</v>
      </c>
      <c r="L1997" t="s">
        <v>19</v>
      </c>
      <c r="M1997" t="s">
        <v>46</v>
      </c>
      <c r="N1997" s="2">
        <v>45566</v>
      </c>
      <c r="O1997" s="2">
        <v>45596</v>
      </c>
      <c r="P1997">
        <v>500</v>
      </c>
      <c r="Q1997">
        <v>500</v>
      </c>
      <c r="R1997" t="s">
        <v>3463</v>
      </c>
    </row>
    <row r="1998" spans="1:20" x14ac:dyDescent="0.25">
      <c r="A1998" t="s">
        <v>14</v>
      </c>
      <c r="B1998" t="s">
        <v>592</v>
      </c>
      <c r="C1998" t="s">
        <v>4418</v>
      </c>
      <c r="D1998" t="s">
        <v>4368</v>
      </c>
      <c r="E1998">
        <v>47300070514</v>
      </c>
      <c r="F1998" t="s">
        <v>27</v>
      </c>
      <c r="G1998" t="s">
        <v>28</v>
      </c>
      <c r="H1998" t="s">
        <v>29</v>
      </c>
      <c r="K1998" t="s">
        <v>3795</v>
      </c>
      <c r="L1998" t="s">
        <v>19</v>
      </c>
      <c r="M1998" t="s">
        <v>20</v>
      </c>
      <c r="P1998">
        <v>108000</v>
      </c>
      <c r="Q1998">
        <v>108000</v>
      </c>
      <c r="R1998" t="s">
        <v>4096</v>
      </c>
      <c r="S1998" t="s">
        <v>593</v>
      </c>
      <c r="T1998">
        <v>449.6</v>
      </c>
    </row>
    <row r="1999" spans="1:20" x14ac:dyDescent="0.25">
      <c r="A1999" t="s">
        <v>14</v>
      </c>
      <c r="B1999" t="s">
        <v>590</v>
      </c>
      <c r="C1999" t="s">
        <v>4387</v>
      </c>
      <c r="D1999" t="s">
        <v>4388</v>
      </c>
      <c r="E1999">
        <v>47300025708</v>
      </c>
      <c r="F1999" t="s">
        <v>35</v>
      </c>
      <c r="G1999" t="s">
        <v>36</v>
      </c>
      <c r="H1999" t="s">
        <v>4360</v>
      </c>
      <c r="K1999" t="s">
        <v>3795</v>
      </c>
      <c r="L1999" t="s">
        <v>19</v>
      </c>
      <c r="M1999" t="s">
        <v>20</v>
      </c>
      <c r="P1999">
        <v>50000</v>
      </c>
      <c r="Q1999">
        <v>50000</v>
      </c>
      <c r="R1999" t="s">
        <v>4097</v>
      </c>
      <c r="S1999" t="s">
        <v>591</v>
      </c>
      <c r="T1999">
        <v>208.2</v>
      </c>
    </row>
    <row r="2000" spans="1:20" x14ac:dyDescent="0.25">
      <c r="A2000" t="s">
        <v>14</v>
      </c>
      <c r="B2000" t="s">
        <v>588</v>
      </c>
      <c r="C2000" t="s">
        <v>4414</v>
      </c>
      <c r="D2000" t="s">
        <v>4401</v>
      </c>
      <c r="E2000">
        <v>47300026094</v>
      </c>
      <c r="F2000" t="s">
        <v>35</v>
      </c>
      <c r="G2000" t="s">
        <v>36</v>
      </c>
      <c r="H2000" t="s">
        <v>4359</v>
      </c>
      <c r="K2000" t="s">
        <v>3795</v>
      </c>
      <c r="L2000" t="s">
        <v>19</v>
      </c>
      <c r="M2000" t="s">
        <v>20</v>
      </c>
      <c r="P2000">
        <v>100000</v>
      </c>
      <c r="Q2000">
        <v>100000</v>
      </c>
      <c r="R2000" t="s">
        <v>4098</v>
      </c>
      <c r="S2000" t="s">
        <v>589</v>
      </c>
      <c r="T2000">
        <v>416.3</v>
      </c>
    </row>
    <row r="2001" spans="1:20" x14ac:dyDescent="0.25">
      <c r="A2001" t="s">
        <v>14</v>
      </c>
      <c r="B2001" t="s">
        <v>586</v>
      </c>
      <c r="C2001" t="s">
        <v>4398</v>
      </c>
      <c r="D2001" t="s">
        <v>4377</v>
      </c>
      <c r="E2001">
        <v>47300012151</v>
      </c>
      <c r="F2001" t="s">
        <v>35</v>
      </c>
      <c r="G2001" t="s">
        <v>36</v>
      </c>
      <c r="H2001" t="s">
        <v>4362</v>
      </c>
      <c r="K2001" t="s">
        <v>4266</v>
      </c>
      <c r="L2001" t="s">
        <v>19</v>
      </c>
      <c r="M2001" t="s">
        <v>63</v>
      </c>
      <c r="N2001" s="2">
        <v>45566</v>
      </c>
      <c r="O2001" s="2">
        <v>45596</v>
      </c>
      <c r="P2001">
        <v>50000</v>
      </c>
      <c r="Q2001">
        <v>50000</v>
      </c>
      <c r="R2001" t="s">
        <v>3464</v>
      </c>
      <c r="S2001" t="s">
        <v>587</v>
      </c>
      <c r="T2001">
        <v>208.1</v>
      </c>
    </row>
    <row r="2002" spans="1:20" x14ac:dyDescent="0.25">
      <c r="A2002" t="s">
        <v>14</v>
      </c>
      <c r="B2002" t="s">
        <v>586</v>
      </c>
      <c r="C2002" t="s">
        <v>4382</v>
      </c>
      <c r="D2002" t="s">
        <v>4383</v>
      </c>
      <c r="E2002">
        <v>47300012151</v>
      </c>
      <c r="F2002" t="s">
        <v>35</v>
      </c>
      <c r="G2002" t="s">
        <v>36</v>
      </c>
      <c r="H2002" t="s">
        <v>4362</v>
      </c>
      <c r="K2002" t="s">
        <v>3294</v>
      </c>
      <c r="L2002" t="s">
        <v>19</v>
      </c>
      <c r="M2002" t="s">
        <v>46</v>
      </c>
      <c r="N2002" s="2">
        <v>45566</v>
      </c>
      <c r="O2002" s="2">
        <v>45596</v>
      </c>
      <c r="P2002">
        <v>500</v>
      </c>
      <c r="Q2002">
        <v>500</v>
      </c>
      <c r="R2002" t="s">
        <v>3464</v>
      </c>
    </row>
    <row r="2003" spans="1:20" x14ac:dyDescent="0.25">
      <c r="A2003" t="s">
        <v>14</v>
      </c>
      <c r="B2003" t="s">
        <v>585</v>
      </c>
      <c r="C2003" t="s">
        <v>4418</v>
      </c>
      <c r="D2003" t="s">
        <v>4368</v>
      </c>
      <c r="E2003">
        <v>47300047066</v>
      </c>
      <c r="F2003" t="s">
        <v>16</v>
      </c>
      <c r="G2003" t="s">
        <v>28</v>
      </c>
      <c r="H2003" t="s">
        <v>57</v>
      </c>
      <c r="K2003" t="s">
        <v>3261</v>
      </c>
      <c r="L2003" t="s">
        <v>19</v>
      </c>
      <c r="M2003" t="s">
        <v>46</v>
      </c>
      <c r="N2003" s="2">
        <v>45566</v>
      </c>
      <c r="O2003" s="2">
        <v>45596</v>
      </c>
      <c r="P2003">
        <v>92732</v>
      </c>
      <c r="Q2003">
        <v>92732</v>
      </c>
      <c r="R2003" t="s">
        <v>3269</v>
      </c>
    </row>
    <row r="2004" spans="1:20" x14ac:dyDescent="0.25">
      <c r="A2004" t="s">
        <v>14</v>
      </c>
      <c r="B2004" t="s">
        <v>583</v>
      </c>
      <c r="C2004" t="s">
        <v>4367</v>
      </c>
      <c r="D2004" t="s">
        <v>4368</v>
      </c>
      <c r="E2004">
        <v>47300047066</v>
      </c>
      <c r="F2004" t="s">
        <v>16</v>
      </c>
      <c r="G2004" t="s">
        <v>28</v>
      </c>
      <c r="H2004" t="s">
        <v>57</v>
      </c>
      <c r="K2004" t="s">
        <v>3795</v>
      </c>
      <c r="L2004" t="s">
        <v>19</v>
      </c>
      <c r="M2004" t="s">
        <v>20</v>
      </c>
      <c r="P2004">
        <v>105000</v>
      </c>
      <c r="Q2004">
        <v>105000</v>
      </c>
      <c r="R2004" t="s">
        <v>4099</v>
      </c>
      <c r="S2004" t="s">
        <v>584</v>
      </c>
      <c r="T2004">
        <v>437.1</v>
      </c>
    </row>
    <row r="2005" spans="1:20" x14ac:dyDescent="0.25">
      <c r="A2005" t="s">
        <v>14</v>
      </c>
      <c r="B2005" t="s">
        <v>582</v>
      </c>
      <c r="C2005" t="s">
        <v>4371</v>
      </c>
      <c r="D2005" t="s">
        <v>4368</v>
      </c>
      <c r="E2005">
        <v>47300046316</v>
      </c>
      <c r="F2005" t="s">
        <v>42</v>
      </c>
      <c r="G2005" t="s">
        <v>28</v>
      </c>
      <c r="H2005" t="s">
        <v>69</v>
      </c>
      <c r="K2005" t="s">
        <v>3261</v>
      </c>
      <c r="L2005" t="s">
        <v>19</v>
      </c>
      <c r="M2005" t="s">
        <v>46</v>
      </c>
      <c r="N2005" s="2">
        <v>45566</v>
      </c>
      <c r="O2005" s="2">
        <v>45596</v>
      </c>
      <c r="P2005">
        <v>92732</v>
      </c>
      <c r="Q2005">
        <v>92732</v>
      </c>
      <c r="R2005" t="s">
        <v>3270</v>
      </c>
    </row>
    <row r="2006" spans="1:20" x14ac:dyDescent="0.25">
      <c r="A2006" t="s">
        <v>14</v>
      </c>
      <c r="B2006" t="s">
        <v>580</v>
      </c>
      <c r="C2006" t="s">
        <v>4389</v>
      </c>
      <c r="D2006" t="s">
        <v>4375</v>
      </c>
      <c r="E2006">
        <v>47300046316</v>
      </c>
      <c r="F2006" t="s">
        <v>42</v>
      </c>
      <c r="G2006" t="s">
        <v>28</v>
      </c>
      <c r="H2006" t="s">
        <v>69</v>
      </c>
      <c r="K2006" t="s">
        <v>3795</v>
      </c>
      <c r="L2006" t="s">
        <v>19</v>
      </c>
      <c r="M2006" t="s">
        <v>20</v>
      </c>
      <c r="P2006">
        <v>50000</v>
      </c>
      <c r="Q2006">
        <v>50000</v>
      </c>
      <c r="R2006" t="s">
        <v>4100</v>
      </c>
      <c r="S2006" t="s">
        <v>581</v>
      </c>
      <c r="T2006">
        <v>208.1</v>
      </c>
    </row>
    <row r="2007" spans="1:20" x14ac:dyDescent="0.25">
      <c r="A2007" t="s">
        <v>14</v>
      </c>
      <c r="B2007" t="s">
        <v>579</v>
      </c>
      <c r="C2007" t="s">
        <v>4414</v>
      </c>
      <c r="D2007" t="s">
        <v>4401</v>
      </c>
      <c r="E2007">
        <v>47300046746</v>
      </c>
      <c r="F2007" t="s">
        <v>16</v>
      </c>
      <c r="G2007" t="s">
        <v>28</v>
      </c>
      <c r="H2007" t="s">
        <v>32</v>
      </c>
      <c r="K2007" t="s">
        <v>3261</v>
      </c>
      <c r="L2007" t="s">
        <v>19</v>
      </c>
      <c r="M2007" t="s">
        <v>46</v>
      </c>
      <c r="N2007" s="2">
        <v>45566</v>
      </c>
      <c r="O2007" s="2">
        <v>45596</v>
      </c>
      <c r="P2007">
        <v>92732</v>
      </c>
      <c r="Q2007">
        <v>92732</v>
      </c>
      <c r="R2007" t="s">
        <v>3271</v>
      </c>
    </row>
    <row r="2008" spans="1:20" x14ac:dyDescent="0.25">
      <c r="A2008" t="s">
        <v>14</v>
      </c>
      <c r="B2008" t="s">
        <v>577</v>
      </c>
      <c r="C2008" t="s">
        <v>4398</v>
      </c>
      <c r="D2008" t="s">
        <v>4377</v>
      </c>
      <c r="E2008">
        <v>47300046746</v>
      </c>
      <c r="F2008" t="s">
        <v>16</v>
      </c>
      <c r="G2008" t="s">
        <v>28</v>
      </c>
      <c r="H2008" t="s">
        <v>32</v>
      </c>
      <c r="K2008" t="s">
        <v>3795</v>
      </c>
      <c r="L2008" t="s">
        <v>19</v>
      </c>
      <c r="M2008" t="s">
        <v>20</v>
      </c>
      <c r="P2008">
        <v>15000</v>
      </c>
      <c r="Q2008">
        <v>15000</v>
      </c>
      <c r="R2008" t="s">
        <v>4101</v>
      </c>
      <c r="S2008" t="s">
        <v>578</v>
      </c>
      <c r="T2008">
        <v>62.4</v>
      </c>
    </row>
    <row r="2009" spans="1:20" x14ac:dyDescent="0.25">
      <c r="A2009" t="s">
        <v>14</v>
      </c>
      <c r="B2009" t="s">
        <v>575</v>
      </c>
      <c r="C2009" t="s">
        <v>4382</v>
      </c>
      <c r="D2009" t="s">
        <v>4383</v>
      </c>
      <c r="E2009">
        <v>47300046761</v>
      </c>
      <c r="F2009" t="s">
        <v>42</v>
      </c>
      <c r="G2009" t="s">
        <v>28</v>
      </c>
      <c r="H2009" t="s">
        <v>43</v>
      </c>
      <c r="K2009" t="s">
        <v>3795</v>
      </c>
      <c r="L2009" t="s">
        <v>19</v>
      </c>
      <c r="M2009" t="s">
        <v>20</v>
      </c>
      <c r="P2009">
        <v>50000</v>
      </c>
      <c r="Q2009">
        <v>50000</v>
      </c>
      <c r="R2009" t="s">
        <v>4102</v>
      </c>
      <c r="S2009" t="s">
        <v>576</v>
      </c>
      <c r="T2009">
        <v>208.2</v>
      </c>
    </row>
    <row r="2010" spans="1:20" x14ac:dyDescent="0.25">
      <c r="A2010" t="s">
        <v>14</v>
      </c>
      <c r="B2010" t="s">
        <v>573</v>
      </c>
      <c r="C2010" t="s">
        <v>4417</v>
      </c>
      <c r="D2010" t="s">
        <v>4397</v>
      </c>
      <c r="E2010">
        <v>47300070753</v>
      </c>
      <c r="F2010" t="s">
        <v>16</v>
      </c>
      <c r="G2010" t="s">
        <v>17</v>
      </c>
      <c r="H2010" t="s">
        <v>82</v>
      </c>
      <c r="K2010" t="s">
        <v>3795</v>
      </c>
      <c r="L2010" t="s">
        <v>19</v>
      </c>
      <c r="M2010" t="s">
        <v>20</v>
      </c>
      <c r="P2010">
        <v>50000</v>
      </c>
      <c r="Q2010">
        <v>50000</v>
      </c>
      <c r="R2010" t="s">
        <v>4103</v>
      </c>
      <c r="S2010" t="s">
        <v>574</v>
      </c>
      <c r="T2010">
        <v>208.2</v>
      </c>
    </row>
    <row r="2011" spans="1:20" x14ac:dyDescent="0.25">
      <c r="A2011" t="s">
        <v>14</v>
      </c>
      <c r="B2011" t="s">
        <v>571</v>
      </c>
      <c r="C2011" t="s">
        <v>4417</v>
      </c>
      <c r="D2011" t="s">
        <v>4397</v>
      </c>
      <c r="E2011">
        <v>47300070753</v>
      </c>
      <c r="F2011" t="s">
        <v>16</v>
      </c>
      <c r="G2011" t="s">
        <v>17</v>
      </c>
      <c r="H2011" t="s">
        <v>82</v>
      </c>
      <c r="K2011" t="s">
        <v>3795</v>
      </c>
      <c r="L2011" t="s">
        <v>19</v>
      </c>
      <c r="M2011" t="s">
        <v>20</v>
      </c>
      <c r="P2011">
        <v>30000</v>
      </c>
      <c r="Q2011">
        <v>30000</v>
      </c>
      <c r="R2011" t="s">
        <v>4104</v>
      </c>
      <c r="S2011" t="s">
        <v>572</v>
      </c>
      <c r="T2011">
        <v>124.9</v>
      </c>
    </row>
    <row r="2012" spans="1:20" x14ac:dyDescent="0.25">
      <c r="A2012" t="s">
        <v>14</v>
      </c>
      <c r="B2012" t="s">
        <v>570</v>
      </c>
      <c r="C2012" t="s">
        <v>4398</v>
      </c>
      <c r="D2012" t="s">
        <v>4399</v>
      </c>
      <c r="E2012">
        <v>47300070548</v>
      </c>
      <c r="F2012" t="s">
        <v>27</v>
      </c>
      <c r="G2012" t="s">
        <v>17</v>
      </c>
      <c r="H2012" t="s">
        <v>51</v>
      </c>
      <c r="K2012" t="s">
        <v>3197</v>
      </c>
      <c r="L2012" t="s">
        <v>19</v>
      </c>
      <c r="M2012" t="s">
        <v>46</v>
      </c>
      <c r="N2012" s="2">
        <v>45566</v>
      </c>
      <c r="O2012" s="2">
        <v>45596</v>
      </c>
      <c r="P2012">
        <v>150650</v>
      </c>
      <c r="Q2012">
        <v>150650</v>
      </c>
      <c r="R2012" t="s">
        <v>3235</v>
      </c>
    </row>
    <row r="2013" spans="1:20" x14ac:dyDescent="0.25">
      <c r="A2013" t="s">
        <v>14</v>
      </c>
      <c r="B2013" t="s">
        <v>568</v>
      </c>
      <c r="C2013" t="s">
        <v>4408</v>
      </c>
      <c r="D2013" t="s">
        <v>4407</v>
      </c>
      <c r="E2013">
        <v>47300046779</v>
      </c>
      <c r="F2013" t="s">
        <v>42</v>
      </c>
      <c r="G2013" t="s">
        <v>28</v>
      </c>
      <c r="H2013" t="s">
        <v>199</v>
      </c>
      <c r="K2013" t="s">
        <v>3795</v>
      </c>
      <c r="L2013" t="s">
        <v>19</v>
      </c>
      <c r="M2013" t="s">
        <v>20</v>
      </c>
      <c r="P2013">
        <v>50000</v>
      </c>
      <c r="Q2013">
        <v>50000</v>
      </c>
      <c r="R2013" t="s">
        <v>4105</v>
      </c>
      <c r="S2013" t="s">
        <v>569</v>
      </c>
      <c r="T2013">
        <v>208.1</v>
      </c>
    </row>
    <row r="2014" spans="1:20" x14ac:dyDescent="0.25">
      <c r="A2014" t="s">
        <v>14</v>
      </c>
      <c r="B2014" t="s">
        <v>566</v>
      </c>
      <c r="C2014" t="s">
        <v>4408</v>
      </c>
      <c r="D2014" t="s">
        <v>4407</v>
      </c>
      <c r="E2014">
        <v>47300047280</v>
      </c>
      <c r="F2014" t="s">
        <v>16</v>
      </c>
      <c r="G2014" t="s">
        <v>28</v>
      </c>
      <c r="H2014" t="s">
        <v>274</v>
      </c>
      <c r="K2014" t="s">
        <v>4266</v>
      </c>
      <c r="L2014" t="s">
        <v>19</v>
      </c>
      <c r="M2014" t="s">
        <v>63</v>
      </c>
      <c r="N2014" s="2">
        <v>45566</v>
      </c>
      <c r="O2014" s="2">
        <v>45596</v>
      </c>
      <c r="P2014">
        <v>10000</v>
      </c>
      <c r="Q2014">
        <v>10000</v>
      </c>
      <c r="R2014" t="s">
        <v>3127</v>
      </c>
      <c r="S2014" t="s">
        <v>567</v>
      </c>
      <c r="T2014">
        <v>41.7</v>
      </c>
    </row>
    <row r="2015" spans="1:20" x14ac:dyDescent="0.25">
      <c r="A2015" t="s">
        <v>14</v>
      </c>
      <c r="B2015" t="s">
        <v>566</v>
      </c>
      <c r="C2015" t="s">
        <v>4417</v>
      </c>
      <c r="D2015" t="s">
        <v>4397</v>
      </c>
      <c r="E2015">
        <v>47300047280</v>
      </c>
      <c r="F2015" t="s">
        <v>16</v>
      </c>
      <c r="G2015" t="s">
        <v>28</v>
      </c>
      <c r="H2015" t="s">
        <v>274</v>
      </c>
      <c r="K2015" t="s">
        <v>3294</v>
      </c>
      <c r="L2015" t="s">
        <v>19</v>
      </c>
      <c r="M2015" t="s">
        <v>46</v>
      </c>
      <c r="N2015" s="2">
        <v>45566</v>
      </c>
      <c r="O2015" s="2">
        <v>45596</v>
      </c>
      <c r="P2015">
        <v>500</v>
      </c>
      <c r="Q2015">
        <v>500</v>
      </c>
      <c r="R2015" t="s">
        <v>3127</v>
      </c>
    </row>
    <row r="2016" spans="1:20" x14ac:dyDescent="0.25">
      <c r="A2016" t="s">
        <v>14</v>
      </c>
      <c r="B2016" t="s">
        <v>566</v>
      </c>
      <c r="C2016" t="s">
        <v>4417</v>
      </c>
      <c r="D2016" t="s">
        <v>4397</v>
      </c>
      <c r="E2016">
        <v>47300047280</v>
      </c>
      <c r="F2016" t="s">
        <v>16</v>
      </c>
      <c r="G2016" t="s">
        <v>28</v>
      </c>
      <c r="H2016" t="s">
        <v>274</v>
      </c>
      <c r="K2016" t="s">
        <v>3261</v>
      </c>
      <c r="L2016" t="s">
        <v>19</v>
      </c>
      <c r="M2016" t="s">
        <v>46</v>
      </c>
      <c r="N2016" s="2">
        <v>45566</v>
      </c>
      <c r="O2016" s="2">
        <v>45596</v>
      </c>
      <c r="P2016">
        <v>92732</v>
      </c>
      <c r="Q2016">
        <v>92732</v>
      </c>
      <c r="R2016" t="s">
        <v>3127</v>
      </c>
    </row>
    <row r="2017" spans="1:20" x14ac:dyDescent="0.25">
      <c r="A2017" t="s">
        <v>14</v>
      </c>
      <c r="B2017" t="s">
        <v>566</v>
      </c>
      <c r="C2017" t="s">
        <v>4413</v>
      </c>
      <c r="D2017" t="s">
        <v>4395</v>
      </c>
      <c r="E2017">
        <v>47300047280</v>
      </c>
      <c r="F2017" t="s">
        <v>16</v>
      </c>
      <c r="G2017" t="s">
        <v>28</v>
      </c>
      <c r="H2017" t="s">
        <v>274</v>
      </c>
      <c r="K2017" t="s">
        <v>3197</v>
      </c>
      <c r="L2017" t="s">
        <v>19</v>
      </c>
      <c r="M2017" t="s">
        <v>46</v>
      </c>
      <c r="N2017" s="2">
        <v>45566</v>
      </c>
      <c r="O2017" s="2">
        <v>45596</v>
      </c>
      <c r="P2017">
        <v>150650</v>
      </c>
      <c r="Q2017">
        <v>150650</v>
      </c>
      <c r="R2017" t="s">
        <v>3127</v>
      </c>
    </row>
    <row r="2018" spans="1:20" x14ac:dyDescent="0.25">
      <c r="A2018" t="s">
        <v>14</v>
      </c>
      <c r="B2018" t="s">
        <v>566</v>
      </c>
      <c r="C2018" t="s">
        <v>4417</v>
      </c>
      <c r="D2018" t="s">
        <v>4397</v>
      </c>
      <c r="E2018">
        <v>47300047280</v>
      </c>
      <c r="F2018" t="s">
        <v>16</v>
      </c>
      <c r="G2018" t="s">
        <v>28</v>
      </c>
      <c r="H2018" t="s">
        <v>274</v>
      </c>
      <c r="K2018" t="s">
        <v>2892</v>
      </c>
      <c r="L2018" t="s">
        <v>19</v>
      </c>
      <c r="M2018" t="s">
        <v>46</v>
      </c>
      <c r="N2018" s="2">
        <v>45566</v>
      </c>
      <c r="O2018" s="2">
        <v>45596</v>
      </c>
      <c r="P2018">
        <v>10000</v>
      </c>
      <c r="Q2018">
        <v>10000</v>
      </c>
      <c r="R2018" t="s">
        <v>3127</v>
      </c>
    </row>
    <row r="2019" spans="1:20" x14ac:dyDescent="0.25">
      <c r="A2019" t="s">
        <v>14</v>
      </c>
      <c r="B2019" t="s">
        <v>564</v>
      </c>
      <c r="C2019" t="s">
        <v>3300</v>
      </c>
      <c r="D2019" t="s">
        <v>3299</v>
      </c>
      <c r="E2019">
        <v>47300070605</v>
      </c>
      <c r="F2019" t="s">
        <v>16</v>
      </c>
      <c r="G2019" t="s">
        <v>28</v>
      </c>
      <c r="H2019" t="s">
        <v>178</v>
      </c>
      <c r="K2019" t="s">
        <v>4266</v>
      </c>
      <c r="L2019" t="s">
        <v>19</v>
      </c>
      <c r="M2019" t="s">
        <v>63</v>
      </c>
      <c r="N2019" s="2">
        <v>45566</v>
      </c>
      <c r="O2019" s="2">
        <v>45596</v>
      </c>
      <c r="P2019">
        <v>20000</v>
      </c>
      <c r="Q2019">
        <v>20000</v>
      </c>
      <c r="R2019" t="s">
        <v>3128</v>
      </c>
      <c r="S2019" t="s">
        <v>565</v>
      </c>
      <c r="T2019">
        <v>83.3</v>
      </c>
    </row>
    <row r="2020" spans="1:20" x14ac:dyDescent="0.25">
      <c r="A2020" t="s">
        <v>14</v>
      </c>
      <c r="B2020" t="s">
        <v>564</v>
      </c>
      <c r="C2020" t="s">
        <v>4405</v>
      </c>
      <c r="D2020" t="s">
        <v>4390</v>
      </c>
      <c r="E2020">
        <v>47300070605</v>
      </c>
      <c r="F2020" t="s">
        <v>16</v>
      </c>
      <c r="G2020" t="s">
        <v>28</v>
      </c>
      <c r="H2020" t="s">
        <v>178</v>
      </c>
      <c r="K2020" t="s">
        <v>3294</v>
      </c>
      <c r="L2020" t="s">
        <v>19</v>
      </c>
      <c r="M2020" t="s">
        <v>46</v>
      </c>
      <c r="N2020" s="2">
        <v>45566</v>
      </c>
      <c r="O2020" s="2">
        <v>45596</v>
      </c>
      <c r="P2020">
        <v>500</v>
      </c>
      <c r="Q2020">
        <v>500</v>
      </c>
      <c r="R2020" t="s">
        <v>3128</v>
      </c>
    </row>
    <row r="2021" spans="1:20" x14ac:dyDescent="0.25">
      <c r="A2021" t="s">
        <v>14</v>
      </c>
      <c r="B2021" t="s">
        <v>564</v>
      </c>
      <c r="C2021" t="s">
        <v>2927</v>
      </c>
      <c r="D2021" t="s">
        <v>4375</v>
      </c>
      <c r="E2021">
        <v>47300070605</v>
      </c>
      <c r="F2021" t="s">
        <v>16</v>
      </c>
      <c r="G2021" t="s">
        <v>28</v>
      </c>
      <c r="H2021" t="s">
        <v>178</v>
      </c>
      <c r="K2021" t="s">
        <v>3261</v>
      </c>
      <c r="L2021" t="s">
        <v>19</v>
      </c>
      <c r="M2021" t="s">
        <v>46</v>
      </c>
      <c r="N2021" s="2">
        <v>45566</v>
      </c>
      <c r="O2021" s="2">
        <v>45596</v>
      </c>
      <c r="P2021">
        <v>92732</v>
      </c>
      <c r="Q2021">
        <v>92732</v>
      </c>
      <c r="R2021" t="s">
        <v>3128</v>
      </c>
    </row>
    <row r="2022" spans="1:20" x14ac:dyDescent="0.25">
      <c r="A2022" t="s">
        <v>14</v>
      </c>
      <c r="B2022" t="s">
        <v>564</v>
      </c>
      <c r="C2022" t="s">
        <v>3300</v>
      </c>
      <c r="D2022" t="s">
        <v>3299</v>
      </c>
      <c r="E2022">
        <v>47300070605</v>
      </c>
      <c r="F2022" t="s">
        <v>16</v>
      </c>
      <c r="G2022" t="s">
        <v>28</v>
      </c>
      <c r="H2022" t="s">
        <v>178</v>
      </c>
      <c r="K2022" t="s">
        <v>3197</v>
      </c>
      <c r="L2022" t="s">
        <v>19</v>
      </c>
      <c r="M2022" t="s">
        <v>46</v>
      </c>
      <c r="N2022" s="2">
        <v>45566</v>
      </c>
      <c r="O2022" s="2">
        <v>45596</v>
      </c>
      <c r="P2022">
        <v>150650</v>
      </c>
      <c r="Q2022">
        <v>150650</v>
      </c>
      <c r="R2022" t="s">
        <v>3128</v>
      </c>
    </row>
    <row r="2023" spans="1:20" x14ac:dyDescent="0.25">
      <c r="A2023" t="s">
        <v>14</v>
      </c>
      <c r="B2023" t="s">
        <v>564</v>
      </c>
      <c r="C2023" t="s">
        <v>4405</v>
      </c>
      <c r="D2023" t="s">
        <v>4390</v>
      </c>
      <c r="E2023">
        <v>47300070605</v>
      </c>
      <c r="F2023" t="s">
        <v>16</v>
      </c>
      <c r="G2023" t="s">
        <v>28</v>
      </c>
      <c r="H2023" t="s">
        <v>178</v>
      </c>
      <c r="K2023" t="s">
        <v>2892</v>
      </c>
      <c r="L2023" t="s">
        <v>19</v>
      </c>
      <c r="M2023" t="s">
        <v>46</v>
      </c>
      <c r="N2023" s="2">
        <v>45566</v>
      </c>
      <c r="O2023" s="2">
        <v>45596</v>
      </c>
      <c r="P2023">
        <v>10000</v>
      </c>
      <c r="Q2023">
        <v>10000</v>
      </c>
      <c r="R2023" t="s">
        <v>3128</v>
      </c>
    </row>
    <row r="2024" spans="1:20" x14ac:dyDescent="0.25">
      <c r="A2024" t="s">
        <v>14</v>
      </c>
      <c r="B2024" t="s">
        <v>562</v>
      </c>
      <c r="C2024" t="s">
        <v>2927</v>
      </c>
      <c r="D2024" t="s">
        <v>4375</v>
      </c>
      <c r="E2024">
        <v>47300070555</v>
      </c>
      <c r="F2024" t="s">
        <v>35</v>
      </c>
      <c r="G2024" t="s">
        <v>35</v>
      </c>
      <c r="H2024" t="s">
        <v>116</v>
      </c>
      <c r="K2024" t="s">
        <v>4266</v>
      </c>
      <c r="L2024" t="s">
        <v>19</v>
      </c>
      <c r="M2024" t="s">
        <v>63</v>
      </c>
      <c r="N2024" s="2">
        <v>45566</v>
      </c>
      <c r="O2024" s="2">
        <v>45596</v>
      </c>
      <c r="P2024">
        <v>50000</v>
      </c>
      <c r="Q2024">
        <v>50000</v>
      </c>
      <c r="R2024" t="s">
        <v>3465</v>
      </c>
      <c r="S2024" t="s">
        <v>563</v>
      </c>
      <c r="T2024">
        <v>208.1</v>
      </c>
    </row>
    <row r="2025" spans="1:20" x14ac:dyDescent="0.25">
      <c r="A2025" t="s">
        <v>14</v>
      </c>
      <c r="B2025" t="s">
        <v>562</v>
      </c>
      <c r="C2025" t="s">
        <v>4405</v>
      </c>
      <c r="D2025" t="s">
        <v>4390</v>
      </c>
      <c r="E2025">
        <v>47300070555</v>
      </c>
      <c r="F2025" t="s">
        <v>35</v>
      </c>
      <c r="G2025" t="s">
        <v>35</v>
      </c>
      <c r="H2025" t="s">
        <v>116</v>
      </c>
      <c r="K2025" t="s">
        <v>3294</v>
      </c>
      <c r="L2025" t="s">
        <v>19</v>
      </c>
      <c r="M2025" t="s">
        <v>46</v>
      </c>
      <c r="N2025" s="2">
        <v>45566</v>
      </c>
      <c r="O2025" s="2">
        <v>45596</v>
      </c>
      <c r="P2025">
        <v>500</v>
      </c>
      <c r="Q2025">
        <v>500</v>
      </c>
      <c r="R2025" t="s">
        <v>3465</v>
      </c>
    </row>
    <row r="2026" spans="1:20" x14ac:dyDescent="0.25">
      <c r="A2026" t="s">
        <v>14</v>
      </c>
      <c r="B2026" t="s">
        <v>560</v>
      </c>
      <c r="C2026" t="s">
        <v>2927</v>
      </c>
      <c r="D2026" t="s">
        <v>4375</v>
      </c>
      <c r="E2026">
        <v>47300070837</v>
      </c>
      <c r="F2026" t="s">
        <v>16</v>
      </c>
      <c r="G2026" t="s">
        <v>23</v>
      </c>
      <c r="H2026" t="s">
        <v>165</v>
      </c>
      <c r="K2026" t="s">
        <v>4266</v>
      </c>
      <c r="L2026" t="s">
        <v>19</v>
      </c>
      <c r="M2026" t="s">
        <v>63</v>
      </c>
      <c r="N2026" s="2">
        <v>45566</v>
      </c>
      <c r="O2026" s="2">
        <v>45596</v>
      </c>
      <c r="P2026">
        <v>50000</v>
      </c>
      <c r="Q2026">
        <v>50000</v>
      </c>
      <c r="R2026" t="s">
        <v>3236</v>
      </c>
      <c r="S2026" t="s">
        <v>561</v>
      </c>
      <c r="T2026">
        <v>208.2</v>
      </c>
    </row>
    <row r="2027" spans="1:20" x14ac:dyDescent="0.25">
      <c r="A2027" t="s">
        <v>14</v>
      </c>
      <c r="B2027" t="s">
        <v>560</v>
      </c>
      <c r="C2027" t="s">
        <v>4405</v>
      </c>
      <c r="D2027" t="s">
        <v>4390</v>
      </c>
      <c r="E2027">
        <v>47300070837</v>
      </c>
      <c r="F2027" t="s">
        <v>16</v>
      </c>
      <c r="G2027" t="s">
        <v>23</v>
      </c>
      <c r="H2027" t="s">
        <v>165</v>
      </c>
      <c r="K2027" t="s">
        <v>3261</v>
      </c>
      <c r="L2027" t="s">
        <v>19</v>
      </c>
      <c r="M2027" t="s">
        <v>46</v>
      </c>
      <c r="N2027" s="2">
        <v>45566</v>
      </c>
      <c r="O2027" s="2">
        <v>45626</v>
      </c>
      <c r="P2027">
        <v>92732</v>
      </c>
      <c r="Q2027">
        <v>185464</v>
      </c>
      <c r="R2027" t="s">
        <v>3236</v>
      </c>
    </row>
    <row r="2028" spans="1:20" x14ac:dyDescent="0.25">
      <c r="A2028" t="s">
        <v>14</v>
      </c>
      <c r="B2028" t="s">
        <v>560</v>
      </c>
      <c r="C2028" t="s">
        <v>4405</v>
      </c>
      <c r="D2028" t="s">
        <v>4390</v>
      </c>
      <c r="E2028">
        <v>47300070837</v>
      </c>
      <c r="F2028" t="s">
        <v>16</v>
      </c>
      <c r="G2028" t="s">
        <v>23</v>
      </c>
      <c r="H2028" t="s">
        <v>165</v>
      </c>
      <c r="K2028" t="s">
        <v>3197</v>
      </c>
      <c r="L2028" t="s">
        <v>19</v>
      </c>
      <c r="M2028" t="s">
        <v>46</v>
      </c>
      <c r="N2028" s="2">
        <v>45566</v>
      </c>
      <c r="O2028" s="2">
        <v>45596</v>
      </c>
      <c r="P2028">
        <v>150650</v>
      </c>
      <c r="Q2028">
        <v>150650</v>
      </c>
      <c r="R2028" t="s">
        <v>3236</v>
      </c>
    </row>
    <row r="2029" spans="1:20" x14ac:dyDescent="0.25">
      <c r="A2029" t="s">
        <v>14</v>
      </c>
      <c r="B2029" t="s">
        <v>558</v>
      </c>
      <c r="C2029" t="s">
        <v>4376</v>
      </c>
      <c r="D2029" t="s">
        <v>4377</v>
      </c>
      <c r="E2029">
        <v>47300086445</v>
      </c>
      <c r="F2029" t="s">
        <v>16</v>
      </c>
      <c r="G2029" t="s">
        <v>28</v>
      </c>
      <c r="H2029" t="s">
        <v>187</v>
      </c>
      <c r="I2029" t="s">
        <v>2777</v>
      </c>
      <c r="J2029" t="s">
        <v>2776</v>
      </c>
      <c r="K2029" t="s">
        <v>3795</v>
      </c>
      <c r="L2029" t="s">
        <v>19</v>
      </c>
      <c r="M2029" t="s">
        <v>20</v>
      </c>
      <c r="P2029">
        <v>37000</v>
      </c>
      <c r="Q2029">
        <v>37000</v>
      </c>
      <c r="R2029" t="s">
        <v>4106</v>
      </c>
      <c r="S2029" t="s">
        <v>559</v>
      </c>
      <c r="T2029">
        <v>154</v>
      </c>
    </row>
    <row r="2030" spans="1:20" x14ac:dyDescent="0.25">
      <c r="A2030" t="s">
        <v>14</v>
      </c>
      <c r="B2030" t="s">
        <v>556</v>
      </c>
      <c r="C2030" t="s">
        <v>4371</v>
      </c>
      <c r="D2030" t="s">
        <v>4368</v>
      </c>
      <c r="E2030">
        <v>47300025708</v>
      </c>
      <c r="F2030" t="s">
        <v>35</v>
      </c>
      <c r="G2030" t="s">
        <v>36</v>
      </c>
      <c r="H2030" t="s">
        <v>4360</v>
      </c>
      <c r="K2030" t="s">
        <v>3795</v>
      </c>
      <c r="L2030" t="s">
        <v>19</v>
      </c>
      <c r="M2030" t="s">
        <v>20</v>
      </c>
      <c r="P2030">
        <v>100000</v>
      </c>
      <c r="Q2030">
        <v>100000</v>
      </c>
      <c r="R2030" t="s">
        <v>4107</v>
      </c>
      <c r="S2030" t="s">
        <v>557</v>
      </c>
      <c r="T2030">
        <v>416.3</v>
      </c>
    </row>
    <row r="2031" spans="1:20" x14ac:dyDescent="0.25">
      <c r="A2031" t="s">
        <v>14</v>
      </c>
      <c r="B2031" t="s">
        <v>554</v>
      </c>
      <c r="C2031" t="s">
        <v>4369</v>
      </c>
      <c r="D2031" t="s">
        <v>4370</v>
      </c>
      <c r="E2031">
        <v>47300046720</v>
      </c>
      <c r="F2031" t="s">
        <v>16</v>
      </c>
      <c r="G2031" t="s">
        <v>28</v>
      </c>
      <c r="H2031" t="s">
        <v>143</v>
      </c>
      <c r="K2031" t="s">
        <v>3795</v>
      </c>
      <c r="L2031" t="s">
        <v>19</v>
      </c>
      <c r="M2031" t="s">
        <v>20</v>
      </c>
      <c r="P2031">
        <v>50000</v>
      </c>
      <c r="Q2031">
        <v>50000</v>
      </c>
      <c r="R2031" t="s">
        <v>4108</v>
      </c>
      <c r="S2031" t="s">
        <v>555</v>
      </c>
      <c r="T2031">
        <v>208.2</v>
      </c>
    </row>
    <row r="2032" spans="1:20" x14ac:dyDescent="0.25">
      <c r="A2032" t="s">
        <v>14</v>
      </c>
      <c r="B2032" t="s">
        <v>552</v>
      </c>
      <c r="C2032" t="s">
        <v>4402</v>
      </c>
      <c r="D2032" t="s">
        <v>4379</v>
      </c>
      <c r="E2032">
        <v>47300070548</v>
      </c>
      <c r="F2032" t="s">
        <v>27</v>
      </c>
      <c r="G2032" t="s">
        <v>17</v>
      </c>
      <c r="H2032" t="s">
        <v>51</v>
      </c>
      <c r="K2032" t="s">
        <v>4266</v>
      </c>
      <c r="L2032" t="s">
        <v>19</v>
      </c>
      <c r="M2032" t="s">
        <v>63</v>
      </c>
      <c r="N2032" s="2">
        <v>45566</v>
      </c>
      <c r="O2032" s="2">
        <v>45596</v>
      </c>
      <c r="P2032">
        <v>60000</v>
      </c>
      <c r="Q2032">
        <v>60000</v>
      </c>
      <c r="R2032" t="s">
        <v>4313</v>
      </c>
      <c r="S2032" t="s">
        <v>553</v>
      </c>
      <c r="T2032">
        <v>249.8</v>
      </c>
    </row>
    <row r="2033" spans="1:20" x14ac:dyDescent="0.25">
      <c r="A2033" t="s">
        <v>14</v>
      </c>
      <c r="B2033" t="s">
        <v>550</v>
      </c>
      <c r="C2033" t="s">
        <v>4402</v>
      </c>
      <c r="D2033" t="s">
        <v>4379</v>
      </c>
      <c r="E2033">
        <v>47300046746</v>
      </c>
      <c r="F2033" t="s">
        <v>16</v>
      </c>
      <c r="G2033" t="s">
        <v>28</v>
      </c>
      <c r="H2033" t="s">
        <v>32</v>
      </c>
      <c r="K2033" t="s">
        <v>3795</v>
      </c>
      <c r="L2033" t="s">
        <v>19</v>
      </c>
      <c r="M2033" t="s">
        <v>20</v>
      </c>
      <c r="P2033">
        <v>20000</v>
      </c>
      <c r="Q2033">
        <v>20000</v>
      </c>
      <c r="R2033" t="s">
        <v>4109</v>
      </c>
      <c r="S2033" t="s">
        <v>551</v>
      </c>
      <c r="T2033">
        <v>83.3</v>
      </c>
    </row>
    <row r="2034" spans="1:20" x14ac:dyDescent="0.25">
      <c r="A2034" t="s">
        <v>14</v>
      </c>
      <c r="B2034" t="s">
        <v>548</v>
      </c>
      <c r="C2034" t="s">
        <v>4414</v>
      </c>
      <c r="D2034" t="s">
        <v>4401</v>
      </c>
      <c r="E2034">
        <v>47300070597</v>
      </c>
      <c r="F2034" t="s">
        <v>16</v>
      </c>
      <c r="G2034" t="s">
        <v>28</v>
      </c>
      <c r="H2034" t="s">
        <v>77</v>
      </c>
      <c r="K2034" t="s">
        <v>4266</v>
      </c>
      <c r="L2034" t="s">
        <v>19</v>
      </c>
      <c r="M2034" t="s">
        <v>63</v>
      </c>
      <c r="N2034" s="2">
        <v>45566</v>
      </c>
      <c r="O2034" s="2">
        <v>45596</v>
      </c>
      <c r="P2034">
        <v>50000</v>
      </c>
      <c r="Q2034">
        <v>50000</v>
      </c>
      <c r="R2034" t="s">
        <v>3129</v>
      </c>
      <c r="S2034" t="s">
        <v>549</v>
      </c>
      <c r="T2034">
        <v>208.2</v>
      </c>
    </row>
    <row r="2035" spans="1:20" x14ac:dyDescent="0.25">
      <c r="A2035" t="s">
        <v>14</v>
      </c>
      <c r="B2035" t="s">
        <v>548</v>
      </c>
      <c r="C2035" t="s">
        <v>4413</v>
      </c>
      <c r="D2035" t="s">
        <v>4395</v>
      </c>
      <c r="E2035">
        <v>47300070597</v>
      </c>
      <c r="F2035" t="s">
        <v>16</v>
      </c>
      <c r="G2035" t="s">
        <v>28</v>
      </c>
      <c r="H2035" t="s">
        <v>77</v>
      </c>
      <c r="K2035" t="s">
        <v>3294</v>
      </c>
      <c r="L2035" t="s">
        <v>19</v>
      </c>
      <c r="M2035" t="s">
        <v>46</v>
      </c>
      <c r="N2035" s="2">
        <v>45566</v>
      </c>
      <c r="O2035" s="2">
        <v>45596</v>
      </c>
      <c r="P2035">
        <v>500</v>
      </c>
      <c r="Q2035">
        <v>500</v>
      </c>
      <c r="R2035" t="s">
        <v>3129</v>
      </c>
    </row>
    <row r="2036" spans="1:20" x14ac:dyDescent="0.25">
      <c r="A2036" t="s">
        <v>14</v>
      </c>
      <c r="B2036" t="s">
        <v>548</v>
      </c>
      <c r="C2036" t="s">
        <v>4402</v>
      </c>
      <c r="D2036" t="s">
        <v>4379</v>
      </c>
      <c r="E2036">
        <v>47300070597</v>
      </c>
      <c r="F2036" t="s">
        <v>16</v>
      </c>
      <c r="G2036" t="s">
        <v>28</v>
      </c>
      <c r="H2036" t="s">
        <v>77</v>
      </c>
      <c r="K2036" t="s">
        <v>3197</v>
      </c>
      <c r="L2036" t="s">
        <v>19</v>
      </c>
      <c r="M2036" t="s">
        <v>46</v>
      </c>
      <c r="N2036" s="2">
        <v>45566</v>
      </c>
      <c r="O2036" s="2">
        <v>45596</v>
      </c>
      <c r="P2036">
        <v>150650</v>
      </c>
      <c r="Q2036">
        <v>150650</v>
      </c>
      <c r="R2036" t="s">
        <v>3129</v>
      </c>
    </row>
    <row r="2037" spans="1:20" x14ac:dyDescent="0.25">
      <c r="A2037" t="s">
        <v>14</v>
      </c>
      <c r="B2037" t="s">
        <v>548</v>
      </c>
      <c r="C2037" t="s">
        <v>4402</v>
      </c>
      <c r="D2037" t="s">
        <v>4379</v>
      </c>
      <c r="E2037">
        <v>47300070597</v>
      </c>
      <c r="F2037" t="s">
        <v>16</v>
      </c>
      <c r="G2037" t="s">
        <v>28</v>
      </c>
      <c r="H2037" t="s">
        <v>77</v>
      </c>
      <c r="K2037" t="s">
        <v>2892</v>
      </c>
      <c r="L2037" t="s">
        <v>19</v>
      </c>
      <c r="M2037" t="s">
        <v>46</v>
      </c>
      <c r="N2037" s="2">
        <v>45566</v>
      </c>
      <c r="O2037" s="2">
        <v>45596</v>
      </c>
      <c r="P2037">
        <v>10000</v>
      </c>
      <c r="Q2037">
        <v>10000</v>
      </c>
      <c r="R2037" t="s">
        <v>3129</v>
      </c>
    </row>
    <row r="2038" spans="1:20" x14ac:dyDescent="0.25">
      <c r="A2038" t="s">
        <v>14</v>
      </c>
      <c r="B2038" t="s">
        <v>547</v>
      </c>
      <c r="C2038" t="s">
        <v>4394</v>
      </c>
      <c r="D2038" t="s">
        <v>4395</v>
      </c>
      <c r="E2038">
        <v>47300070480</v>
      </c>
      <c r="F2038" t="s">
        <v>16</v>
      </c>
      <c r="G2038" t="s">
        <v>28</v>
      </c>
      <c r="H2038" t="s">
        <v>184</v>
      </c>
      <c r="K2038" t="s">
        <v>3259</v>
      </c>
      <c r="L2038" t="s">
        <v>47</v>
      </c>
      <c r="N2038" s="2">
        <v>45536</v>
      </c>
      <c r="O2038" s="2">
        <v>45565</v>
      </c>
      <c r="P2038">
        <v>92732</v>
      </c>
      <c r="Q2038">
        <v>92732</v>
      </c>
      <c r="R2038" t="s">
        <v>2871</v>
      </c>
    </row>
    <row r="2039" spans="1:20" x14ac:dyDescent="0.25">
      <c r="A2039" t="s">
        <v>14</v>
      </c>
      <c r="B2039" t="s">
        <v>547</v>
      </c>
      <c r="C2039" t="s">
        <v>4398</v>
      </c>
      <c r="D2039" t="s">
        <v>4377</v>
      </c>
      <c r="E2039">
        <v>47300070480</v>
      </c>
      <c r="F2039" t="s">
        <v>16</v>
      </c>
      <c r="G2039" t="s">
        <v>28</v>
      </c>
      <c r="H2039" t="s">
        <v>184</v>
      </c>
      <c r="K2039" t="s">
        <v>3184</v>
      </c>
      <c r="L2039" t="s">
        <v>47</v>
      </c>
      <c r="N2039" s="2">
        <v>45536</v>
      </c>
      <c r="O2039" s="2">
        <v>45565</v>
      </c>
      <c r="P2039">
        <v>150650</v>
      </c>
      <c r="Q2039">
        <v>150650</v>
      </c>
      <c r="R2039" t="s">
        <v>2871</v>
      </c>
    </row>
    <row r="2040" spans="1:20" x14ac:dyDescent="0.25">
      <c r="A2040" t="s">
        <v>14</v>
      </c>
      <c r="B2040" t="s">
        <v>547</v>
      </c>
      <c r="C2040" t="s">
        <v>4414</v>
      </c>
      <c r="D2040" t="s">
        <v>4401</v>
      </c>
      <c r="E2040">
        <v>47300070480</v>
      </c>
      <c r="F2040" t="s">
        <v>16</v>
      </c>
      <c r="G2040" t="s">
        <v>28</v>
      </c>
      <c r="H2040" t="s">
        <v>184</v>
      </c>
      <c r="K2040" t="s">
        <v>2864</v>
      </c>
      <c r="L2040" t="s">
        <v>47</v>
      </c>
      <c r="N2040" s="2">
        <v>45536</v>
      </c>
      <c r="O2040" s="2">
        <v>45565</v>
      </c>
      <c r="P2040">
        <v>10000</v>
      </c>
      <c r="Q2040">
        <v>10000</v>
      </c>
      <c r="R2040" t="s">
        <v>2871</v>
      </c>
    </row>
    <row r="2041" spans="1:20" x14ac:dyDescent="0.25">
      <c r="A2041" t="s">
        <v>14</v>
      </c>
      <c r="B2041" t="s">
        <v>546</v>
      </c>
      <c r="C2041" t="s">
        <v>4369</v>
      </c>
      <c r="D2041" t="s">
        <v>4370</v>
      </c>
      <c r="E2041">
        <v>47300070704</v>
      </c>
      <c r="F2041" t="s">
        <v>16</v>
      </c>
      <c r="G2041" t="s">
        <v>28</v>
      </c>
      <c r="H2041" t="s">
        <v>146</v>
      </c>
      <c r="K2041" t="s">
        <v>3501</v>
      </c>
      <c r="L2041" t="s">
        <v>47</v>
      </c>
      <c r="N2041" s="2">
        <v>45566</v>
      </c>
      <c r="O2041" s="2">
        <v>45570</v>
      </c>
      <c r="P2041">
        <v>92732</v>
      </c>
      <c r="Q2041">
        <v>92732</v>
      </c>
      <c r="R2041" t="s">
        <v>3237</v>
      </c>
    </row>
    <row r="2042" spans="1:20" x14ac:dyDescent="0.25">
      <c r="A2042" t="s">
        <v>14</v>
      </c>
      <c r="B2042" t="s">
        <v>546</v>
      </c>
      <c r="C2042" t="s">
        <v>4367</v>
      </c>
      <c r="D2042" t="s">
        <v>4368</v>
      </c>
      <c r="E2042">
        <v>47300070704</v>
      </c>
      <c r="F2042" t="s">
        <v>16</v>
      </c>
      <c r="G2042" t="s">
        <v>28</v>
      </c>
      <c r="H2042" t="s">
        <v>146</v>
      </c>
      <c r="K2042" t="s">
        <v>3197</v>
      </c>
      <c r="L2042" t="s">
        <v>19</v>
      </c>
      <c r="M2042" t="s">
        <v>46</v>
      </c>
      <c r="N2042" s="2">
        <v>45566</v>
      </c>
      <c r="O2042" s="2">
        <v>45596</v>
      </c>
      <c r="P2042">
        <v>150650</v>
      </c>
      <c r="Q2042">
        <v>150650</v>
      </c>
      <c r="R2042" t="s">
        <v>3237</v>
      </c>
    </row>
    <row r="2043" spans="1:20" x14ac:dyDescent="0.25">
      <c r="A2043" t="s">
        <v>14</v>
      </c>
      <c r="B2043" t="s">
        <v>544</v>
      </c>
      <c r="C2043" t="s">
        <v>4380</v>
      </c>
      <c r="D2043" t="s">
        <v>4381</v>
      </c>
      <c r="E2043">
        <v>47300026094</v>
      </c>
      <c r="F2043" t="s">
        <v>35</v>
      </c>
      <c r="G2043" t="s">
        <v>36</v>
      </c>
      <c r="H2043" t="s">
        <v>4359</v>
      </c>
      <c r="K2043" t="s">
        <v>3795</v>
      </c>
      <c r="L2043" t="s">
        <v>19</v>
      </c>
      <c r="M2043" t="s">
        <v>20</v>
      </c>
      <c r="P2043">
        <v>50000</v>
      </c>
      <c r="Q2043">
        <v>50000</v>
      </c>
      <c r="R2043" t="s">
        <v>4110</v>
      </c>
      <c r="S2043" t="s">
        <v>545</v>
      </c>
      <c r="T2043">
        <v>208.2</v>
      </c>
    </row>
    <row r="2044" spans="1:20" x14ac:dyDescent="0.25">
      <c r="A2044" t="s">
        <v>14</v>
      </c>
      <c r="B2044" t="s">
        <v>542</v>
      </c>
      <c r="C2044" t="s">
        <v>4364</v>
      </c>
      <c r="D2044" t="s">
        <v>4358</v>
      </c>
      <c r="E2044">
        <v>47300086445</v>
      </c>
      <c r="F2044" t="s">
        <v>16</v>
      </c>
      <c r="G2044" t="s">
        <v>28</v>
      </c>
      <c r="H2044" t="s">
        <v>187</v>
      </c>
      <c r="I2044" t="s">
        <v>2777</v>
      </c>
      <c r="J2044" t="s">
        <v>2776</v>
      </c>
      <c r="K2044" t="s">
        <v>3795</v>
      </c>
      <c r="L2044" t="s">
        <v>19</v>
      </c>
      <c r="M2044" t="s">
        <v>20</v>
      </c>
      <c r="P2044">
        <v>30000</v>
      </c>
      <c r="Q2044">
        <v>30000</v>
      </c>
      <c r="R2044" t="s">
        <v>4111</v>
      </c>
      <c r="S2044" t="s">
        <v>543</v>
      </c>
      <c r="T2044">
        <v>124.9</v>
      </c>
    </row>
    <row r="2045" spans="1:20" x14ac:dyDescent="0.25">
      <c r="A2045" t="s">
        <v>14</v>
      </c>
      <c r="B2045" t="s">
        <v>541</v>
      </c>
      <c r="C2045" t="s">
        <v>4384</v>
      </c>
      <c r="D2045" t="s">
        <v>4379</v>
      </c>
      <c r="E2045">
        <v>47300046605</v>
      </c>
      <c r="F2045" t="s">
        <v>16</v>
      </c>
      <c r="G2045" t="s">
        <v>17</v>
      </c>
      <c r="H2045" t="s">
        <v>49</v>
      </c>
      <c r="K2045" t="s">
        <v>3501</v>
      </c>
      <c r="L2045" t="s">
        <v>47</v>
      </c>
      <c r="N2045" s="2">
        <v>45566</v>
      </c>
      <c r="O2045" s="2">
        <v>45570</v>
      </c>
      <c r="P2045">
        <v>92732</v>
      </c>
      <c r="Q2045">
        <v>92732</v>
      </c>
      <c r="R2045" t="s">
        <v>3502</v>
      </c>
    </row>
    <row r="2046" spans="1:20" x14ac:dyDescent="0.25">
      <c r="A2046" t="s">
        <v>14</v>
      </c>
      <c r="B2046" t="s">
        <v>539</v>
      </c>
      <c r="C2046" t="s">
        <v>4364</v>
      </c>
      <c r="D2046" t="s">
        <v>4358</v>
      </c>
      <c r="E2046">
        <v>47300046746</v>
      </c>
      <c r="F2046" t="s">
        <v>16</v>
      </c>
      <c r="G2046" t="s">
        <v>28</v>
      </c>
      <c r="H2046" t="s">
        <v>32</v>
      </c>
      <c r="K2046" t="s">
        <v>3795</v>
      </c>
      <c r="L2046" t="s">
        <v>19</v>
      </c>
      <c r="M2046" t="s">
        <v>20</v>
      </c>
      <c r="P2046">
        <v>15000</v>
      </c>
      <c r="Q2046">
        <v>15000</v>
      </c>
      <c r="R2046" t="s">
        <v>4112</v>
      </c>
      <c r="S2046" t="s">
        <v>540</v>
      </c>
      <c r="T2046">
        <v>62.4</v>
      </c>
    </row>
    <row r="2047" spans="1:20" x14ac:dyDescent="0.25">
      <c r="A2047" t="s">
        <v>14</v>
      </c>
      <c r="B2047" t="s">
        <v>537</v>
      </c>
      <c r="C2047" t="s">
        <v>4384</v>
      </c>
      <c r="D2047" t="s">
        <v>4379</v>
      </c>
      <c r="E2047">
        <v>47300046316</v>
      </c>
      <c r="F2047" t="s">
        <v>42</v>
      </c>
      <c r="G2047" t="s">
        <v>28</v>
      </c>
      <c r="H2047" t="s">
        <v>69</v>
      </c>
      <c r="K2047" t="s">
        <v>3795</v>
      </c>
      <c r="L2047" t="s">
        <v>19</v>
      </c>
      <c r="M2047" t="s">
        <v>20</v>
      </c>
      <c r="P2047">
        <v>30000</v>
      </c>
      <c r="Q2047">
        <v>30000</v>
      </c>
      <c r="R2047" t="s">
        <v>4113</v>
      </c>
      <c r="S2047" t="s">
        <v>538</v>
      </c>
      <c r="T2047">
        <v>124.9</v>
      </c>
    </row>
    <row r="2048" spans="1:20" x14ac:dyDescent="0.25">
      <c r="A2048" t="s">
        <v>14</v>
      </c>
      <c r="B2048" t="s">
        <v>535</v>
      </c>
      <c r="C2048" t="s">
        <v>4384</v>
      </c>
      <c r="D2048" t="s">
        <v>4379</v>
      </c>
      <c r="E2048">
        <v>47300046241</v>
      </c>
      <c r="F2048" t="s">
        <v>16</v>
      </c>
      <c r="G2048" t="s">
        <v>23</v>
      </c>
      <c r="H2048" t="s">
        <v>24</v>
      </c>
      <c r="I2048" t="s">
        <v>2754</v>
      </c>
      <c r="J2048">
        <v>0</v>
      </c>
      <c r="K2048" t="s">
        <v>3795</v>
      </c>
      <c r="L2048" t="s">
        <v>19</v>
      </c>
      <c r="M2048" t="s">
        <v>20</v>
      </c>
      <c r="P2048">
        <v>15000</v>
      </c>
      <c r="Q2048">
        <v>15000</v>
      </c>
      <c r="R2048" t="s">
        <v>4114</v>
      </c>
      <c r="S2048" t="s">
        <v>536</v>
      </c>
      <c r="T2048">
        <v>62.5</v>
      </c>
    </row>
    <row r="2049" spans="1:20" x14ac:dyDescent="0.25">
      <c r="A2049" t="s">
        <v>14</v>
      </c>
      <c r="B2049" t="s">
        <v>534</v>
      </c>
      <c r="C2049" t="s">
        <v>2927</v>
      </c>
      <c r="D2049" t="s">
        <v>4375</v>
      </c>
      <c r="E2049">
        <v>47300046399</v>
      </c>
      <c r="F2049" t="s">
        <v>16</v>
      </c>
      <c r="G2049" t="s">
        <v>28</v>
      </c>
      <c r="H2049" t="s">
        <v>122</v>
      </c>
      <c r="K2049" t="s">
        <v>3501</v>
      </c>
      <c r="L2049" t="s">
        <v>47</v>
      </c>
      <c r="N2049" s="2">
        <v>45566</v>
      </c>
      <c r="O2049" s="2">
        <v>45570</v>
      </c>
      <c r="P2049">
        <v>92732</v>
      </c>
      <c r="Q2049">
        <v>92732</v>
      </c>
      <c r="R2049" t="s">
        <v>3503</v>
      </c>
    </row>
    <row r="2050" spans="1:20" x14ac:dyDescent="0.25">
      <c r="A2050" t="s">
        <v>14</v>
      </c>
      <c r="B2050" t="s">
        <v>533</v>
      </c>
      <c r="C2050" t="s">
        <v>4398</v>
      </c>
      <c r="D2050" t="s">
        <v>4399</v>
      </c>
      <c r="E2050">
        <v>47300046688</v>
      </c>
      <c r="F2050" t="s">
        <v>16</v>
      </c>
      <c r="G2050" t="s">
        <v>17</v>
      </c>
      <c r="H2050" t="s">
        <v>154</v>
      </c>
      <c r="K2050" t="s">
        <v>3501</v>
      </c>
      <c r="L2050" t="s">
        <v>47</v>
      </c>
      <c r="N2050" s="2">
        <v>45566</v>
      </c>
      <c r="O2050" s="2">
        <v>45570</v>
      </c>
      <c r="P2050">
        <v>92732</v>
      </c>
      <c r="Q2050">
        <v>92732</v>
      </c>
      <c r="R2050" t="s">
        <v>3238</v>
      </c>
    </row>
    <row r="2051" spans="1:20" x14ac:dyDescent="0.25">
      <c r="A2051" t="s">
        <v>14</v>
      </c>
      <c r="B2051" t="s">
        <v>533</v>
      </c>
      <c r="C2051" t="s">
        <v>4420</v>
      </c>
      <c r="D2051" t="s">
        <v>4394</v>
      </c>
      <c r="E2051">
        <v>47300046688</v>
      </c>
      <c r="F2051" t="s">
        <v>16</v>
      </c>
      <c r="G2051" t="s">
        <v>17</v>
      </c>
      <c r="H2051" t="s">
        <v>154</v>
      </c>
      <c r="K2051" t="s">
        <v>3197</v>
      </c>
      <c r="L2051" t="s">
        <v>19</v>
      </c>
      <c r="M2051" t="s">
        <v>46</v>
      </c>
      <c r="N2051" s="2">
        <v>45597</v>
      </c>
      <c r="O2051" s="2">
        <v>45626</v>
      </c>
      <c r="P2051">
        <v>150650</v>
      </c>
      <c r="Q2051">
        <v>150650</v>
      </c>
      <c r="R2051" t="s">
        <v>3238</v>
      </c>
    </row>
    <row r="2052" spans="1:20" x14ac:dyDescent="0.25">
      <c r="A2052" t="s">
        <v>14</v>
      </c>
      <c r="B2052" t="s">
        <v>531</v>
      </c>
      <c r="C2052" t="s">
        <v>4384</v>
      </c>
      <c r="D2052" t="s">
        <v>4379</v>
      </c>
      <c r="E2052">
        <v>47300046191</v>
      </c>
      <c r="F2052" t="s">
        <v>16</v>
      </c>
      <c r="G2052" t="s">
        <v>28</v>
      </c>
      <c r="H2052" t="s">
        <v>119</v>
      </c>
      <c r="I2052" t="s">
        <v>2799</v>
      </c>
      <c r="J2052">
        <v>8033011626</v>
      </c>
      <c r="K2052" t="s">
        <v>4266</v>
      </c>
      <c r="L2052" t="s">
        <v>19</v>
      </c>
      <c r="M2052" t="s">
        <v>63</v>
      </c>
      <c r="N2052" s="2">
        <v>45597</v>
      </c>
      <c r="O2052" s="2">
        <v>45626</v>
      </c>
      <c r="P2052">
        <v>20000</v>
      </c>
      <c r="Q2052">
        <v>20000</v>
      </c>
      <c r="R2052" t="s">
        <v>3130</v>
      </c>
      <c r="S2052" t="s">
        <v>532</v>
      </c>
      <c r="T2052">
        <v>83.3</v>
      </c>
    </row>
    <row r="2053" spans="1:20" x14ac:dyDescent="0.25">
      <c r="A2053" t="s">
        <v>14</v>
      </c>
      <c r="B2053" t="s">
        <v>531</v>
      </c>
      <c r="C2053" t="s">
        <v>4384</v>
      </c>
      <c r="D2053" t="s">
        <v>4385</v>
      </c>
      <c r="E2053">
        <v>47300046191</v>
      </c>
      <c r="F2053" t="s">
        <v>16</v>
      </c>
      <c r="G2053" t="s">
        <v>28</v>
      </c>
      <c r="H2053" t="s">
        <v>119</v>
      </c>
      <c r="I2053" t="s">
        <v>2799</v>
      </c>
      <c r="J2053">
        <v>8033011626</v>
      </c>
      <c r="K2053" t="s">
        <v>3294</v>
      </c>
      <c r="L2053" t="s">
        <v>19</v>
      </c>
      <c r="M2053" t="s">
        <v>46</v>
      </c>
      <c r="N2053" s="2">
        <v>45597</v>
      </c>
      <c r="O2053" s="2">
        <v>45626</v>
      </c>
      <c r="P2053">
        <v>500</v>
      </c>
      <c r="Q2053">
        <v>500</v>
      </c>
      <c r="R2053" t="s">
        <v>3130</v>
      </c>
    </row>
    <row r="2054" spans="1:20" x14ac:dyDescent="0.25">
      <c r="A2054" t="s">
        <v>14</v>
      </c>
      <c r="B2054" t="s">
        <v>531</v>
      </c>
      <c r="C2054" t="s">
        <v>4420</v>
      </c>
      <c r="D2054" t="s">
        <v>4394</v>
      </c>
      <c r="E2054">
        <v>47300046191</v>
      </c>
      <c r="F2054" t="s">
        <v>16</v>
      </c>
      <c r="G2054" t="s">
        <v>28</v>
      </c>
      <c r="H2054" t="s">
        <v>119</v>
      </c>
      <c r="I2054" t="s">
        <v>2799</v>
      </c>
      <c r="J2054">
        <v>8033011626</v>
      </c>
      <c r="K2054" t="s">
        <v>3197</v>
      </c>
      <c r="L2054" t="s">
        <v>19</v>
      </c>
      <c r="M2054" t="s">
        <v>46</v>
      </c>
      <c r="N2054" s="2">
        <v>45597</v>
      </c>
      <c r="O2054" s="2">
        <v>45626</v>
      </c>
      <c r="P2054">
        <v>150650</v>
      </c>
      <c r="Q2054">
        <v>150650</v>
      </c>
      <c r="R2054" t="s">
        <v>3130</v>
      </c>
    </row>
    <row r="2055" spans="1:20" x14ac:dyDescent="0.25">
      <c r="A2055" t="s">
        <v>14</v>
      </c>
      <c r="B2055" t="s">
        <v>531</v>
      </c>
      <c r="C2055" t="s">
        <v>4406</v>
      </c>
      <c r="D2055" t="s">
        <v>4394</v>
      </c>
      <c r="E2055">
        <v>47300046191</v>
      </c>
      <c r="F2055" t="s">
        <v>16</v>
      </c>
      <c r="G2055" t="s">
        <v>28</v>
      </c>
      <c r="H2055" t="s">
        <v>119</v>
      </c>
      <c r="I2055" t="s">
        <v>2799</v>
      </c>
      <c r="J2055">
        <v>8033011626</v>
      </c>
      <c r="K2055" t="s">
        <v>2892</v>
      </c>
      <c r="L2055" t="s">
        <v>19</v>
      </c>
      <c r="M2055" t="s">
        <v>46</v>
      </c>
      <c r="N2055" s="2">
        <v>45597</v>
      </c>
      <c r="O2055" s="2">
        <v>45626</v>
      </c>
      <c r="P2055">
        <v>10000</v>
      </c>
      <c r="Q2055">
        <v>10000</v>
      </c>
      <c r="R2055" t="s">
        <v>3130</v>
      </c>
    </row>
    <row r="2056" spans="1:20" x14ac:dyDescent="0.25">
      <c r="A2056" t="s">
        <v>14</v>
      </c>
      <c r="B2056" t="s">
        <v>530</v>
      </c>
      <c r="C2056" t="s">
        <v>4378</v>
      </c>
      <c r="D2056" t="s">
        <v>4379</v>
      </c>
      <c r="E2056">
        <v>47300046647</v>
      </c>
      <c r="F2056" t="s">
        <v>16</v>
      </c>
      <c r="G2056" t="s">
        <v>87</v>
      </c>
      <c r="H2056" t="s">
        <v>100</v>
      </c>
      <c r="K2056" t="s">
        <v>3276</v>
      </c>
      <c r="L2056" t="s">
        <v>47</v>
      </c>
      <c r="N2056" s="2">
        <v>45566</v>
      </c>
      <c r="O2056" s="2">
        <v>45596</v>
      </c>
      <c r="P2056">
        <v>500</v>
      </c>
      <c r="Q2056">
        <v>500</v>
      </c>
      <c r="R2056" t="s">
        <v>2872</v>
      </c>
    </row>
    <row r="2057" spans="1:20" x14ac:dyDescent="0.25">
      <c r="A2057" t="s">
        <v>14</v>
      </c>
      <c r="B2057" t="s">
        <v>530</v>
      </c>
      <c r="C2057" t="s">
        <v>4398</v>
      </c>
      <c r="D2057" t="s">
        <v>4399</v>
      </c>
      <c r="E2057">
        <v>47300046647</v>
      </c>
      <c r="F2057" t="s">
        <v>16</v>
      </c>
      <c r="G2057" t="s">
        <v>87</v>
      </c>
      <c r="H2057" t="s">
        <v>100</v>
      </c>
      <c r="K2057" t="s">
        <v>3186</v>
      </c>
      <c r="L2057" t="s">
        <v>47</v>
      </c>
      <c r="N2057" s="2">
        <v>45566</v>
      </c>
      <c r="O2057" s="2">
        <v>45596</v>
      </c>
      <c r="P2057">
        <v>150650</v>
      </c>
      <c r="Q2057">
        <v>150650</v>
      </c>
      <c r="R2057" t="s">
        <v>2872</v>
      </c>
    </row>
    <row r="2058" spans="1:20" x14ac:dyDescent="0.25">
      <c r="A2058" t="s">
        <v>14</v>
      </c>
      <c r="B2058" t="s">
        <v>530</v>
      </c>
      <c r="C2058" t="s">
        <v>4398</v>
      </c>
      <c r="D2058" t="s">
        <v>4399</v>
      </c>
      <c r="E2058">
        <v>47300046647</v>
      </c>
      <c r="F2058" t="s">
        <v>16</v>
      </c>
      <c r="G2058" t="s">
        <v>87</v>
      </c>
      <c r="H2058" t="s">
        <v>100</v>
      </c>
      <c r="K2058" t="s">
        <v>2873</v>
      </c>
      <c r="L2058" t="s">
        <v>47</v>
      </c>
      <c r="N2058" s="2">
        <v>45566</v>
      </c>
      <c r="O2058" s="2">
        <v>45596</v>
      </c>
      <c r="P2058">
        <v>10000</v>
      </c>
      <c r="Q2058">
        <v>10000</v>
      </c>
      <c r="R2058" t="s">
        <v>2872</v>
      </c>
    </row>
    <row r="2059" spans="1:20" x14ac:dyDescent="0.25">
      <c r="A2059" t="s">
        <v>14</v>
      </c>
      <c r="B2059" t="s">
        <v>529</v>
      </c>
      <c r="C2059" t="s">
        <v>4398</v>
      </c>
      <c r="D2059" t="s">
        <v>4399</v>
      </c>
      <c r="E2059">
        <v>47300046779</v>
      </c>
      <c r="F2059" t="s">
        <v>42</v>
      </c>
      <c r="G2059" t="s">
        <v>28</v>
      </c>
      <c r="H2059" t="s">
        <v>199</v>
      </c>
      <c r="K2059" t="s">
        <v>3490</v>
      </c>
      <c r="L2059" t="s">
        <v>47</v>
      </c>
      <c r="N2059" s="2">
        <v>45595</v>
      </c>
      <c r="O2059" s="2">
        <v>45600</v>
      </c>
      <c r="P2059">
        <v>175193.75</v>
      </c>
      <c r="Q2059">
        <v>175193.75</v>
      </c>
      <c r="R2059" t="s">
        <v>3131</v>
      </c>
    </row>
    <row r="2060" spans="1:20" x14ac:dyDescent="0.25">
      <c r="A2060" t="s">
        <v>14</v>
      </c>
      <c r="B2060" t="s">
        <v>529</v>
      </c>
      <c r="C2060" t="s">
        <v>4420</v>
      </c>
      <c r="D2060" t="s">
        <v>4394</v>
      </c>
      <c r="E2060">
        <v>47300046779</v>
      </c>
      <c r="F2060" t="s">
        <v>42</v>
      </c>
      <c r="G2060" t="s">
        <v>28</v>
      </c>
      <c r="H2060" t="s">
        <v>199</v>
      </c>
      <c r="K2060" t="s">
        <v>3489</v>
      </c>
      <c r="L2060" t="s">
        <v>47</v>
      </c>
      <c r="N2060" s="2">
        <v>45595</v>
      </c>
      <c r="O2060" s="2">
        <v>45600</v>
      </c>
      <c r="P2060">
        <v>17519.38</v>
      </c>
      <c r="Q2060">
        <v>17519.38</v>
      </c>
      <c r="R2060" t="s">
        <v>3131</v>
      </c>
    </row>
    <row r="2061" spans="1:20" x14ac:dyDescent="0.25">
      <c r="A2061" t="s">
        <v>14</v>
      </c>
      <c r="B2061" t="s">
        <v>529</v>
      </c>
      <c r="C2061" t="s">
        <v>4406</v>
      </c>
      <c r="D2061" t="s">
        <v>4394</v>
      </c>
      <c r="E2061">
        <v>47300046779</v>
      </c>
      <c r="F2061" t="s">
        <v>42</v>
      </c>
      <c r="G2061" t="s">
        <v>28</v>
      </c>
      <c r="H2061" t="s">
        <v>199</v>
      </c>
      <c r="K2061" t="s">
        <v>3294</v>
      </c>
      <c r="L2061" t="s">
        <v>19</v>
      </c>
      <c r="M2061" t="s">
        <v>46</v>
      </c>
      <c r="N2061" s="2">
        <v>45597</v>
      </c>
      <c r="O2061" s="2">
        <v>45626</v>
      </c>
      <c r="P2061">
        <v>500</v>
      </c>
      <c r="Q2061">
        <v>500</v>
      </c>
      <c r="R2061" t="s">
        <v>3131</v>
      </c>
    </row>
    <row r="2062" spans="1:20" x14ac:dyDescent="0.25">
      <c r="A2062" t="s">
        <v>14</v>
      </c>
      <c r="B2062" t="s">
        <v>529</v>
      </c>
      <c r="C2062" t="s">
        <v>4384</v>
      </c>
      <c r="D2062" t="s">
        <v>4379</v>
      </c>
      <c r="E2062">
        <v>47300046779</v>
      </c>
      <c r="F2062" t="s">
        <v>42</v>
      </c>
      <c r="G2062" t="s">
        <v>28</v>
      </c>
      <c r="H2062" t="s">
        <v>199</v>
      </c>
      <c r="K2062" t="s">
        <v>3197</v>
      </c>
      <c r="L2062" t="s">
        <v>19</v>
      </c>
      <c r="M2062" t="s">
        <v>46</v>
      </c>
      <c r="N2062" s="2">
        <v>45597</v>
      </c>
      <c r="O2062" s="2">
        <v>45626</v>
      </c>
      <c r="P2062">
        <v>150650</v>
      </c>
      <c r="Q2062">
        <v>150650</v>
      </c>
      <c r="R2062" t="s">
        <v>3131</v>
      </c>
    </row>
    <row r="2063" spans="1:20" x14ac:dyDescent="0.25">
      <c r="A2063" t="s">
        <v>14</v>
      </c>
      <c r="B2063" t="s">
        <v>529</v>
      </c>
      <c r="C2063" t="s">
        <v>4384</v>
      </c>
      <c r="D2063" t="s">
        <v>4385</v>
      </c>
      <c r="E2063">
        <v>47300046779</v>
      </c>
      <c r="F2063" t="s">
        <v>42</v>
      </c>
      <c r="G2063" t="s">
        <v>28</v>
      </c>
      <c r="H2063" t="s">
        <v>199</v>
      </c>
      <c r="K2063" t="s">
        <v>2892</v>
      </c>
      <c r="L2063" t="s">
        <v>19</v>
      </c>
      <c r="M2063" t="s">
        <v>46</v>
      </c>
      <c r="N2063" s="2">
        <v>45597</v>
      </c>
      <c r="O2063" s="2">
        <v>45626</v>
      </c>
      <c r="P2063">
        <v>10000</v>
      </c>
      <c r="Q2063">
        <v>10000</v>
      </c>
      <c r="R2063" t="s">
        <v>3131</v>
      </c>
    </row>
    <row r="2064" spans="1:20" x14ac:dyDescent="0.25">
      <c r="A2064" t="s">
        <v>14</v>
      </c>
      <c r="B2064" t="s">
        <v>528</v>
      </c>
      <c r="C2064" t="s">
        <v>4398</v>
      </c>
      <c r="D2064" t="s">
        <v>4399</v>
      </c>
      <c r="E2064">
        <v>47300070837</v>
      </c>
      <c r="F2064" t="s">
        <v>16</v>
      </c>
      <c r="G2064" t="s">
        <v>23</v>
      </c>
      <c r="H2064" t="s">
        <v>165</v>
      </c>
      <c r="K2064" t="s">
        <v>3294</v>
      </c>
      <c r="L2064" t="s">
        <v>19</v>
      </c>
      <c r="M2064" t="s">
        <v>46</v>
      </c>
      <c r="N2064" s="2">
        <v>45597</v>
      </c>
      <c r="O2064" s="2">
        <v>45657</v>
      </c>
      <c r="P2064">
        <v>500</v>
      </c>
      <c r="Q2064">
        <v>1000</v>
      </c>
      <c r="R2064" t="s">
        <v>3466</v>
      </c>
    </row>
    <row r="2065" spans="1:20" x14ac:dyDescent="0.25">
      <c r="A2065" t="s">
        <v>14</v>
      </c>
      <c r="B2065" t="s">
        <v>527</v>
      </c>
      <c r="C2065" t="s">
        <v>4420</v>
      </c>
      <c r="D2065" t="s">
        <v>4394</v>
      </c>
      <c r="E2065">
        <v>47300070480</v>
      </c>
      <c r="F2065" t="s">
        <v>16</v>
      </c>
      <c r="G2065" t="s">
        <v>28</v>
      </c>
      <c r="H2065" t="s">
        <v>184</v>
      </c>
      <c r="K2065" t="s">
        <v>3276</v>
      </c>
      <c r="L2065" t="s">
        <v>47</v>
      </c>
      <c r="N2065" s="2">
        <v>45566</v>
      </c>
      <c r="O2065" s="2">
        <v>45596</v>
      </c>
      <c r="P2065">
        <v>500</v>
      </c>
      <c r="Q2065">
        <v>500</v>
      </c>
      <c r="R2065" t="s">
        <v>2874</v>
      </c>
    </row>
    <row r="2066" spans="1:20" x14ac:dyDescent="0.25">
      <c r="A2066" t="s">
        <v>14</v>
      </c>
      <c r="B2066" t="s">
        <v>527</v>
      </c>
      <c r="C2066" t="s">
        <v>4384</v>
      </c>
      <c r="D2066" t="s">
        <v>4379</v>
      </c>
      <c r="E2066">
        <v>47300070480</v>
      </c>
      <c r="F2066" t="s">
        <v>16</v>
      </c>
      <c r="G2066" t="s">
        <v>28</v>
      </c>
      <c r="H2066" t="s">
        <v>184</v>
      </c>
      <c r="K2066" t="s">
        <v>3186</v>
      </c>
      <c r="L2066" t="s">
        <v>47</v>
      </c>
      <c r="N2066" s="2">
        <v>45566</v>
      </c>
      <c r="O2066" s="2">
        <v>45596</v>
      </c>
      <c r="P2066">
        <v>150650</v>
      </c>
      <c r="Q2066">
        <v>150650</v>
      </c>
      <c r="R2066" t="s">
        <v>2874</v>
      </c>
    </row>
    <row r="2067" spans="1:20" x14ac:dyDescent="0.25">
      <c r="A2067" t="s">
        <v>14</v>
      </c>
      <c r="B2067" t="s">
        <v>527</v>
      </c>
      <c r="C2067" t="s">
        <v>4384</v>
      </c>
      <c r="D2067" t="s">
        <v>4385</v>
      </c>
      <c r="E2067">
        <v>47300070480</v>
      </c>
      <c r="F2067" t="s">
        <v>16</v>
      </c>
      <c r="G2067" t="s">
        <v>28</v>
      </c>
      <c r="H2067" t="s">
        <v>184</v>
      </c>
      <c r="K2067" t="s">
        <v>2873</v>
      </c>
      <c r="L2067" t="s">
        <v>47</v>
      </c>
      <c r="N2067" s="2">
        <v>45566</v>
      </c>
      <c r="O2067" s="2">
        <v>45596</v>
      </c>
      <c r="P2067">
        <v>10000</v>
      </c>
      <c r="Q2067">
        <v>10000</v>
      </c>
      <c r="R2067" t="s">
        <v>2874</v>
      </c>
    </row>
    <row r="2068" spans="1:20" x14ac:dyDescent="0.25">
      <c r="A2068" t="s">
        <v>14</v>
      </c>
      <c r="B2068" t="s">
        <v>525</v>
      </c>
      <c r="C2068" t="s">
        <v>4400</v>
      </c>
      <c r="D2068" t="s">
        <v>4401</v>
      </c>
      <c r="E2068">
        <v>47300026094</v>
      </c>
      <c r="F2068" t="s">
        <v>35</v>
      </c>
      <c r="G2068" t="s">
        <v>36</v>
      </c>
      <c r="H2068" t="s">
        <v>4359</v>
      </c>
      <c r="K2068" t="s">
        <v>4266</v>
      </c>
      <c r="L2068" t="s">
        <v>19</v>
      </c>
      <c r="M2068" t="s">
        <v>63</v>
      </c>
      <c r="N2068" s="2">
        <v>45597</v>
      </c>
      <c r="O2068" s="2">
        <v>45626</v>
      </c>
      <c r="P2068">
        <v>200000</v>
      </c>
      <c r="Q2068">
        <v>200000</v>
      </c>
      <c r="R2068" t="s">
        <v>3467</v>
      </c>
      <c r="S2068" t="s">
        <v>526</v>
      </c>
      <c r="T2068">
        <v>832.6</v>
      </c>
    </row>
    <row r="2069" spans="1:20" x14ac:dyDescent="0.25">
      <c r="A2069" t="s">
        <v>14</v>
      </c>
      <c r="B2069" t="s">
        <v>525</v>
      </c>
      <c r="C2069" t="s">
        <v>4408</v>
      </c>
      <c r="D2069" t="s">
        <v>4407</v>
      </c>
      <c r="E2069">
        <v>47300026094</v>
      </c>
      <c r="F2069" t="s">
        <v>35</v>
      </c>
      <c r="G2069" t="s">
        <v>36</v>
      </c>
      <c r="H2069" t="s">
        <v>4359</v>
      </c>
      <c r="K2069" t="s">
        <v>3294</v>
      </c>
      <c r="L2069" t="s">
        <v>19</v>
      </c>
      <c r="M2069" t="s">
        <v>46</v>
      </c>
      <c r="N2069" s="2">
        <v>45597</v>
      </c>
      <c r="O2069" s="2">
        <v>45626</v>
      </c>
      <c r="P2069">
        <v>500</v>
      </c>
      <c r="Q2069">
        <v>500</v>
      </c>
      <c r="R2069" t="s">
        <v>3467</v>
      </c>
    </row>
    <row r="2070" spans="1:20" x14ac:dyDescent="0.25">
      <c r="A2070" t="s">
        <v>14</v>
      </c>
      <c r="B2070" t="s">
        <v>523</v>
      </c>
      <c r="C2070" t="s">
        <v>4419</v>
      </c>
      <c r="D2070" t="s">
        <v>4368</v>
      </c>
      <c r="E2070">
        <v>47300025708</v>
      </c>
      <c r="F2070" t="s">
        <v>35</v>
      </c>
      <c r="G2070" t="s">
        <v>36</v>
      </c>
      <c r="H2070" t="s">
        <v>4360</v>
      </c>
      <c r="K2070" t="s">
        <v>4266</v>
      </c>
      <c r="L2070" t="s">
        <v>19</v>
      </c>
      <c r="M2070" t="s">
        <v>63</v>
      </c>
      <c r="N2070" s="2">
        <v>45597</v>
      </c>
      <c r="O2070" s="2">
        <v>45626</v>
      </c>
      <c r="P2070">
        <v>100000</v>
      </c>
      <c r="Q2070">
        <v>100000</v>
      </c>
      <c r="R2070" t="s">
        <v>3468</v>
      </c>
      <c r="S2070" t="s">
        <v>524</v>
      </c>
      <c r="T2070">
        <v>416.3</v>
      </c>
    </row>
    <row r="2071" spans="1:20" x14ac:dyDescent="0.25">
      <c r="A2071" t="s">
        <v>14</v>
      </c>
      <c r="B2071" t="s">
        <v>523</v>
      </c>
      <c r="C2071" t="s">
        <v>4371</v>
      </c>
      <c r="D2071" t="s">
        <v>4368</v>
      </c>
      <c r="E2071">
        <v>47300025708</v>
      </c>
      <c r="F2071" t="s">
        <v>35</v>
      </c>
      <c r="G2071" t="s">
        <v>36</v>
      </c>
      <c r="H2071" t="s">
        <v>4360</v>
      </c>
      <c r="K2071" t="s">
        <v>3294</v>
      </c>
      <c r="L2071" t="s">
        <v>19</v>
      </c>
      <c r="M2071" t="s">
        <v>46</v>
      </c>
      <c r="N2071" s="2">
        <v>45597</v>
      </c>
      <c r="O2071" s="2">
        <v>45626</v>
      </c>
      <c r="P2071">
        <v>500</v>
      </c>
      <c r="Q2071">
        <v>500</v>
      </c>
      <c r="R2071" t="s">
        <v>3468</v>
      </c>
    </row>
    <row r="2072" spans="1:20" x14ac:dyDescent="0.25">
      <c r="A2072" t="s">
        <v>14</v>
      </c>
      <c r="B2072" t="s">
        <v>521</v>
      </c>
      <c r="C2072" t="s">
        <v>4367</v>
      </c>
      <c r="D2072" t="s">
        <v>4368</v>
      </c>
      <c r="E2072">
        <v>47300020147</v>
      </c>
      <c r="F2072" t="s">
        <v>35</v>
      </c>
      <c r="G2072" t="s">
        <v>36</v>
      </c>
      <c r="H2072" t="s">
        <v>4363</v>
      </c>
      <c r="K2072" t="s">
        <v>4266</v>
      </c>
      <c r="L2072" t="s">
        <v>19</v>
      </c>
      <c r="M2072" t="s">
        <v>63</v>
      </c>
      <c r="N2072" s="2">
        <v>45597</v>
      </c>
      <c r="O2072" s="2">
        <v>45626</v>
      </c>
      <c r="P2072">
        <v>50000</v>
      </c>
      <c r="Q2072">
        <v>50000</v>
      </c>
      <c r="R2072" t="s">
        <v>3469</v>
      </c>
      <c r="S2072" t="s">
        <v>522</v>
      </c>
      <c r="T2072">
        <v>208.2</v>
      </c>
    </row>
    <row r="2073" spans="1:20" x14ac:dyDescent="0.25">
      <c r="A2073" t="s">
        <v>14</v>
      </c>
      <c r="B2073" t="s">
        <v>521</v>
      </c>
      <c r="C2073" t="s">
        <v>4400</v>
      </c>
      <c r="D2073" t="s">
        <v>4401</v>
      </c>
      <c r="E2073">
        <v>47300020147</v>
      </c>
      <c r="F2073" t="s">
        <v>35</v>
      </c>
      <c r="G2073" t="s">
        <v>36</v>
      </c>
      <c r="H2073" t="s">
        <v>4363</v>
      </c>
      <c r="K2073" t="s">
        <v>3294</v>
      </c>
      <c r="L2073" t="s">
        <v>19</v>
      </c>
      <c r="M2073" t="s">
        <v>46</v>
      </c>
      <c r="N2073" s="2">
        <v>45597</v>
      </c>
      <c r="O2073" s="2">
        <v>45626</v>
      </c>
      <c r="P2073">
        <v>500</v>
      </c>
      <c r="Q2073">
        <v>500</v>
      </c>
      <c r="R2073" t="s">
        <v>3469</v>
      </c>
    </row>
    <row r="2074" spans="1:20" x14ac:dyDescent="0.25">
      <c r="A2074" t="s">
        <v>14</v>
      </c>
      <c r="B2074" t="s">
        <v>520</v>
      </c>
      <c r="C2074" t="s">
        <v>4419</v>
      </c>
      <c r="D2074" t="s">
        <v>4368</v>
      </c>
      <c r="E2074">
        <v>47300070753</v>
      </c>
      <c r="F2074" t="s">
        <v>16</v>
      </c>
      <c r="G2074" t="s">
        <v>17</v>
      </c>
      <c r="H2074" t="s">
        <v>82</v>
      </c>
      <c r="K2074" t="s">
        <v>3294</v>
      </c>
      <c r="L2074" t="s">
        <v>19</v>
      </c>
      <c r="M2074" t="s">
        <v>46</v>
      </c>
      <c r="N2074" s="2">
        <v>45597</v>
      </c>
      <c r="O2074" s="2">
        <v>45626</v>
      </c>
      <c r="P2074">
        <v>500</v>
      </c>
      <c r="Q2074">
        <v>500</v>
      </c>
      <c r="R2074" t="s">
        <v>3470</v>
      </c>
    </row>
    <row r="2075" spans="1:20" x14ac:dyDescent="0.25">
      <c r="A2075" t="s">
        <v>14</v>
      </c>
      <c r="B2075" t="s">
        <v>519</v>
      </c>
      <c r="C2075" t="s">
        <v>4371</v>
      </c>
      <c r="D2075" t="s">
        <v>4368</v>
      </c>
      <c r="E2075">
        <v>47300070753</v>
      </c>
      <c r="F2075" t="s">
        <v>16</v>
      </c>
      <c r="G2075" t="s">
        <v>17</v>
      </c>
      <c r="H2075" t="s">
        <v>82</v>
      </c>
      <c r="K2075" t="s">
        <v>3197</v>
      </c>
      <c r="L2075" t="s">
        <v>19</v>
      </c>
      <c r="M2075" t="s">
        <v>46</v>
      </c>
      <c r="N2075" s="2">
        <v>45597</v>
      </c>
      <c r="O2075" s="2">
        <v>45626</v>
      </c>
      <c r="P2075">
        <v>150650</v>
      </c>
      <c r="Q2075">
        <v>150650</v>
      </c>
      <c r="R2075" t="s">
        <v>3132</v>
      </c>
    </row>
    <row r="2076" spans="1:20" x14ac:dyDescent="0.25">
      <c r="A2076" t="s">
        <v>14</v>
      </c>
      <c r="B2076" t="s">
        <v>519</v>
      </c>
      <c r="C2076" t="s">
        <v>4367</v>
      </c>
      <c r="D2076" t="s">
        <v>4368</v>
      </c>
      <c r="E2076">
        <v>47300070753</v>
      </c>
      <c r="F2076" t="s">
        <v>16</v>
      </c>
      <c r="G2076" t="s">
        <v>17</v>
      </c>
      <c r="H2076" t="s">
        <v>82</v>
      </c>
      <c r="K2076" t="s">
        <v>2892</v>
      </c>
      <c r="L2076" t="s">
        <v>19</v>
      </c>
      <c r="M2076" t="s">
        <v>46</v>
      </c>
      <c r="N2076" s="2">
        <v>45597</v>
      </c>
      <c r="O2076" s="2">
        <v>45626</v>
      </c>
      <c r="P2076">
        <v>10000</v>
      </c>
      <c r="Q2076">
        <v>10000</v>
      </c>
      <c r="R2076" t="s">
        <v>3132</v>
      </c>
    </row>
    <row r="2077" spans="1:20" x14ac:dyDescent="0.25">
      <c r="A2077" t="s">
        <v>14</v>
      </c>
      <c r="B2077" t="s">
        <v>517</v>
      </c>
      <c r="C2077" t="s">
        <v>4400</v>
      </c>
      <c r="D2077" t="s">
        <v>4401</v>
      </c>
      <c r="E2077">
        <v>47300070522</v>
      </c>
      <c r="F2077" t="s">
        <v>16</v>
      </c>
      <c r="G2077" t="s">
        <v>17</v>
      </c>
      <c r="H2077" t="s">
        <v>18</v>
      </c>
      <c r="K2077" t="s">
        <v>4266</v>
      </c>
      <c r="L2077" t="s">
        <v>19</v>
      </c>
      <c r="M2077" t="s">
        <v>63</v>
      </c>
      <c r="N2077" s="2">
        <v>45597</v>
      </c>
      <c r="O2077" s="2">
        <v>45626</v>
      </c>
      <c r="P2077">
        <v>50000</v>
      </c>
      <c r="Q2077">
        <v>50000</v>
      </c>
      <c r="R2077" t="s">
        <v>3133</v>
      </c>
      <c r="S2077" t="s">
        <v>518</v>
      </c>
      <c r="T2077">
        <v>208.2</v>
      </c>
    </row>
    <row r="2078" spans="1:20" x14ac:dyDescent="0.25">
      <c r="A2078" t="s">
        <v>14</v>
      </c>
      <c r="B2078" t="s">
        <v>517</v>
      </c>
      <c r="C2078" t="s">
        <v>4408</v>
      </c>
      <c r="D2078" t="s">
        <v>4407</v>
      </c>
      <c r="E2078">
        <v>47300070522</v>
      </c>
      <c r="F2078" t="s">
        <v>16</v>
      </c>
      <c r="G2078" t="s">
        <v>17</v>
      </c>
      <c r="H2078" t="s">
        <v>18</v>
      </c>
      <c r="K2078" t="s">
        <v>3294</v>
      </c>
      <c r="L2078" t="s">
        <v>19</v>
      </c>
      <c r="M2078" t="s">
        <v>46</v>
      </c>
      <c r="N2078" s="2">
        <v>45597</v>
      </c>
      <c r="O2078" s="2">
        <v>45626</v>
      </c>
      <c r="P2078">
        <v>500</v>
      </c>
      <c r="Q2078">
        <v>500</v>
      </c>
      <c r="R2078" t="s">
        <v>3133</v>
      </c>
    </row>
    <row r="2079" spans="1:20" x14ac:dyDescent="0.25">
      <c r="A2079" t="s">
        <v>14</v>
      </c>
      <c r="B2079" t="s">
        <v>517</v>
      </c>
      <c r="C2079" t="s">
        <v>4400</v>
      </c>
      <c r="D2079" t="s">
        <v>4401</v>
      </c>
      <c r="E2079">
        <v>47300070522</v>
      </c>
      <c r="F2079" t="s">
        <v>16</v>
      </c>
      <c r="G2079" t="s">
        <v>17</v>
      </c>
      <c r="H2079" t="s">
        <v>18</v>
      </c>
      <c r="K2079" t="s">
        <v>3197</v>
      </c>
      <c r="L2079" t="s">
        <v>19</v>
      </c>
      <c r="M2079" t="s">
        <v>46</v>
      </c>
      <c r="N2079" s="2">
        <v>45597</v>
      </c>
      <c r="O2079" s="2">
        <v>45626</v>
      </c>
      <c r="P2079">
        <v>150650</v>
      </c>
      <c r="Q2079">
        <v>150650</v>
      </c>
      <c r="R2079" t="s">
        <v>3133</v>
      </c>
    </row>
    <row r="2080" spans="1:20" x14ac:dyDescent="0.25">
      <c r="A2080" t="s">
        <v>14</v>
      </c>
      <c r="B2080" t="s">
        <v>517</v>
      </c>
      <c r="C2080" t="s">
        <v>4408</v>
      </c>
      <c r="D2080" t="s">
        <v>4407</v>
      </c>
      <c r="E2080">
        <v>47300070522</v>
      </c>
      <c r="F2080" t="s">
        <v>16</v>
      </c>
      <c r="G2080" t="s">
        <v>17</v>
      </c>
      <c r="H2080" t="s">
        <v>18</v>
      </c>
      <c r="K2080" t="s">
        <v>2892</v>
      </c>
      <c r="L2080" t="s">
        <v>19</v>
      </c>
      <c r="M2080" t="s">
        <v>46</v>
      </c>
      <c r="N2080" s="2">
        <v>45597</v>
      </c>
      <c r="O2080" s="2">
        <v>45626</v>
      </c>
      <c r="P2080">
        <v>10000</v>
      </c>
      <c r="Q2080">
        <v>10000</v>
      </c>
      <c r="R2080" t="s">
        <v>3133</v>
      </c>
    </row>
    <row r="2081" spans="1:20" x14ac:dyDescent="0.25">
      <c r="A2081" t="s">
        <v>14</v>
      </c>
      <c r="B2081" t="s">
        <v>516</v>
      </c>
      <c r="C2081" t="s">
        <v>4384</v>
      </c>
      <c r="D2081" t="s">
        <v>4391</v>
      </c>
      <c r="E2081">
        <v>47300046977</v>
      </c>
      <c r="F2081" t="s">
        <v>16</v>
      </c>
      <c r="G2081" t="s">
        <v>17</v>
      </c>
      <c r="H2081" t="s">
        <v>175</v>
      </c>
      <c r="K2081" t="s">
        <v>3294</v>
      </c>
      <c r="L2081" t="s">
        <v>19</v>
      </c>
      <c r="M2081" t="s">
        <v>46</v>
      </c>
      <c r="N2081" s="2">
        <v>45597</v>
      </c>
      <c r="O2081" s="2">
        <v>45626</v>
      </c>
      <c r="P2081">
        <v>500</v>
      </c>
      <c r="Q2081">
        <v>500</v>
      </c>
      <c r="R2081" t="s">
        <v>3134</v>
      </c>
    </row>
    <row r="2082" spans="1:20" x14ac:dyDescent="0.25">
      <c r="A2082" t="s">
        <v>14</v>
      </c>
      <c r="B2082" t="s">
        <v>516</v>
      </c>
      <c r="C2082" t="s">
        <v>4402</v>
      </c>
      <c r="D2082" t="s">
        <v>4403</v>
      </c>
      <c r="E2082">
        <v>47300046977</v>
      </c>
      <c r="F2082" t="s">
        <v>16</v>
      </c>
      <c r="G2082" t="s">
        <v>17</v>
      </c>
      <c r="H2082" t="s">
        <v>175</v>
      </c>
      <c r="K2082" t="s">
        <v>3197</v>
      </c>
      <c r="L2082" t="s">
        <v>19</v>
      </c>
      <c r="M2082" t="s">
        <v>46</v>
      </c>
      <c r="N2082" s="2">
        <v>45597</v>
      </c>
      <c r="O2082" s="2">
        <v>45626</v>
      </c>
      <c r="P2082">
        <v>150650</v>
      </c>
      <c r="Q2082">
        <v>150650</v>
      </c>
      <c r="R2082" t="s">
        <v>3134</v>
      </c>
    </row>
    <row r="2083" spans="1:20" x14ac:dyDescent="0.25">
      <c r="A2083" t="s">
        <v>14</v>
      </c>
      <c r="B2083" t="s">
        <v>516</v>
      </c>
      <c r="C2083" t="s">
        <v>4384</v>
      </c>
      <c r="D2083" t="s">
        <v>4391</v>
      </c>
      <c r="E2083">
        <v>47300046977</v>
      </c>
      <c r="F2083" t="s">
        <v>16</v>
      </c>
      <c r="G2083" t="s">
        <v>17</v>
      </c>
      <c r="H2083" t="s">
        <v>175</v>
      </c>
      <c r="K2083" t="s">
        <v>2892</v>
      </c>
      <c r="L2083" t="s">
        <v>19</v>
      </c>
      <c r="M2083" t="s">
        <v>46</v>
      </c>
      <c r="N2083" s="2">
        <v>45597</v>
      </c>
      <c r="O2083" s="2">
        <v>45626</v>
      </c>
      <c r="P2083">
        <v>10000</v>
      </c>
      <c r="Q2083">
        <v>10000</v>
      </c>
      <c r="R2083" t="s">
        <v>3134</v>
      </c>
    </row>
    <row r="2084" spans="1:20" x14ac:dyDescent="0.25">
      <c r="A2084" t="s">
        <v>14</v>
      </c>
      <c r="B2084" t="s">
        <v>514</v>
      </c>
      <c r="C2084" t="s">
        <v>4402</v>
      </c>
      <c r="D2084" t="s">
        <v>4403</v>
      </c>
      <c r="E2084">
        <v>47300070845</v>
      </c>
      <c r="F2084" t="s">
        <v>16</v>
      </c>
      <c r="G2084" t="s">
        <v>23</v>
      </c>
      <c r="H2084" t="s">
        <v>157</v>
      </c>
      <c r="K2084" t="s">
        <v>4266</v>
      </c>
      <c r="L2084" t="s">
        <v>19</v>
      </c>
      <c r="M2084" t="s">
        <v>63</v>
      </c>
      <c r="N2084" s="2">
        <v>45597</v>
      </c>
      <c r="O2084" s="2">
        <v>45626</v>
      </c>
      <c r="P2084">
        <v>100000</v>
      </c>
      <c r="Q2084">
        <v>100000</v>
      </c>
      <c r="R2084" t="s">
        <v>3135</v>
      </c>
      <c r="S2084" t="s">
        <v>515</v>
      </c>
      <c r="T2084">
        <v>416.3</v>
      </c>
    </row>
    <row r="2085" spans="1:20" x14ac:dyDescent="0.25">
      <c r="A2085" t="s">
        <v>14</v>
      </c>
      <c r="B2085" t="s">
        <v>514</v>
      </c>
      <c r="C2085" t="s">
        <v>4384</v>
      </c>
      <c r="D2085" t="s">
        <v>4391</v>
      </c>
      <c r="E2085">
        <v>47300070845</v>
      </c>
      <c r="F2085" t="s">
        <v>16</v>
      </c>
      <c r="G2085" t="s">
        <v>23</v>
      </c>
      <c r="H2085" t="s">
        <v>157</v>
      </c>
      <c r="K2085" t="s">
        <v>2892</v>
      </c>
      <c r="L2085" t="s">
        <v>19</v>
      </c>
      <c r="M2085" t="s">
        <v>46</v>
      </c>
      <c r="N2085" s="2">
        <v>45597</v>
      </c>
      <c r="O2085" s="2">
        <v>45626</v>
      </c>
      <c r="P2085">
        <v>10000</v>
      </c>
      <c r="Q2085">
        <v>10000</v>
      </c>
      <c r="R2085" t="s">
        <v>3135</v>
      </c>
    </row>
    <row r="2086" spans="1:20" x14ac:dyDescent="0.25">
      <c r="A2086" t="s">
        <v>14</v>
      </c>
      <c r="B2086" t="s">
        <v>513</v>
      </c>
      <c r="C2086" t="s">
        <v>4374</v>
      </c>
      <c r="D2086" t="s">
        <v>4375</v>
      </c>
      <c r="E2086">
        <v>47300046761</v>
      </c>
      <c r="F2086" t="s">
        <v>42</v>
      </c>
      <c r="G2086" t="s">
        <v>28</v>
      </c>
      <c r="H2086" t="s">
        <v>43</v>
      </c>
      <c r="K2086" t="s">
        <v>3294</v>
      </c>
      <c r="L2086" t="s">
        <v>19</v>
      </c>
      <c r="M2086" t="s">
        <v>46</v>
      </c>
      <c r="N2086" s="2">
        <v>45597</v>
      </c>
      <c r="O2086" s="2">
        <v>45626</v>
      </c>
      <c r="P2086">
        <v>500</v>
      </c>
      <c r="Q2086">
        <v>500</v>
      </c>
      <c r="R2086" t="s">
        <v>3136</v>
      </c>
    </row>
    <row r="2087" spans="1:20" x14ac:dyDescent="0.25">
      <c r="A2087" t="s">
        <v>14</v>
      </c>
      <c r="B2087" t="s">
        <v>513</v>
      </c>
      <c r="C2087" t="s">
        <v>4413</v>
      </c>
      <c r="D2087" t="s">
        <v>4395</v>
      </c>
      <c r="E2087">
        <v>47300046761</v>
      </c>
      <c r="F2087" t="s">
        <v>42</v>
      </c>
      <c r="G2087" t="s">
        <v>28</v>
      </c>
      <c r="H2087" t="s">
        <v>43</v>
      </c>
      <c r="K2087" t="s">
        <v>2892</v>
      </c>
      <c r="L2087" t="s">
        <v>19</v>
      </c>
      <c r="M2087" t="s">
        <v>46</v>
      </c>
      <c r="N2087" s="2">
        <v>45597</v>
      </c>
      <c r="O2087" s="2">
        <v>45626</v>
      </c>
      <c r="P2087">
        <v>10000</v>
      </c>
      <c r="Q2087">
        <v>10000</v>
      </c>
      <c r="R2087" t="s">
        <v>3136</v>
      </c>
    </row>
    <row r="2088" spans="1:20" x14ac:dyDescent="0.25">
      <c r="A2088" t="s">
        <v>14</v>
      </c>
      <c r="B2088" t="s">
        <v>511</v>
      </c>
      <c r="C2088" t="s">
        <v>4387</v>
      </c>
      <c r="D2088" t="s">
        <v>4388</v>
      </c>
      <c r="E2088">
        <v>47300070548</v>
      </c>
      <c r="F2088" t="s">
        <v>27</v>
      </c>
      <c r="G2088" t="s">
        <v>17</v>
      </c>
      <c r="H2088" t="s">
        <v>51</v>
      </c>
      <c r="K2088" t="s">
        <v>4266</v>
      </c>
      <c r="L2088" t="s">
        <v>19</v>
      </c>
      <c r="M2088" t="s">
        <v>63</v>
      </c>
      <c r="N2088" s="2">
        <v>45597</v>
      </c>
      <c r="O2088" s="2">
        <v>45626</v>
      </c>
      <c r="P2088">
        <v>100000</v>
      </c>
      <c r="Q2088">
        <v>100000</v>
      </c>
      <c r="R2088" t="s">
        <v>3239</v>
      </c>
      <c r="S2088" t="s">
        <v>512</v>
      </c>
      <c r="T2088">
        <v>416.3</v>
      </c>
    </row>
    <row r="2089" spans="1:20" x14ac:dyDescent="0.25">
      <c r="A2089" t="s">
        <v>14</v>
      </c>
      <c r="B2089" t="s">
        <v>511</v>
      </c>
      <c r="C2089" t="s">
        <v>4374</v>
      </c>
      <c r="D2089" t="s">
        <v>4375</v>
      </c>
      <c r="E2089">
        <v>47300070548</v>
      </c>
      <c r="F2089" t="s">
        <v>27</v>
      </c>
      <c r="G2089" t="s">
        <v>17</v>
      </c>
      <c r="H2089" t="s">
        <v>51</v>
      </c>
      <c r="K2089" t="s">
        <v>3294</v>
      </c>
      <c r="L2089" t="s">
        <v>19</v>
      </c>
      <c r="M2089" t="s">
        <v>46</v>
      </c>
      <c r="N2089" s="2">
        <v>45597</v>
      </c>
      <c r="O2089" s="2">
        <v>45626</v>
      </c>
      <c r="P2089">
        <v>500</v>
      </c>
      <c r="Q2089">
        <v>500</v>
      </c>
      <c r="R2089" t="s">
        <v>3239</v>
      </c>
    </row>
    <row r="2090" spans="1:20" x14ac:dyDescent="0.25">
      <c r="A2090" t="s">
        <v>14</v>
      </c>
      <c r="B2090" t="s">
        <v>511</v>
      </c>
      <c r="C2090" t="s">
        <v>4387</v>
      </c>
      <c r="D2090" t="s">
        <v>4388</v>
      </c>
      <c r="E2090">
        <v>47300070548</v>
      </c>
      <c r="F2090" t="s">
        <v>27</v>
      </c>
      <c r="G2090" t="s">
        <v>17</v>
      </c>
      <c r="H2090" t="s">
        <v>51</v>
      </c>
      <c r="K2090" t="s">
        <v>3197</v>
      </c>
      <c r="L2090" t="s">
        <v>19</v>
      </c>
      <c r="M2090" t="s">
        <v>46</v>
      </c>
      <c r="N2090" s="2">
        <v>45597</v>
      </c>
      <c r="O2090" s="2">
        <v>45626</v>
      </c>
      <c r="P2090">
        <v>150650</v>
      </c>
      <c r="Q2090">
        <v>150650</v>
      </c>
      <c r="R2090" t="s">
        <v>3239</v>
      </c>
    </row>
    <row r="2091" spans="1:20" x14ac:dyDescent="0.25">
      <c r="A2091" t="s">
        <v>14</v>
      </c>
      <c r="B2091" t="s">
        <v>509</v>
      </c>
      <c r="C2091" t="s">
        <v>4413</v>
      </c>
      <c r="D2091" t="s">
        <v>4395</v>
      </c>
      <c r="E2091">
        <v>47300046761</v>
      </c>
      <c r="F2091" t="s">
        <v>42</v>
      </c>
      <c r="G2091" t="s">
        <v>28</v>
      </c>
      <c r="H2091" t="s">
        <v>43</v>
      </c>
      <c r="K2091" t="s">
        <v>4266</v>
      </c>
      <c r="L2091" t="s">
        <v>19</v>
      </c>
      <c r="M2091" t="s">
        <v>63</v>
      </c>
      <c r="N2091" s="2">
        <v>45597</v>
      </c>
      <c r="O2091" s="2">
        <v>45626</v>
      </c>
      <c r="P2091">
        <v>25000</v>
      </c>
      <c r="Q2091">
        <v>25000</v>
      </c>
      <c r="R2091" t="s">
        <v>3240</v>
      </c>
      <c r="S2091" t="s">
        <v>510</v>
      </c>
      <c r="T2091">
        <v>104.1</v>
      </c>
    </row>
    <row r="2092" spans="1:20" x14ac:dyDescent="0.25">
      <c r="A2092" t="s">
        <v>14</v>
      </c>
      <c r="B2092" t="s">
        <v>509</v>
      </c>
      <c r="C2092" t="s">
        <v>4374</v>
      </c>
      <c r="D2092" t="s">
        <v>4375</v>
      </c>
      <c r="E2092">
        <v>47300046761</v>
      </c>
      <c r="F2092" t="s">
        <v>42</v>
      </c>
      <c r="G2092" t="s">
        <v>28</v>
      </c>
      <c r="H2092" t="s">
        <v>43</v>
      </c>
      <c r="K2092" t="s">
        <v>3197</v>
      </c>
      <c r="L2092" t="s">
        <v>19</v>
      </c>
      <c r="M2092" t="s">
        <v>46</v>
      </c>
      <c r="N2092" s="2">
        <v>45597</v>
      </c>
      <c r="O2092" s="2">
        <v>45626</v>
      </c>
      <c r="P2092">
        <v>150650</v>
      </c>
      <c r="Q2092">
        <v>150650</v>
      </c>
      <c r="R2092" t="s">
        <v>3240</v>
      </c>
    </row>
    <row r="2093" spans="1:20" x14ac:dyDescent="0.25">
      <c r="A2093" t="s">
        <v>14</v>
      </c>
      <c r="B2093" t="s">
        <v>508</v>
      </c>
      <c r="C2093" t="s">
        <v>4387</v>
      </c>
      <c r="D2093" t="s">
        <v>4388</v>
      </c>
      <c r="E2093">
        <v>47300070795</v>
      </c>
      <c r="F2093" t="s">
        <v>16</v>
      </c>
      <c r="G2093" t="s">
        <v>87</v>
      </c>
      <c r="H2093" t="s">
        <v>88</v>
      </c>
      <c r="K2093" t="s">
        <v>3294</v>
      </c>
      <c r="L2093" t="s">
        <v>19</v>
      </c>
      <c r="M2093" t="s">
        <v>46</v>
      </c>
      <c r="N2093" s="2">
        <v>45597</v>
      </c>
      <c r="O2093" s="2">
        <v>45626</v>
      </c>
      <c r="P2093">
        <v>500</v>
      </c>
      <c r="Q2093">
        <v>500</v>
      </c>
      <c r="R2093" t="s">
        <v>3137</v>
      </c>
    </row>
    <row r="2094" spans="1:20" x14ac:dyDescent="0.25">
      <c r="A2094" t="s">
        <v>14</v>
      </c>
      <c r="B2094" t="s">
        <v>508</v>
      </c>
      <c r="C2094" t="s">
        <v>4413</v>
      </c>
      <c r="D2094" t="s">
        <v>4395</v>
      </c>
      <c r="E2094">
        <v>47300070795</v>
      </c>
      <c r="F2094" t="s">
        <v>16</v>
      </c>
      <c r="G2094" t="s">
        <v>87</v>
      </c>
      <c r="H2094" t="s">
        <v>88</v>
      </c>
      <c r="K2094" t="s">
        <v>3197</v>
      </c>
      <c r="L2094" t="s">
        <v>19</v>
      </c>
      <c r="M2094" t="s">
        <v>46</v>
      </c>
      <c r="N2094" s="2">
        <v>45597</v>
      </c>
      <c r="O2094" s="2">
        <v>45626</v>
      </c>
      <c r="P2094">
        <v>150650</v>
      </c>
      <c r="Q2094">
        <v>150650</v>
      </c>
      <c r="R2094" t="s">
        <v>3137</v>
      </c>
    </row>
    <row r="2095" spans="1:20" x14ac:dyDescent="0.25">
      <c r="A2095" t="s">
        <v>14</v>
      </c>
      <c r="B2095" t="s">
        <v>508</v>
      </c>
      <c r="C2095" t="s">
        <v>4374</v>
      </c>
      <c r="D2095" t="s">
        <v>4375</v>
      </c>
      <c r="E2095">
        <v>47300070795</v>
      </c>
      <c r="F2095" t="s">
        <v>16</v>
      </c>
      <c r="G2095" t="s">
        <v>87</v>
      </c>
      <c r="H2095" t="s">
        <v>88</v>
      </c>
      <c r="K2095" t="s">
        <v>2892</v>
      </c>
      <c r="L2095" t="s">
        <v>19</v>
      </c>
      <c r="M2095" t="s">
        <v>46</v>
      </c>
      <c r="N2095" s="2">
        <v>45597</v>
      </c>
      <c r="O2095" s="2">
        <v>45626</v>
      </c>
      <c r="P2095">
        <v>10000</v>
      </c>
      <c r="Q2095">
        <v>10000</v>
      </c>
      <c r="R2095" t="s">
        <v>3137</v>
      </c>
    </row>
    <row r="2096" spans="1:20" x14ac:dyDescent="0.25">
      <c r="A2096" t="s">
        <v>14</v>
      </c>
      <c r="B2096" t="s">
        <v>506</v>
      </c>
      <c r="C2096" t="s">
        <v>4387</v>
      </c>
      <c r="D2096" t="s">
        <v>4388</v>
      </c>
      <c r="E2096">
        <v>47300070795</v>
      </c>
      <c r="F2096" t="s">
        <v>16</v>
      </c>
      <c r="G2096" t="s">
        <v>87</v>
      </c>
      <c r="H2096" t="s">
        <v>88</v>
      </c>
      <c r="K2096" t="s">
        <v>4266</v>
      </c>
      <c r="L2096" t="s">
        <v>19</v>
      </c>
      <c r="M2096" t="s">
        <v>63</v>
      </c>
      <c r="N2096" s="2">
        <v>45597</v>
      </c>
      <c r="O2096" s="2">
        <v>45626</v>
      </c>
      <c r="P2096">
        <v>50000</v>
      </c>
      <c r="Q2096">
        <v>50000</v>
      </c>
      <c r="R2096" t="s">
        <v>4314</v>
      </c>
      <c r="S2096" t="s">
        <v>507</v>
      </c>
      <c r="T2096">
        <v>208.1</v>
      </c>
    </row>
    <row r="2097" spans="1:20" x14ac:dyDescent="0.25">
      <c r="A2097" t="s">
        <v>14</v>
      </c>
      <c r="B2097" t="s">
        <v>504</v>
      </c>
      <c r="C2097" t="s">
        <v>4412</v>
      </c>
      <c r="D2097" t="s">
        <v>4377</v>
      </c>
      <c r="E2097">
        <v>47300070480</v>
      </c>
      <c r="F2097" t="s">
        <v>16</v>
      </c>
      <c r="G2097" t="s">
        <v>28</v>
      </c>
      <c r="H2097" t="s">
        <v>184</v>
      </c>
      <c r="K2097" t="s">
        <v>4266</v>
      </c>
      <c r="L2097" t="s">
        <v>19</v>
      </c>
      <c r="M2097" t="s">
        <v>63</v>
      </c>
      <c r="N2097" s="2">
        <v>45597</v>
      </c>
      <c r="O2097" s="2">
        <v>45626</v>
      </c>
      <c r="P2097">
        <v>50000</v>
      </c>
      <c r="Q2097">
        <v>50000</v>
      </c>
      <c r="R2097" t="s">
        <v>3138</v>
      </c>
      <c r="S2097" t="s">
        <v>505</v>
      </c>
      <c r="T2097">
        <v>208.2</v>
      </c>
    </row>
    <row r="2098" spans="1:20" x14ac:dyDescent="0.25">
      <c r="A2098" t="s">
        <v>14</v>
      </c>
      <c r="B2098" t="s">
        <v>504</v>
      </c>
      <c r="C2098" t="s">
        <v>4389</v>
      </c>
      <c r="D2098" t="s">
        <v>4375</v>
      </c>
      <c r="E2098">
        <v>47300070480</v>
      </c>
      <c r="F2098" t="s">
        <v>16</v>
      </c>
      <c r="G2098" t="s">
        <v>28</v>
      </c>
      <c r="H2098" t="s">
        <v>184</v>
      </c>
      <c r="K2098" t="s">
        <v>3294</v>
      </c>
      <c r="L2098" t="s">
        <v>19</v>
      </c>
      <c r="M2098" t="s">
        <v>46</v>
      </c>
      <c r="N2098" s="2">
        <v>45597</v>
      </c>
      <c r="O2098" s="2">
        <v>45626</v>
      </c>
      <c r="P2098">
        <v>500</v>
      </c>
      <c r="Q2098">
        <v>500</v>
      </c>
      <c r="R2098" t="s">
        <v>3138</v>
      </c>
    </row>
    <row r="2099" spans="1:20" x14ac:dyDescent="0.25">
      <c r="A2099" t="s">
        <v>14</v>
      </c>
      <c r="B2099" t="s">
        <v>504</v>
      </c>
      <c r="C2099" t="s">
        <v>4384</v>
      </c>
      <c r="D2099" t="s">
        <v>4379</v>
      </c>
      <c r="E2099">
        <v>47300070480</v>
      </c>
      <c r="F2099" t="s">
        <v>16</v>
      </c>
      <c r="G2099" t="s">
        <v>28</v>
      </c>
      <c r="H2099" t="s">
        <v>184</v>
      </c>
      <c r="K2099" t="s">
        <v>3197</v>
      </c>
      <c r="L2099" t="s">
        <v>19</v>
      </c>
      <c r="M2099" t="s">
        <v>46</v>
      </c>
      <c r="N2099" s="2">
        <v>45597</v>
      </c>
      <c r="O2099" s="2">
        <v>45626</v>
      </c>
      <c r="P2099">
        <v>150650</v>
      </c>
      <c r="Q2099">
        <v>150650</v>
      </c>
      <c r="R2099" t="s">
        <v>3138</v>
      </c>
    </row>
    <row r="2100" spans="1:20" x14ac:dyDescent="0.25">
      <c r="A2100" t="s">
        <v>14</v>
      </c>
      <c r="B2100" t="s">
        <v>504</v>
      </c>
      <c r="C2100" t="s">
        <v>4412</v>
      </c>
      <c r="D2100" t="s">
        <v>4377</v>
      </c>
      <c r="E2100">
        <v>47300070480</v>
      </c>
      <c r="F2100" t="s">
        <v>16</v>
      </c>
      <c r="G2100" t="s">
        <v>28</v>
      </c>
      <c r="H2100" t="s">
        <v>184</v>
      </c>
      <c r="K2100" t="s">
        <v>2892</v>
      </c>
      <c r="L2100" t="s">
        <v>19</v>
      </c>
      <c r="M2100" t="s">
        <v>46</v>
      </c>
      <c r="N2100" s="2">
        <v>45597</v>
      </c>
      <c r="O2100" s="2">
        <v>45626</v>
      </c>
      <c r="P2100">
        <v>10000</v>
      </c>
      <c r="Q2100">
        <v>10000</v>
      </c>
      <c r="R2100" t="s">
        <v>3138</v>
      </c>
    </row>
    <row r="2101" spans="1:20" x14ac:dyDescent="0.25">
      <c r="A2101" t="s">
        <v>14</v>
      </c>
      <c r="B2101" t="s">
        <v>502</v>
      </c>
      <c r="C2101" t="s">
        <v>4406</v>
      </c>
      <c r="D2101" t="s">
        <v>4394</v>
      </c>
      <c r="E2101">
        <v>47300070514</v>
      </c>
      <c r="F2101" t="s">
        <v>27</v>
      </c>
      <c r="G2101" t="s">
        <v>28</v>
      </c>
      <c r="H2101" t="s">
        <v>29</v>
      </c>
      <c r="K2101" t="s">
        <v>4266</v>
      </c>
      <c r="L2101" t="s">
        <v>19</v>
      </c>
      <c r="M2101" t="s">
        <v>63</v>
      </c>
      <c r="N2101" s="2">
        <v>45597</v>
      </c>
      <c r="O2101" s="2">
        <v>45626</v>
      </c>
      <c r="P2101">
        <v>20000</v>
      </c>
      <c r="Q2101">
        <v>20000</v>
      </c>
      <c r="R2101" t="s">
        <v>3139</v>
      </c>
      <c r="S2101" t="s">
        <v>503</v>
      </c>
      <c r="T2101">
        <v>83.3</v>
      </c>
    </row>
    <row r="2102" spans="1:20" x14ac:dyDescent="0.25">
      <c r="A2102" t="s">
        <v>14</v>
      </c>
      <c r="B2102" t="s">
        <v>502</v>
      </c>
      <c r="C2102" t="s">
        <v>4389</v>
      </c>
      <c r="D2102" t="s">
        <v>4375</v>
      </c>
      <c r="E2102">
        <v>47300070514</v>
      </c>
      <c r="F2102" t="s">
        <v>27</v>
      </c>
      <c r="G2102" t="s">
        <v>28</v>
      </c>
      <c r="H2102" t="s">
        <v>29</v>
      </c>
      <c r="K2102" t="s">
        <v>3294</v>
      </c>
      <c r="L2102" t="s">
        <v>19</v>
      </c>
      <c r="M2102" t="s">
        <v>46</v>
      </c>
      <c r="N2102" s="2">
        <v>45597</v>
      </c>
      <c r="O2102" s="2">
        <v>45626</v>
      </c>
      <c r="P2102">
        <v>500</v>
      </c>
      <c r="Q2102">
        <v>500</v>
      </c>
      <c r="R2102" t="s">
        <v>3139</v>
      </c>
    </row>
    <row r="2103" spans="1:20" x14ac:dyDescent="0.25">
      <c r="A2103" t="s">
        <v>14</v>
      </c>
      <c r="B2103" t="s">
        <v>502</v>
      </c>
      <c r="C2103" t="s">
        <v>4384</v>
      </c>
      <c r="D2103" t="s">
        <v>4379</v>
      </c>
      <c r="E2103">
        <v>47300070514</v>
      </c>
      <c r="F2103" t="s">
        <v>27</v>
      </c>
      <c r="G2103" t="s">
        <v>28</v>
      </c>
      <c r="H2103" t="s">
        <v>29</v>
      </c>
      <c r="K2103" t="s">
        <v>3197</v>
      </c>
      <c r="L2103" t="s">
        <v>19</v>
      </c>
      <c r="M2103" t="s">
        <v>46</v>
      </c>
      <c r="N2103" s="2">
        <v>45597</v>
      </c>
      <c r="O2103" s="2">
        <v>45626</v>
      </c>
      <c r="P2103">
        <v>150650</v>
      </c>
      <c r="Q2103">
        <v>150650</v>
      </c>
      <c r="R2103" t="s">
        <v>3139</v>
      </c>
    </row>
    <row r="2104" spans="1:20" x14ac:dyDescent="0.25">
      <c r="A2104" t="s">
        <v>14</v>
      </c>
      <c r="B2104" t="s">
        <v>502</v>
      </c>
      <c r="C2104" t="s">
        <v>4412</v>
      </c>
      <c r="D2104" t="s">
        <v>4377</v>
      </c>
      <c r="E2104">
        <v>47300070514</v>
      </c>
      <c r="F2104" t="s">
        <v>27</v>
      </c>
      <c r="G2104" t="s">
        <v>28</v>
      </c>
      <c r="H2104" t="s">
        <v>29</v>
      </c>
      <c r="K2104" t="s">
        <v>2892</v>
      </c>
      <c r="L2104" t="s">
        <v>19</v>
      </c>
      <c r="M2104" t="s">
        <v>46</v>
      </c>
      <c r="N2104" s="2">
        <v>45597</v>
      </c>
      <c r="O2104" s="2">
        <v>45626</v>
      </c>
      <c r="P2104">
        <v>10000</v>
      </c>
      <c r="Q2104">
        <v>10000</v>
      </c>
      <c r="R2104" t="s">
        <v>3139</v>
      </c>
    </row>
    <row r="2105" spans="1:20" x14ac:dyDescent="0.25">
      <c r="A2105" t="s">
        <v>14</v>
      </c>
      <c r="B2105" t="s">
        <v>500</v>
      </c>
      <c r="C2105" t="s">
        <v>4389</v>
      </c>
      <c r="D2105" t="s">
        <v>4375</v>
      </c>
      <c r="E2105">
        <v>47300046688</v>
      </c>
      <c r="F2105" t="s">
        <v>16</v>
      </c>
      <c r="G2105" t="s">
        <v>17</v>
      </c>
      <c r="H2105" t="s">
        <v>154</v>
      </c>
      <c r="K2105" t="s">
        <v>4266</v>
      </c>
      <c r="L2105" t="s">
        <v>19</v>
      </c>
      <c r="M2105" t="s">
        <v>63</v>
      </c>
      <c r="N2105" s="2">
        <v>45597</v>
      </c>
      <c r="O2105" s="2">
        <v>45626</v>
      </c>
      <c r="P2105">
        <v>100000</v>
      </c>
      <c r="Q2105">
        <v>100000</v>
      </c>
      <c r="R2105" t="s">
        <v>4315</v>
      </c>
      <c r="S2105" t="s">
        <v>501</v>
      </c>
      <c r="T2105">
        <v>416.3</v>
      </c>
    </row>
    <row r="2106" spans="1:20" x14ac:dyDescent="0.25">
      <c r="A2106" t="s">
        <v>14</v>
      </c>
      <c r="B2106" t="s">
        <v>498</v>
      </c>
      <c r="C2106" t="s">
        <v>4384</v>
      </c>
      <c r="D2106" t="s">
        <v>4379</v>
      </c>
      <c r="E2106">
        <v>47300046258</v>
      </c>
      <c r="F2106" t="s">
        <v>16</v>
      </c>
      <c r="G2106" t="s">
        <v>28</v>
      </c>
      <c r="H2106" t="s">
        <v>160</v>
      </c>
      <c r="K2106" t="s">
        <v>4266</v>
      </c>
      <c r="L2106" t="s">
        <v>19</v>
      </c>
      <c r="M2106" t="s">
        <v>63</v>
      </c>
      <c r="N2106" s="2">
        <v>45597</v>
      </c>
      <c r="O2106" s="2">
        <v>45626</v>
      </c>
      <c r="P2106">
        <v>50000</v>
      </c>
      <c r="Q2106">
        <v>50000</v>
      </c>
      <c r="R2106" t="s">
        <v>3140</v>
      </c>
      <c r="S2106" t="s">
        <v>499</v>
      </c>
      <c r="T2106">
        <v>208.2</v>
      </c>
    </row>
    <row r="2107" spans="1:20" x14ac:dyDescent="0.25">
      <c r="A2107" t="s">
        <v>14</v>
      </c>
      <c r="B2107" t="s">
        <v>498</v>
      </c>
      <c r="C2107" t="s">
        <v>4412</v>
      </c>
      <c r="D2107" t="s">
        <v>4377</v>
      </c>
      <c r="E2107">
        <v>47300046258</v>
      </c>
      <c r="F2107" t="s">
        <v>16</v>
      </c>
      <c r="G2107" t="s">
        <v>28</v>
      </c>
      <c r="H2107" t="s">
        <v>160</v>
      </c>
      <c r="K2107" t="s">
        <v>3294</v>
      </c>
      <c r="L2107" t="s">
        <v>19</v>
      </c>
      <c r="M2107" t="s">
        <v>46</v>
      </c>
      <c r="N2107" s="2">
        <v>45597</v>
      </c>
      <c r="O2107" s="2">
        <v>45626</v>
      </c>
      <c r="P2107">
        <v>500</v>
      </c>
      <c r="Q2107">
        <v>500</v>
      </c>
      <c r="R2107" t="s">
        <v>3140</v>
      </c>
    </row>
    <row r="2108" spans="1:20" x14ac:dyDescent="0.25">
      <c r="A2108" t="s">
        <v>14</v>
      </c>
      <c r="B2108" t="s">
        <v>498</v>
      </c>
      <c r="C2108" t="s">
        <v>4389</v>
      </c>
      <c r="D2108" t="s">
        <v>4375</v>
      </c>
      <c r="E2108">
        <v>47300046258</v>
      </c>
      <c r="F2108" t="s">
        <v>16</v>
      </c>
      <c r="G2108" t="s">
        <v>28</v>
      </c>
      <c r="H2108" t="s">
        <v>160</v>
      </c>
      <c r="K2108" t="s">
        <v>3197</v>
      </c>
      <c r="L2108" t="s">
        <v>19</v>
      </c>
      <c r="M2108" t="s">
        <v>46</v>
      </c>
      <c r="N2108" s="2">
        <v>45597</v>
      </c>
      <c r="O2108" s="2">
        <v>45626</v>
      </c>
      <c r="P2108">
        <v>150650</v>
      </c>
      <c r="Q2108">
        <v>150650</v>
      </c>
      <c r="R2108" t="s">
        <v>3140</v>
      </c>
    </row>
    <row r="2109" spans="1:20" x14ac:dyDescent="0.25">
      <c r="A2109" t="s">
        <v>14</v>
      </c>
      <c r="B2109" t="s">
        <v>498</v>
      </c>
      <c r="C2109" t="s">
        <v>4384</v>
      </c>
      <c r="D2109" t="s">
        <v>4379</v>
      </c>
      <c r="E2109">
        <v>47300046258</v>
      </c>
      <c r="F2109" t="s">
        <v>16</v>
      </c>
      <c r="G2109" t="s">
        <v>28</v>
      </c>
      <c r="H2109" t="s">
        <v>160</v>
      </c>
      <c r="K2109" t="s">
        <v>2892</v>
      </c>
      <c r="L2109" t="s">
        <v>19</v>
      </c>
      <c r="M2109" t="s">
        <v>46</v>
      </c>
      <c r="N2109" s="2">
        <v>45597</v>
      </c>
      <c r="O2109" s="2">
        <v>45626</v>
      </c>
      <c r="P2109">
        <v>10000</v>
      </c>
      <c r="Q2109">
        <v>10000</v>
      </c>
      <c r="R2109" t="s">
        <v>3140</v>
      </c>
    </row>
    <row r="2110" spans="1:20" x14ac:dyDescent="0.25">
      <c r="A2110" t="s">
        <v>14</v>
      </c>
      <c r="B2110" t="s">
        <v>497</v>
      </c>
      <c r="C2110" t="s">
        <v>4392</v>
      </c>
      <c r="D2110" t="s">
        <v>4393</v>
      </c>
      <c r="E2110">
        <v>47300070571</v>
      </c>
      <c r="F2110" t="s">
        <v>42</v>
      </c>
      <c r="G2110" t="s">
        <v>28</v>
      </c>
      <c r="H2110" t="s">
        <v>72</v>
      </c>
      <c r="K2110" t="s">
        <v>3504</v>
      </c>
      <c r="L2110" t="s">
        <v>47</v>
      </c>
      <c r="N2110" s="2">
        <v>45602</v>
      </c>
      <c r="O2110" s="2">
        <v>45602</v>
      </c>
      <c r="P2110">
        <v>90661</v>
      </c>
      <c r="Q2110">
        <v>90661</v>
      </c>
      <c r="R2110" t="s">
        <v>3141</v>
      </c>
    </row>
    <row r="2111" spans="1:20" x14ac:dyDescent="0.25">
      <c r="A2111" t="s">
        <v>14</v>
      </c>
      <c r="B2111" t="s">
        <v>497</v>
      </c>
      <c r="C2111" t="s">
        <v>4376</v>
      </c>
      <c r="D2111" t="s">
        <v>4377</v>
      </c>
      <c r="E2111">
        <v>47300070571</v>
      </c>
      <c r="F2111" t="s">
        <v>42</v>
      </c>
      <c r="G2111" t="s">
        <v>28</v>
      </c>
      <c r="H2111" t="s">
        <v>72</v>
      </c>
      <c r="K2111" t="s">
        <v>3294</v>
      </c>
      <c r="L2111" t="s">
        <v>19</v>
      </c>
      <c r="M2111" t="s">
        <v>46</v>
      </c>
      <c r="N2111" s="2">
        <v>45597</v>
      </c>
      <c r="O2111" s="2">
        <v>45626</v>
      </c>
      <c r="P2111">
        <v>500</v>
      </c>
      <c r="Q2111">
        <v>500</v>
      </c>
      <c r="R2111" t="s">
        <v>3141</v>
      </c>
    </row>
    <row r="2112" spans="1:20" x14ac:dyDescent="0.25">
      <c r="A2112" t="s">
        <v>14</v>
      </c>
      <c r="B2112" t="s">
        <v>497</v>
      </c>
      <c r="C2112" t="s">
        <v>4389</v>
      </c>
      <c r="D2112" t="s">
        <v>4390</v>
      </c>
      <c r="E2112">
        <v>47300070571</v>
      </c>
      <c r="F2112" t="s">
        <v>42</v>
      </c>
      <c r="G2112" t="s">
        <v>28</v>
      </c>
      <c r="H2112" t="s">
        <v>72</v>
      </c>
      <c r="K2112" t="s">
        <v>3197</v>
      </c>
      <c r="L2112" t="s">
        <v>19</v>
      </c>
      <c r="M2112" t="s">
        <v>46</v>
      </c>
      <c r="N2112" s="2">
        <v>45597</v>
      </c>
      <c r="O2112" s="2">
        <v>45626</v>
      </c>
      <c r="P2112">
        <v>150650</v>
      </c>
      <c r="Q2112">
        <v>150650</v>
      </c>
      <c r="R2112" t="s">
        <v>3141</v>
      </c>
    </row>
    <row r="2113" spans="1:20" x14ac:dyDescent="0.25">
      <c r="A2113" t="s">
        <v>14</v>
      </c>
      <c r="B2113" t="s">
        <v>497</v>
      </c>
      <c r="C2113" t="s">
        <v>4387</v>
      </c>
      <c r="D2113" t="s">
        <v>4388</v>
      </c>
      <c r="E2113">
        <v>47300070571</v>
      </c>
      <c r="F2113" t="s">
        <v>42</v>
      </c>
      <c r="G2113" t="s">
        <v>28</v>
      </c>
      <c r="H2113" t="s">
        <v>72</v>
      </c>
      <c r="K2113" t="s">
        <v>2892</v>
      </c>
      <c r="L2113" t="s">
        <v>19</v>
      </c>
      <c r="M2113" t="s">
        <v>46</v>
      </c>
      <c r="N2113" s="2">
        <v>45597</v>
      </c>
      <c r="O2113" s="2">
        <v>45626</v>
      </c>
      <c r="P2113">
        <v>10000</v>
      </c>
      <c r="Q2113">
        <v>10000</v>
      </c>
      <c r="R2113" t="s">
        <v>3141</v>
      </c>
    </row>
    <row r="2114" spans="1:20" x14ac:dyDescent="0.25">
      <c r="A2114" t="s">
        <v>14</v>
      </c>
      <c r="B2114" t="s">
        <v>496</v>
      </c>
      <c r="C2114" t="s">
        <v>4376</v>
      </c>
      <c r="D2114" t="s">
        <v>4377</v>
      </c>
      <c r="E2114">
        <v>47300046647</v>
      </c>
      <c r="F2114" t="s">
        <v>16</v>
      </c>
      <c r="G2114" t="s">
        <v>87</v>
      </c>
      <c r="H2114" t="s">
        <v>100</v>
      </c>
      <c r="K2114" t="s">
        <v>3504</v>
      </c>
      <c r="L2114" t="s">
        <v>47</v>
      </c>
      <c r="N2114" s="2">
        <v>45602</v>
      </c>
      <c r="O2114" s="2">
        <v>45602</v>
      </c>
      <c r="P2114">
        <v>90661</v>
      </c>
      <c r="Q2114">
        <v>90661</v>
      </c>
      <c r="R2114" t="s">
        <v>3505</v>
      </c>
    </row>
    <row r="2115" spans="1:20" x14ac:dyDescent="0.25">
      <c r="A2115" t="s">
        <v>14</v>
      </c>
      <c r="B2115" t="s">
        <v>495</v>
      </c>
      <c r="C2115" t="s">
        <v>4420</v>
      </c>
      <c r="D2115" t="s">
        <v>4394</v>
      </c>
      <c r="E2115">
        <v>47300046977</v>
      </c>
      <c r="F2115" t="s">
        <v>16</v>
      </c>
      <c r="G2115" t="s">
        <v>17</v>
      </c>
      <c r="H2115" t="s">
        <v>175</v>
      </c>
      <c r="K2115" t="s">
        <v>3504</v>
      </c>
      <c r="L2115" t="s">
        <v>47</v>
      </c>
      <c r="N2115" s="2">
        <v>45602</v>
      </c>
      <c r="O2115" s="2">
        <v>45602</v>
      </c>
      <c r="P2115">
        <v>90661</v>
      </c>
      <c r="Q2115">
        <v>90661</v>
      </c>
      <c r="R2115" t="s">
        <v>3506</v>
      </c>
    </row>
    <row r="2116" spans="1:20" x14ac:dyDescent="0.25">
      <c r="A2116" t="s">
        <v>14</v>
      </c>
      <c r="B2116" t="s">
        <v>494</v>
      </c>
      <c r="C2116" t="s">
        <v>4392</v>
      </c>
      <c r="D2116" t="s">
        <v>4393</v>
      </c>
      <c r="E2116">
        <v>47300046720</v>
      </c>
      <c r="F2116" t="s">
        <v>16</v>
      </c>
      <c r="G2116" t="s">
        <v>28</v>
      </c>
      <c r="H2116" t="s">
        <v>143</v>
      </c>
      <c r="K2116" t="s">
        <v>3504</v>
      </c>
      <c r="L2116" t="s">
        <v>47</v>
      </c>
      <c r="N2116" s="2">
        <v>45602</v>
      </c>
      <c r="O2116" s="2">
        <v>45602</v>
      </c>
      <c r="P2116">
        <v>90661</v>
      </c>
      <c r="Q2116">
        <v>90661</v>
      </c>
      <c r="R2116" t="s">
        <v>3241</v>
      </c>
    </row>
    <row r="2117" spans="1:20" x14ac:dyDescent="0.25">
      <c r="A2117" t="s">
        <v>14</v>
      </c>
      <c r="B2117" t="s">
        <v>494</v>
      </c>
      <c r="C2117" t="s">
        <v>4380</v>
      </c>
      <c r="D2117" t="s">
        <v>4381</v>
      </c>
      <c r="E2117">
        <v>47300046720</v>
      </c>
      <c r="F2117" t="s">
        <v>16</v>
      </c>
      <c r="G2117" t="s">
        <v>28</v>
      </c>
      <c r="H2117" t="s">
        <v>143</v>
      </c>
      <c r="K2117" t="s">
        <v>3294</v>
      </c>
      <c r="L2117" t="s">
        <v>19</v>
      </c>
      <c r="M2117" t="s">
        <v>46</v>
      </c>
      <c r="N2117" s="2">
        <v>45597</v>
      </c>
      <c r="O2117" s="2">
        <v>45626</v>
      </c>
      <c r="P2117">
        <v>500</v>
      </c>
      <c r="Q2117">
        <v>500</v>
      </c>
      <c r="R2117" t="s">
        <v>3241</v>
      </c>
    </row>
    <row r="2118" spans="1:20" x14ac:dyDescent="0.25">
      <c r="A2118" t="s">
        <v>14</v>
      </c>
      <c r="B2118" t="s">
        <v>494</v>
      </c>
      <c r="C2118" t="s">
        <v>4420</v>
      </c>
      <c r="D2118" t="s">
        <v>4394</v>
      </c>
      <c r="E2118">
        <v>47300046720</v>
      </c>
      <c r="F2118" t="s">
        <v>16</v>
      </c>
      <c r="G2118" t="s">
        <v>28</v>
      </c>
      <c r="H2118" t="s">
        <v>143</v>
      </c>
      <c r="K2118" t="s">
        <v>3197</v>
      </c>
      <c r="L2118" t="s">
        <v>19</v>
      </c>
      <c r="M2118" t="s">
        <v>46</v>
      </c>
      <c r="N2118" s="2">
        <v>45597</v>
      </c>
      <c r="O2118" s="2">
        <v>45626</v>
      </c>
      <c r="P2118">
        <v>150650</v>
      </c>
      <c r="Q2118">
        <v>150650</v>
      </c>
      <c r="R2118" t="s">
        <v>3241</v>
      </c>
    </row>
    <row r="2119" spans="1:20" x14ac:dyDescent="0.25">
      <c r="A2119" t="s">
        <v>14</v>
      </c>
      <c r="B2119" t="s">
        <v>493</v>
      </c>
      <c r="C2119" t="s">
        <v>4378</v>
      </c>
      <c r="D2119" t="s">
        <v>4379</v>
      </c>
      <c r="E2119">
        <v>47300070845</v>
      </c>
      <c r="F2119" t="s">
        <v>16</v>
      </c>
      <c r="G2119" t="s">
        <v>23</v>
      </c>
      <c r="H2119" t="s">
        <v>157</v>
      </c>
      <c r="K2119" t="s">
        <v>3504</v>
      </c>
      <c r="L2119" t="s">
        <v>47</v>
      </c>
      <c r="N2119" s="2">
        <v>45602</v>
      </c>
      <c r="O2119" s="2">
        <v>45602</v>
      </c>
      <c r="P2119">
        <v>90661</v>
      </c>
      <c r="Q2119">
        <v>90661</v>
      </c>
      <c r="R2119" t="s">
        <v>3507</v>
      </c>
    </row>
    <row r="2120" spans="1:20" x14ac:dyDescent="0.25">
      <c r="A2120" t="s">
        <v>14</v>
      </c>
      <c r="B2120" t="s">
        <v>491</v>
      </c>
      <c r="C2120" t="s">
        <v>4402</v>
      </c>
      <c r="D2120" t="s">
        <v>4403</v>
      </c>
      <c r="E2120">
        <v>47300070688</v>
      </c>
      <c r="F2120" t="s">
        <v>16</v>
      </c>
      <c r="G2120" t="s">
        <v>17</v>
      </c>
      <c r="H2120" t="s">
        <v>149</v>
      </c>
      <c r="K2120" t="s">
        <v>4266</v>
      </c>
      <c r="L2120" t="s">
        <v>19</v>
      </c>
      <c r="M2120" t="s">
        <v>63</v>
      </c>
      <c r="N2120" s="2">
        <v>45597</v>
      </c>
      <c r="O2120" s="2">
        <v>45626</v>
      </c>
      <c r="P2120">
        <v>200000</v>
      </c>
      <c r="Q2120">
        <v>200000</v>
      </c>
      <c r="R2120" t="s">
        <v>3142</v>
      </c>
      <c r="S2120" t="s">
        <v>492</v>
      </c>
      <c r="T2120">
        <v>832.6</v>
      </c>
    </row>
    <row r="2121" spans="1:20" x14ac:dyDescent="0.25">
      <c r="A2121" t="s">
        <v>14</v>
      </c>
      <c r="B2121" t="s">
        <v>491</v>
      </c>
      <c r="C2121" t="s">
        <v>4376</v>
      </c>
      <c r="D2121" t="s">
        <v>4377</v>
      </c>
      <c r="E2121">
        <v>47300070688</v>
      </c>
      <c r="F2121" t="s">
        <v>16</v>
      </c>
      <c r="G2121" t="s">
        <v>17</v>
      </c>
      <c r="H2121" t="s">
        <v>149</v>
      </c>
      <c r="K2121" t="s">
        <v>3492</v>
      </c>
      <c r="L2121" t="s">
        <v>47</v>
      </c>
      <c r="N2121" s="2">
        <v>45595</v>
      </c>
      <c r="O2121" s="2">
        <v>45600</v>
      </c>
      <c r="P2121">
        <v>82173.58</v>
      </c>
      <c r="Q2121">
        <v>82173.58</v>
      </c>
      <c r="R2121" t="s">
        <v>3142</v>
      </c>
    </row>
    <row r="2122" spans="1:20" x14ac:dyDescent="0.25">
      <c r="A2122" t="s">
        <v>14</v>
      </c>
      <c r="B2122" t="s">
        <v>491</v>
      </c>
      <c r="C2122" t="s">
        <v>4384</v>
      </c>
      <c r="D2122" t="s">
        <v>4391</v>
      </c>
      <c r="E2122">
        <v>47300070688</v>
      </c>
      <c r="F2122" t="s">
        <v>16</v>
      </c>
      <c r="G2122" t="s">
        <v>17</v>
      </c>
      <c r="H2122" t="s">
        <v>149</v>
      </c>
      <c r="K2122" t="s">
        <v>3489</v>
      </c>
      <c r="L2122" t="s">
        <v>47</v>
      </c>
      <c r="N2122" s="2">
        <v>45595</v>
      </c>
      <c r="O2122" s="2">
        <v>45600</v>
      </c>
      <c r="P2122">
        <v>8217.36</v>
      </c>
      <c r="Q2122">
        <v>8217.36</v>
      </c>
      <c r="R2122" t="s">
        <v>3142</v>
      </c>
    </row>
    <row r="2123" spans="1:20" x14ac:dyDescent="0.25">
      <c r="A2123" t="s">
        <v>14</v>
      </c>
      <c r="B2123" t="s">
        <v>491</v>
      </c>
      <c r="C2123" t="s">
        <v>4384</v>
      </c>
      <c r="D2123" t="s">
        <v>4385</v>
      </c>
      <c r="E2123">
        <v>47300070688</v>
      </c>
      <c r="F2123" t="s">
        <v>16</v>
      </c>
      <c r="G2123" t="s">
        <v>17</v>
      </c>
      <c r="H2123" t="s">
        <v>149</v>
      </c>
      <c r="K2123" t="s">
        <v>3294</v>
      </c>
      <c r="L2123" t="s">
        <v>19</v>
      </c>
      <c r="M2123" t="s">
        <v>46</v>
      </c>
      <c r="N2123" s="2">
        <v>45597</v>
      </c>
      <c r="O2123" s="2">
        <v>45626</v>
      </c>
      <c r="P2123">
        <v>500</v>
      </c>
      <c r="Q2123">
        <v>500</v>
      </c>
      <c r="R2123" t="s">
        <v>3142</v>
      </c>
    </row>
    <row r="2124" spans="1:20" x14ac:dyDescent="0.25">
      <c r="A2124" t="s">
        <v>14</v>
      </c>
      <c r="B2124" t="s">
        <v>491</v>
      </c>
      <c r="C2124" t="s">
        <v>4389</v>
      </c>
      <c r="D2124" t="s">
        <v>4390</v>
      </c>
      <c r="E2124">
        <v>47300070688</v>
      </c>
      <c r="F2124" t="s">
        <v>16</v>
      </c>
      <c r="G2124" t="s">
        <v>17</v>
      </c>
      <c r="H2124" t="s">
        <v>149</v>
      </c>
      <c r="K2124" t="s">
        <v>3197</v>
      </c>
      <c r="L2124" t="s">
        <v>19</v>
      </c>
      <c r="M2124" t="s">
        <v>46</v>
      </c>
      <c r="N2124" s="2">
        <v>45597</v>
      </c>
      <c r="O2124" s="2">
        <v>45626</v>
      </c>
      <c r="P2124">
        <v>150650</v>
      </c>
      <c r="Q2124">
        <v>150650</v>
      </c>
      <c r="R2124" t="s">
        <v>3142</v>
      </c>
    </row>
    <row r="2125" spans="1:20" x14ac:dyDescent="0.25">
      <c r="A2125" t="s">
        <v>14</v>
      </c>
      <c r="B2125" t="s">
        <v>491</v>
      </c>
      <c r="C2125" t="s">
        <v>4392</v>
      </c>
      <c r="D2125" t="s">
        <v>4393</v>
      </c>
      <c r="E2125">
        <v>47300070688</v>
      </c>
      <c r="F2125" t="s">
        <v>16</v>
      </c>
      <c r="G2125" t="s">
        <v>17</v>
      </c>
      <c r="H2125" t="s">
        <v>149</v>
      </c>
      <c r="K2125" t="s">
        <v>2892</v>
      </c>
      <c r="L2125" t="s">
        <v>19</v>
      </c>
      <c r="M2125" t="s">
        <v>46</v>
      </c>
      <c r="N2125" s="2">
        <v>45597</v>
      </c>
      <c r="O2125" s="2">
        <v>45626</v>
      </c>
      <c r="P2125">
        <v>10000</v>
      </c>
      <c r="Q2125">
        <v>10000</v>
      </c>
      <c r="R2125" t="s">
        <v>3142</v>
      </c>
    </row>
    <row r="2126" spans="1:20" x14ac:dyDescent="0.25">
      <c r="A2126" t="s">
        <v>14</v>
      </c>
      <c r="B2126" t="s">
        <v>490</v>
      </c>
      <c r="C2126" t="s">
        <v>4392</v>
      </c>
      <c r="D2126" t="s">
        <v>4393</v>
      </c>
      <c r="E2126">
        <v>47300046399</v>
      </c>
      <c r="F2126" t="s">
        <v>16</v>
      </c>
      <c r="G2126" t="s">
        <v>28</v>
      </c>
      <c r="H2126" t="s">
        <v>122</v>
      </c>
      <c r="K2126" t="s">
        <v>3504</v>
      </c>
      <c r="L2126" t="s">
        <v>47</v>
      </c>
      <c r="N2126" s="2">
        <v>45602</v>
      </c>
      <c r="O2126" s="2">
        <v>45602</v>
      </c>
      <c r="P2126">
        <v>90661</v>
      </c>
      <c r="Q2126">
        <v>90661</v>
      </c>
      <c r="R2126" t="s">
        <v>3508</v>
      </c>
    </row>
    <row r="2127" spans="1:20" x14ac:dyDescent="0.25">
      <c r="A2127" t="s">
        <v>14</v>
      </c>
      <c r="B2127" t="s">
        <v>489</v>
      </c>
      <c r="C2127" t="s">
        <v>4392</v>
      </c>
      <c r="D2127" t="s">
        <v>4393</v>
      </c>
      <c r="E2127">
        <v>47300046191</v>
      </c>
      <c r="F2127" t="s">
        <v>16</v>
      </c>
      <c r="G2127" t="s">
        <v>28</v>
      </c>
      <c r="H2127" t="s">
        <v>119</v>
      </c>
      <c r="I2127" t="s">
        <v>2799</v>
      </c>
      <c r="J2127">
        <v>8033011626</v>
      </c>
      <c r="K2127" t="s">
        <v>3504</v>
      </c>
      <c r="L2127" t="s">
        <v>47</v>
      </c>
      <c r="N2127" s="2">
        <v>45602</v>
      </c>
      <c r="O2127" s="2">
        <v>45602</v>
      </c>
      <c r="P2127">
        <v>90661</v>
      </c>
      <c r="Q2127">
        <v>90661</v>
      </c>
      <c r="R2127" t="s">
        <v>3509</v>
      </c>
    </row>
    <row r="2128" spans="1:20" x14ac:dyDescent="0.25">
      <c r="A2128" t="s">
        <v>14</v>
      </c>
      <c r="B2128" t="s">
        <v>487</v>
      </c>
      <c r="C2128" t="s">
        <v>4376</v>
      </c>
      <c r="D2128" t="s">
        <v>4377</v>
      </c>
      <c r="E2128">
        <v>47300046191</v>
      </c>
      <c r="F2128" t="s">
        <v>16</v>
      </c>
      <c r="G2128" t="s">
        <v>28</v>
      </c>
      <c r="H2128" t="s">
        <v>119</v>
      </c>
      <c r="I2128" t="s">
        <v>2799</v>
      </c>
      <c r="J2128">
        <v>8033011626</v>
      </c>
      <c r="K2128" t="s">
        <v>3795</v>
      </c>
      <c r="L2128" t="s">
        <v>19</v>
      </c>
      <c r="M2128" t="s">
        <v>20</v>
      </c>
      <c r="P2128">
        <v>10000</v>
      </c>
      <c r="Q2128">
        <v>10000</v>
      </c>
      <c r="R2128" t="s">
        <v>4115</v>
      </c>
      <c r="S2128" t="s">
        <v>488</v>
      </c>
      <c r="T2128">
        <v>41.6</v>
      </c>
    </row>
    <row r="2129" spans="1:20" x14ac:dyDescent="0.25">
      <c r="A2129" t="s">
        <v>14</v>
      </c>
      <c r="B2129" t="s">
        <v>485</v>
      </c>
      <c r="C2129" t="s">
        <v>4389</v>
      </c>
      <c r="D2129" t="s">
        <v>4390</v>
      </c>
      <c r="E2129">
        <v>47300046720</v>
      </c>
      <c r="F2129" t="s">
        <v>16</v>
      </c>
      <c r="G2129" t="s">
        <v>28</v>
      </c>
      <c r="H2129" t="s">
        <v>143</v>
      </c>
      <c r="K2129" t="s">
        <v>4266</v>
      </c>
      <c r="L2129" t="s">
        <v>19</v>
      </c>
      <c r="M2129" t="s">
        <v>63</v>
      </c>
      <c r="N2129" s="2">
        <v>45597</v>
      </c>
      <c r="O2129" s="2">
        <v>45626</v>
      </c>
      <c r="P2129">
        <v>30000</v>
      </c>
      <c r="Q2129">
        <v>30000</v>
      </c>
      <c r="R2129" t="s">
        <v>4316</v>
      </c>
      <c r="S2129" t="s">
        <v>486</v>
      </c>
      <c r="T2129">
        <v>124.8</v>
      </c>
    </row>
    <row r="2130" spans="1:20" x14ac:dyDescent="0.25">
      <c r="A2130" t="s">
        <v>14</v>
      </c>
      <c r="B2130" t="s">
        <v>483</v>
      </c>
      <c r="C2130" t="s">
        <v>4392</v>
      </c>
      <c r="D2130" t="s">
        <v>4393</v>
      </c>
      <c r="E2130">
        <v>47300046761</v>
      </c>
      <c r="F2130" t="s">
        <v>42</v>
      </c>
      <c r="G2130" t="s">
        <v>28</v>
      </c>
      <c r="H2130" t="s">
        <v>43</v>
      </c>
      <c r="K2130" t="s">
        <v>3795</v>
      </c>
      <c r="L2130" t="s">
        <v>19</v>
      </c>
      <c r="M2130" t="s">
        <v>20</v>
      </c>
      <c r="P2130">
        <v>25000</v>
      </c>
      <c r="Q2130">
        <v>25000</v>
      </c>
      <c r="R2130" t="s">
        <v>4116</v>
      </c>
      <c r="S2130" t="s">
        <v>484</v>
      </c>
      <c r="T2130">
        <v>104.1</v>
      </c>
    </row>
    <row r="2131" spans="1:20" x14ac:dyDescent="0.25">
      <c r="A2131" t="s">
        <v>14</v>
      </c>
      <c r="B2131" t="s">
        <v>482</v>
      </c>
      <c r="C2131" t="s">
        <v>4389</v>
      </c>
      <c r="D2131" t="s">
        <v>4390</v>
      </c>
      <c r="E2131">
        <v>47300046605</v>
      </c>
      <c r="F2131" t="s">
        <v>16</v>
      </c>
      <c r="G2131" t="s">
        <v>17</v>
      </c>
      <c r="H2131" t="s">
        <v>49</v>
      </c>
      <c r="K2131" t="s">
        <v>3504</v>
      </c>
      <c r="L2131" t="s">
        <v>47</v>
      </c>
      <c r="N2131" s="2">
        <v>45602</v>
      </c>
      <c r="O2131" s="2">
        <v>45602</v>
      </c>
      <c r="P2131">
        <v>90661</v>
      </c>
      <c r="Q2131">
        <v>90661</v>
      </c>
      <c r="R2131" t="s">
        <v>3510</v>
      </c>
    </row>
    <row r="2132" spans="1:20" x14ac:dyDescent="0.25">
      <c r="A2132" t="s">
        <v>14</v>
      </c>
      <c r="B2132" t="s">
        <v>481</v>
      </c>
      <c r="C2132" t="s">
        <v>4396</v>
      </c>
      <c r="D2132" t="s">
        <v>4397</v>
      </c>
      <c r="E2132">
        <v>47300070795</v>
      </c>
      <c r="F2132" t="s">
        <v>16</v>
      </c>
      <c r="G2132" t="s">
        <v>87</v>
      </c>
      <c r="H2132" t="s">
        <v>88</v>
      </c>
      <c r="K2132" t="s">
        <v>3504</v>
      </c>
      <c r="L2132" t="s">
        <v>47</v>
      </c>
      <c r="N2132" s="2">
        <v>45602</v>
      </c>
      <c r="O2132" s="2">
        <v>45602</v>
      </c>
      <c r="P2132">
        <v>90661</v>
      </c>
      <c r="Q2132">
        <v>90661</v>
      </c>
      <c r="R2132" t="s">
        <v>3511</v>
      </c>
    </row>
    <row r="2133" spans="1:20" x14ac:dyDescent="0.25">
      <c r="A2133" t="s">
        <v>14</v>
      </c>
      <c r="B2133" t="s">
        <v>480</v>
      </c>
      <c r="C2133" t="s">
        <v>4406</v>
      </c>
      <c r="D2133" t="s">
        <v>4394</v>
      </c>
      <c r="E2133">
        <v>47300046662</v>
      </c>
      <c r="F2133" t="s">
        <v>16</v>
      </c>
      <c r="G2133" t="s">
        <v>28</v>
      </c>
      <c r="H2133" t="s">
        <v>129</v>
      </c>
      <c r="K2133" t="s">
        <v>3294</v>
      </c>
      <c r="L2133" t="s">
        <v>19</v>
      </c>
      <c r="M2133" t="s">
        <v>46</v>
      </c>
      <c r="N2133" s="2">
        <v>45597</v>
      </c>
      <c r="O2133" s="2">
        <v>45626</v>
      </c>
      <c r="P2133">
        <v>500</v>
      </c>
      <c r="Q2133">
        <v>500</v>
      </c>
      <c r="R2133" t="s">
        <v>3143</v>
      </c>
    </row>
    <row r="2134" spans="1:20" x14ac:dyDescent="0.25">
      <c r="A2134" t="s">
        <v>14</v>
      </c>
      <c r="B2134" t="s">
        <v>480</v>
      </c>
      <c r="C2134" t="s">
        <v>4374</v>
      </c>
      <c r="D2134" t="s">
        <v>4375</v>
      </c>
      <c r="E2134">
        <v>47300046662</v>
      </c>
      <c r="F2134" t="s">
        <v>16</v>
      </c>
      <c r="G2134" t="s">
        <v>28</v>
      </c>
      <c r="H2134" t="s">
        <v>129</v>
      </c>
      <c r="K2134" t="s">
        <v>3197</v>
      </c>
      <c r="L2134" t="s">
        <v>19</v>
      </c>
      <c r="M2134" t="s">
        <v>46</v>
      </c>
      <c r="N2134" s="2">
        <v>45597</v>
      </c>
      <c r="O2134" s="2">
        <v>45626</v>
      </c>
      <c r="P2134">
        <v>150650</v>
      </c>
      <c r="Q2134">
        <v>150650</v>
      </c>
      <c r="R2134" t="s">
        <v>3143</v>
      </c>
    </row>
    <row r="2135" spans="1:20" x14ac:dyDescent="0.25">
      <c r="A2135" t="s">
        <v>14</v>
      </c>
      <c r="B2135" t="s">
        <v>480</v>
      </c>
      <c r="C2135" t="s">
        <v>4380</v>
      </c>
      <c r="D2135" t="s">
        <v>4381</v>
      </c>
      <c r="E2135">
        <v>47300046662</v>
      </c>
      <c r="F2135" t="s">
        <v>16</v>
      </c>
      <c r="G2135" t="s">
        <v>28</v>
      </c>
      <c r="H2135" t="s">
        <v>129</v>
      </c>
      <c r="K2135" t="s">
        <v>2892</v>
      </c>
      <c r="L2135" t="s">
        <v>19</v>
      </c>
      <c r="M2135" t="s">
        <v>46</v>
      </c>
      <c r="N2135" s="2">
        <v>45597</v>
      </c>
      <c r="O2135" s="2">
        <v>45626</v>
      </c>
      <c r="P2135">
        <v>10000</v>
      </c>
      <c r="Q2135">
        <v>10000</v>
      </c>
      <c r="R2135" t="s">
        <v>3143</v>
      </c>
    </row>
    <row r="2136" spans="1:20" x14ac:dyDescent="0.25">
      <c r="A2136" t="s">
        <v>14</v>
      </c>
      <c r="B2136" t="s">
        <v>479</v>
      </c>
      <c r="C2136" t="s">
        <v>4396</v>
      </c>
      <c r="D2136" t="s">
        <v>4397</v>
      </c>
      <c r="E2136">
        <v>47300046605</v>
      </c>
      <c r="F2136" t="s">
        <v>16</v>
      </c>
      <c r="G2136" t="s">
        <v>17</v>
      </c>
      <c r="H2136" t="s">
        <v>49</v>
      </c>
      <c r="K2136" t="s">
        <v>3197</v>
      </c>
      <c r="L2136" t="s">
        <v>19</v>
      </c>
      <c r="M2136" t="s">
        <v>46</v>
      </c>
      <c r="N2136" s="2">
        <v>45597</v>
      </c>
      <c r="O2136" s="2">
        <v>45626</v>
      </c>
      <c r="P2136">
        <v>150650</v>
      </c>
      <c r="Q2136">
        <v>150650</v>
      </c>
      <c r="R2136" t="s">
        <v>3242</v>
      </c>
    </row>
    <row r="2137" spans="1:20" x14ac:dyDescent="0.25">
      <c r="A2137" t="s">
        <v>14</v>
      </c>
      <c r="B2137" t="s">
        <v>478</v>
      </c>
      <c r="C2137" t="s">
        <v>4396</v>
      </c>
      <c r="D2137" t="s">
        <v>4397</v>
      </c>
      <c r="E2137">
        <v>47300046688</v>
      </c>
      <c r="F2137" t="s">
        <v>16</v>
      </c>
      <c r="G2137" t="s">
        <v>17</v>
      </c>
      <c r="H2137" t="s">
        <v>154</v>
      </c>
      <c r="K2137" t="s">
        <v>3504</v>
      </c>
      <c r="L2137" t="s">
        <v>47</v>
      </c>
      <c r="N2137" s="2">
        <v>45602</v>
      </c>
      <c r="O2137" s="2">
        <v>45602</v>
      </c>
      <c r="P2137">
        <v>90661</v>
      </c>
      <c r="Q2137">
        <v>90661</v>
      </c>
      <c r="R2137" t="s">
        <v>3512</v>
      </c>
    </row>
    <row r="2138" spans="1:20" x14ac:dyDescent="0.25">
      <c r="A2138" t="s">
        <v>14</v>
      </c>
      <c r="B2138" t="s">
        <v>476</v>
      </c>
      <c r="C2138" t="s">
        <v>4414</v>
      </c>
      <c r="D2138" t="s">
        <v>4401</v>
      </c>
      <c r="E2138">
        <v>47300025708</v>
      </c>
      <c r="F2138" t="s">
        <v>35</v>
      </c>
      <c r="G2138" t="s">
        <v>36</v>
      </c>
      <c r="H2138" t="s">
        <v>4360</v>
      </c>
      <c r="K2138" t="s">
        <v>3795</v>
      </c>
      <c r="L2138" t="s">
        <v>19</v>
      </c>
      <c r="M2138" t="s">
        <v>20</v>
      </c>
      <c r="P2138">
        <v>100000</v>
      </c>
      <c r="Q2138">
        <v>100000</v>
      </c>
      <c r="R2138" t="s">
        <v>4117</v>
      </c>
      <c r="S2138" t="s">
        <v>477</v>
      </c>
      <c r="T2138">
        <v>416.3</v>
      </c>
    </row>
    <row r="2139" spans="1:20" x14ac:dyDescent="0.25">
      <c r="A2139" t="s">
        <v>14</v>
      </c>
      <c r="B2139" t="s">
        <v>474</v>
      </c>
      <c r="C2139" t="s">
        <v>4386</v>
      </c>
      <c r="D2139" t="s">
        <v>4368</v>
      </c>
      <c r="E2139">
        <v>47300025690</v>
      </c>
      <c r="F2139" t="s">
        <v>35</v>
      </c>
      <c r="G2139" t="s">
        <v>36</v>
      </c>
      <c r="H2139" t="s">
        <v>37</v>
      </c>
      <c r="K2139" t="s">
        <v>4266</v>
      </c>
      <c r="L2139" t="s">
        <v>19</v>
      </c>
      <c r="M2139" t="s">
        <v>63</v>
      </c>
      <c r="N2139" s="2">
        <v>45597</v>
      </c>
      <c r="O2139" s="2">
        <v>45626</v>
      </c>
      <c r="P2139">
        <v>50000</v>
      </c>
      <c r="Q2139">
        <v>50000</v>
      </c>
      <c r="R2139" t="s">
        <v>3471</v>
      </c>
      <c r="S2139" t="s">
        <v>475</v>
      </c>
      <c r="T2139">
        <v>208.2</v>
      </c>
    </row>
    <row r="2140" spans="1:20" x14ac:dyDescent="0.25">
      <c r="A2140" t="s">
        <v>14</v>
      </c>
      <c r="B2140" t="s">
        <v>474</v>
      </c>
      <c r="C2140" t="s">
        <v>4387</v>
      </c>
      <c r="D2140" t="s">
        <v>4388</v>
      </c>
      <c r="E2140">
        <v>47300025690</v>
      </c>
      <c r="F2140" t="s">
        <v>35</v>
      </c>
      <c r="G2140" t="s">
        <v>36</v>
      </c>
      <c r="H2140" t="s">
        <v>37</v>
      </c>
      <c r="K2140" t="s">
        <v>3294</v>
      </c>
      <c r="L2140" t="s">
        <v>19</v>
      </c>
      <c r="M2140" t="s">
        <v>46</v>
      </c>
      <c r="N2140" s="2">
        <v>45597</v>
      </c>
      <c r="O2140" s="2">
        <v>45626</v>
      </c>
      <c r="P2140">
        <v>500</v>
      </c>
      <c r="Q2140">
        <v>500</v>
      </c>
      <c r="R2140" t="s">
        <v>3471</v>
      </c>
    </row>
    <row r="2141" spans="1:20" x14ac:dyDescent="0.25">
      <c r="A2141" t="s">
        <v>14</v>
      </c>
      <c r="B2141" t="s">
        <v>473</v>
      </c>
      <c r="C2141" t="s">
        <v>4386</v>
      </c>
      <c r="D2141" t="s">
        <v>4368</v>
      </c>
      <c r="E2141">
        <v>47300046746</v>
      </c>
      <c r="F2141" t="s">
        <v>16</v>
      </c>
      <c r="G2141" t="s">
        <v>28</v>
      </c>
      <c r="H2141" t="s">
        <v>32</v>
      </c>
      <c r="K2141" t="s">
        <v>3294</v>
      </c>
      <c r="L2141" t="s">
        <v>19</v>
      </c>
      <c r="M2141" t="s">
        <v>46</v>
      </c>
      <c r="N2141" s="2">
        <v>45597</v>
      </c>
      <c r="O2141" s="2">
        <v>45626</v>
      </c>
      <c r="P2141">
        <v>500</v>
      </c>
      <c r="Q2141">
        <v>500</v>
      </c>
      <c r="R2141" t="s">
        <v>3144</v>
      </c>
    </row>
    <row r="2142" spans="1:20" x14ac:dyDescent="0.25">
      <c r="A2142" t="s">
        <v>14</v>
      </c>
      <c r="B2142" t="s">
        <v>473</v>
      </c>
      <c r="C2142" t="s">
        <v>4371</v>
      </c>
      <c r="D2142" t="s">
        <v>4368</v>
      </c>
      <c r="E2142">
        <v>47300046746</v>
      </c>
      <c r="F2142" t="s">
        <v>16</v>
      </c>
      <c r="G2142" t="s">
        <v>28</v>
      </c>
      <c r="H2142" t="s">
        <v>32</v>
      </c>
      <c r="K2142" t="s">
        <v>3197</v>
      </c>
      <c r="L2142" t="s">
        <v>19</v>
      </c>
      <c r="M2142" t="s">
        <v>46</v>
      </c>
      <c r="N2142" s="2">
        <v>45597</v>
      </c>
      <c r="O2142" s="2">
        <v>45626</v>
      </c>
      <c r="P2142">
        <v>150650</v>
      </c>
      <c r="Q2142">
        <v>150650</v>
      </c>
      <c r="R2142" t="s">
        <v>3144</v>
      </c>
    </row>
    <row r="2143" spans="1:20" x14ac:dyDescent="0.25">
      <c r="A2143" t="s">
        <v>14</v>
      </c>
      <c r="B2143" t="s">
        <v>473</v>
      </c>
      <c r="C2143" t="s">
        <v>4364</v>
      </c>
      <c r="D2143" t="s">
        <v>4358</v>
      </c>
      <c r="E2143">
        <v>47300046746</v>
      </c>
      <c r="F2143" t="s">
        <v>16</v>
      </c>
      <c r="G2143" t="s">
        <v>28</v>
      </c>
      <c r="H2143" t="s">
        <v>32</v>
      </c>
      <c r="K2143" t="s">
        <v>2892</v>
      </c>
      <c r="L2143" t="s">
        <v>19</v>
      </c>
      <c r="M2143" t="s">
        <v>46</v>
      </c>
      <c r="N2143" s="2">
        <v>45597</v>
      </c>
      <c r="O2143" s="2">
        <v>45626</v>
      </c>
      <c r="P2143">
        <v>10000</v>
      </c>
      <c r="Q2143">
        <v>10000</v>
      </c>
      <c r="R2143" t="s">
        <v>3144</v>
      </c>
    </row>
    <row r="2144" spans="1:20" x14ac:dyDescent="0.25">
      <c r="A2144" t="s">
        <v>14</v>
      </c>
      <c r="B2144" t="s">
        <v>472</v>
      </c>
      <c r="C2144" t="s">
        <v>4414</v>
      </c>
      <c r="D2144" t="s">
        <v>4401</v>
      </c>
      <c r="E2144">
        <v>47300070704</v>
      </c>
      <c r="F2144" t="s">
        <v>16</v>
      </c>
      <c r="G2144" t="s">
        <v>28</v>
      </c>
      <c r="H2144" t="s">
        <v>146</v>
      </c>
      <c r="K2144" t="s">
        <v>3504</v>
      </c>
      <c r="L2144" t="s">
        <v>47</v>
      </c>
      <c r="N2144" s="2">
        <v>45602</v>
      </c>
      <c r="O2144" s="2">
        <v>45602</v>
      </c>
      <c r="P2144">
        <v>90661</v>
      </c>
      <c r="Q2144">
        <v>90661</v>
      </c>
      <c r="R2144" t="s">
        <v>3513</v>
      </c>
    </row>
    <row r="2145" spans="1:20" x14ac:dyDescent="0.25">
      <c r="A2145" t="s">
        <v>14</v>
      </c>
      <c r="B2145" t="s">
        <v>470</v>
      </c>
      <c r="C2145" t="s">
        <v>4414</v>
      </c>
      <c r="D2145" t="s">
        <v>4401</v>
      </c>
      <c r="E2145">
        <v>47300046761</v>
      </c>
      <c r="F2145" t="s">
        <v>42</v>
      </c>
      <c r="G2145" t="s">
        <v>28</v>
      </c>
      <c r="H2145" t="s">
        <v>43</v>
      </c>
      <c r="K2145" t="s">
        <v>3795</v>
      </c>
      <c r="L2145" t="s">
        <v>19</v>
      </c>
      <c r="M2145" t="s">
        <v>20</v>
      </c>
      <c r="P2145">
        <v>50000</v>
      </c>
      <c r="Q2145">
        <v>50000</v>
      </c>
      <c r="R2145" t="s">
        <v>4118</v>
      </c>
      <c r="S2145" t="s">
        <v>471</v>
      </c>
      <c r="T2145">
        <v>208.1</v>
      </c>
    </row>
    <row r="2146" spans="1:20" x14ac:dyDescent="0.25">
      <c r="A2146" t="s">
        <v>14</v>
      </c>
      <c r="B2146" t="s">
        <v>469</v>
      </c>
      <c r="C2146" t="s">
        <v>4394</v>
      </c>
      <c r="D2146" t="s">
        <v>4395</v>
      </c>
      <c r="E2146">
        <v>47300070480</v>
      </c>
      <c r="F2146" t="s">
        <v>16</v>
      </c>
      <c r="G2146" t="s">
        <v>28</v>
      </c>
      <c r="H2146" t="s">
        <v>184</v>
      </c>
      <c r="K2146" t="s">
        <v>3504</v>
      </c>
      <c r="L2146" t="s">
        <v>47</v>
      </c>
      <c r="N2146" s="2">
        <v>45602</v>
      </c>
      <c r="O2146" s="2">
        <v>45602</v>
      </c>
      <c r="P2146">
        <v>90661</v>
      </c>
      <c r="Q2146">
        <v>90661</v>
      </c>
      <c r="R2146" t="s">
        <v>3514</v>
      </c>
    </row>
    <row r="2147" spans="1:20" x14ac:dyDescent="0.25">
      <c r="A2147" t="s">
        <v>14</v>
      </c>
      <c r="B2147" t="s">
        <v>467</v>
      </c>
      <c r="C2147" t="s">
        <v>4384</v>
      </c>
      <c r="D2147" t="s">
        <v>4385</v>
      </c>
      <c r="E2147">
        <v>47300026185</v>
      </c>
      <c r="F2147" t="s">
        <v>35</v>
      </c>
      <c r="G2147" t="s">
        <v>36</v>
      </c>
      <c r="H2147" t="s">
        <v>4361</v>
      </c>
      <c r="K2147" t="s">
        <v>4266</v>
      </c>
      <c r="L2147" t="s">
        <v>19</v>
      </c>
      <c r="M2147" t="s">
        <v>63</v>
      </c>
      <c r="N2147" s="2">
        <v>45597</v>
      </c>
      <c r="O2147" s="2">
        <v>45626</v>
      </c>
      <c r="P2147">
        <v>50000</v>
      </c>
      <c r="Q2147">
        <v>50000</v>
      </c>
      <c r="R2147" t="s">
        <v>3472</v>
      </c>
      <c r="S2147" t="s">
        <v>468</v>
      </c>
      <c r="T2147">
        <v>208.2</v>
      </c>
    </row>
    <row r="2148" spans="1:20" x14ac:dyDescent="0.25">
      <c r="A2148" t="s">
        <v>14</v>
      </c>
      <c r="B2148" t="s">
        <v>467</v>
      </c>
      <c r="C2148" t="s">
        <v>4418</v>
      </c>
      <c r="D2148" t="s">
        <v>4368</v>
      </c>
      <c r="E2148">
        <v>47300026185</v>
      </c>
      <c r="F2148" t="s">
        <v>35</v>
      </c>
      <c r="G2148" t="s">
        <v>36</v>
      </c>
      <c r="H2148" t="s">
        <v>4361</v>
      </c>
      <c r="K2148" t="s">
        <v>3294</v>
      </c>
      <c r="L2148" t="s">
        <v>19</v>
      </c>
      <c r="M2148" t="s">
        <v>46</v>
      </c>
      <c r="N2148" s="2">
        <v>45597</v>
      </c>
      <c r="O2148" s="2">
        <v>45626</v>
      </c>
      <c r="P2148">
        <v>500</v>
      </c>
      <c r="Q2148">
        <v>500</v>
      </c>
      <c r="R2148" t="s">
        <v>3472</v>
      </c>
    </row>
    <row r="2149" spans="1:20" x14ac:dyDescent="0.25">
      <c r="A2149" t="s">
        <v>14</v>
      </c>
      <c r="B2149" t="s">
        <v>465</v>
      </c>
      <c r="C2149" t="s">
        <v>4409</v>
      </c>
      <c r="D2149" t="s">
        <v>4410</v>
      </c>
      <c r="E2149">
        <v>47300026094</v>
      </c>
      <c r="F2149" t="s">
        <v>35</v>
      </c>
      <c r="G2149" t="s">
        <v>36</v>
      </c>
      <c r="H2149" t="s">
        <v>4359</v>
      </c>
      <c r="K2149" t="s">
        <v>3795</v>
      </c>
      <c r="L2149" t="s">
        <v>19</v>
      </c>
      <c r="M2149" t="s">
        <v>20</v>
      </c>
      <c r="P2149">
        <v>100000</v>
      </c>
      <c r="Q2149">
        <v>100000</v>
      </c>
      <c r="R2149" t="s">
        <v>4119</v>
      </c>
      <c r="S2149" t="s">
        <v>466</v>
      </c>
      <c r="T2149">
        <v>416.3</v>
      </c>
    </row>
    <row r="2150" spans="1:20" x14ac:dyDescent="0.25">
      <c r="A2150" t="s">
        <v>14</v>
      </c>
      <c r="B2150" t="s">
        <v>463</v>
      </c>
      <c r="C2150" t="s">
        <v>4394</v>
      </c>
      <c r="D2150" t="s">
        <v>4395</v>
      </c>
      <c r="E2150">
        <v>47300012151</v>
      </c>
      <c r="F2150" t="s">
        <v>35</v>
      </c>
      <c r="G2150" t="s">
        <v>36</v>
      </c>
      <c r="H2150" t="s">
        <v>4362</v>
      </c>
      <c r="K2150" t="s">
        <v>4266</v>
      </c>
      <c r="L2150" t="s">
        <v>19</v>
      </c>
      <c r="M2150" t="s">
        <v>63</v>
      </c>
      <c r="N2150" s="2">
        <v>45597</v>
      </c>
      <c r="O2150" s="2">
        <v>45626</v>
      </c>
      <c r="P2150">
        <v>50000</v>
      </c>
      <c r="Q2150">
        <v>50000</v>
      </c>
      <c r="R2150" t="s">
        <v>3473</v>
      </c>
      <c r="S2150" t="s">
        <v>464</v>
      </c>
      <c r="T2150">
        <v>208.2</v>
      </c>
    </row>
    <row r="2151" spans="1:20" x14ac:dyDescent="0.25">
      <c r="A2151" t="s">
        <v>14</v>
      </c>
      <c r="B2151" t="s">
        <v>463</v>
      </c>
      <c r="C2151" t="s">
        <v>4384</v>
      </c>
      <c r="D2151" t="s">
        <v>4385</v>
      </c>
      <c r="E2151">
        <v>47300012151</v>
      </c>
      <c r="F2151" t="s">
        <v>35</v>
      </c>
      <c r="G2151" t="s">
        <v>36</v>
      </c>
      <c r="H2151" t="s">
        <v>4362</v>
      </c>
      <c r="K2151" t="s">
        <v>3294</v>
      </c>
      <c r="L2151" t="s">
        <v>19</v>
      </c>
      <c r="M2151" t="s">
        <v>46</v>
      </c>
      <c r="N2151" s="2">
        <v>45597</v>
      </c>
      <c r="O2151" s="2">
        <v>45626</v>
      </c>
      <c r="P2151">
        <v>500</v>
      </c>
      <c r="Q2151">
        <v>500</v>
      </c>
      <c r="R2151" t="s">
        <v>3473</v>
      </c>
    </row>
    <row r="2152" spans="1:20" x14ac:dyDescent="0.25">
      <c r="A2152" t="s">
        <v>14</v>
      </c>
      <c r="B2152" t="s">
        <v>461</v>
      </c>
      <c r="C2152" t="s">
        <v>4418</v>
      </c>
      <c r="D2152" t="s">
        <v>4368</v>
      </c>
      <c r="E2152">
        <v>47300046647</v>
      </c>
      <c r="F2152" t="s">
        <v>16</v>
      </c>
      <c r="G2152" t="s">
        <v>87</v>
      </c>
      <c r="H2152" t="s">
        <v>100</v>
      </c>
      <c r="K2152" t="s">
        <v>4266</v>
      </c>
      <c r="L2152" t="s">
        <v>19</v>
      </c>
      <c r="M2152" t="s">
        <v>63</v>
      </c>
      <c r="N2152" s="2">
        <v>45597</v>
      </c>
      <c r="O2152" s="2">
        <v>45626</v>
      </c>
      <c r="P2152">
        <v>100000</v>
      </c>
      <c r="Q2152">
        <v>100000</v>
      </c>
      <c r="R2152" t="s">
        <v>3145</v>
      </c>
      <c r="S2152" t="s">
        <v>462</v>
      </c>
      <c r="T2152">
        <v>416.3</v>
      </c>
    </row>
    <row r="2153" spans="1:20" x14ac:dyDescent="0.25">
      <c r="A2153" t="s">
        <v>14</v>
      </c>
      <c r="B2153" t="s">
        <v>461</v>
      </c>
      <c r="C2153" t="s">
        <v>4367</v>
      </c>
      <c r="D2153" t="s">
        <v>4368</v>
      </c>
      <c r="E2153">
        <v>47300046647</v>
      </c>
      <c r="F2153" t="s">
        <v>16</v>
      </c>
      <c r="G2153" t="s">
        <v>87</v>
      </c>
      <c r="H2153" t="s">
        <v>100</v>
      </c>
      <c r="K2153" t="s">
        <v>3294</v>
      </c>
      <c r="L2153" t="s">
        <v>19</v>
      </c>
      <c r="M2153" t="s">
        <v>46</v>
      </c>
      <c r="N2153" s="2">
        <v>45597</v>
      </c>
      <c r="O2153" s="2">
        <v>45626</v>
      </c>
      <c r="P2153">
        <v>500</v>
      </c>
      <c r="Q2153">
        <v>500</v>
      </c>
      <c r="R2153" t="s">
        <v>3145</v>
      </c>
    </row>
    <row r="2154" spans="1:20" x14ac:dyDescent="0.25">
      <c r="A2154" t="s">
        <v>14</v>
      </c>
      <c r="B2154" t="s">
        <v>461</v>
      </c>
      <c r="C2154" t="s">
        <v>4409</v>
      </c>
      <c r="D2154" t="s">
        <v>4410</v>
      </c>
      <c r="E2154">
        <v>47300046647</v>
      </c>
      <c r="F2154" t="s">
        <v>16</v>
      </c>
      <c r="G2154" t="s">
        <v>87</v>
      </c>
      <c r="H2154" t="s">
        <v>100</v>
      </c>
      <c r="K2154" t="s">
        <v>3197</v>
      </c>
      <c r="L2154" t="s">
        <v>19</v>
      </c>
      <c r="M2154" t="s">
        <v>46</v>
      </c>
      <c r="N2154" s="2">
        <v>45597</v>
      </c>
      <c r="O2154" s="2">
        <v>45626</v>
      </c>
      <c r="P2154">
        <v>150650</v>
      </c>
      <c r="Q2154">
        <v>150650</v>
      </c>
      <c r="R2154" t="s">
        <v>3145</v>
      </c>
    </row>
    <row r="2155" spans="1:20" x14ac:dyDescent="0.25">
      <c r="A2155" t="s">
        <v>14</v>
      </c>
      <c r="B2155" t="s">
        <v>461</v>
      </c>
      <c r="C2155" t="s">
        <v>4384</v>
      </c>
      <c r="D2155" t="s">
        <v>4379</v>
      </c>
      <c r="E2155">
        <v>47300046647</v>
      </c>
      <c r="F2155" t="s">
        <v>16</v>
      </c>
      <c r="G2155" t="s">
        <v>87</v>
      </c>
      <c r="H2155" t="s">
        <v>100</v>
      </c>
      <c r="K2155" t="s">
        <v>2892</v>
      </c>
      <c r="L2155" t="s">
        <v>19</v>
      </c>
      <c r="M2155" t="s">
        <v>46</v>
      </c>
      <c r="N2155" s="2">
        <v>45597</v>
      </c>
      <c r="O2155" s="2">
        <v>45626</v>
      </c>
      <c r="P2155">
        <v>10000</v>
      </c>
      <c r="Q2155">
        <v>10000</v>
      </c>
      <c r="R2155" t="s">
        <v>3145</v>
      </c>
    </row>
    <row r="2156" spans="1:20" x14ac:dyDescent="0.25">
      <c r="A2156" t="s">
        <v>14</v>
      </c>
      <c r="B2156" t="s">
        <v>459</v>
      </c>
      <c r="C2156" t="s">
        <v>4394</v>
      </c>
      <c r="D2156" t="s">
        <v>4395</v>
      </c>
      <c r="E2156">
        <v>47300046241</v>
      </c>
      <c r="F2156" t="s">
        <v>16</v>
      </c>
      <c r="G2156" t="s">
        <v>23</v>
      </c>
      <c r="H2156" t="s">
        <v>24</v>
      </c>
      <c r="I2156" t="s">
        <v>2754</v>
      </c>
      <c r="J2156">
        <v>0</v>
      </c>
      <c r="K2156" t="s">
        <v>4266</v>
      </c>
      <c r="L2156" t="s">
        <v>19</v>
      </c>
      <c r="M2156" t="s">
        <v>63</v>
      </c>
      <c r="N2156" s="2">
        <v>45597</v>
      </c>
      <c r="O2156" s="2">
        <v>45626</v>
      </c>
      <c r="P2156">
        <v>20000</v>
      </c>
      <c r="Q2156">
        <v>20000</v>
      </c>
      <c r="R2156" t="s">
        <v>3146</v>
      </c>
      <c r="S2156" t="s">
        <v>460</v>
      </c>
      <c r="T2156">
        <v>83.3</v>
      </c>
    </row>
    <row r="2157" spans="1:20" x14ac:dyDescent="0.25">
      <c r="A2157" t="s">
        <v>14</v>
      </c>
      <c r="B2157" t="s">
        <v>459</v>
      </c>
      <c r="C2157" t="s">
        <v>4384</v>
      </c>
      <c r="D2157" t="s">
        <v>4385</v>
      </c>
      <c r="E2157">
        <v>47300046241</v>
      </c>
      <c r="F2157" t="s">
        <v>16</v>
      </c>
      <c r="G2157" t="s">
        <v>23</v>
      </c>
      <c r="H2157" t="s">
        <v>24</v>
      </c>
      <c r="I2157" t="s">
        <v>2754</v>
      </c>
      <c r="J2157">
        <v>0</v>
      </c>
      <c r="K2157" t="s">
        <v>3294</v>
      </c>
      <c r="L2157" t="s">
        <v>19</v>
      </c>
      <c r="M2157" t="s">
        <v>46</v>
      </c>
      <c r="N2157" s="2">
        <v>45597</v>
      </c>
      <c r="O2157" s="2">
        <v>45626</v>
      </c>
      <c r="P2157">
        <v>500</v>
      </c>
      <c r="Q2157">
        <v>500</v>
      </c>
      <c r="R2157" t="s">
        <v>3146</v>
      </c>
    </row>
    <row r="2158" spans="1:20" x14ac:dyDescent="0.25">
      <c r="A2158" t="s">
        <v>14</v>
      </c>
      <c r="B2158" t="s">
        <v>459</v>
      </c>
      <c r="C2158" t="s">
        <v>4394</v>
      </c>
      <c r="D2158" t="s">
        <v>4395</v>
      </c>
      <c r="E2158">
        <v>47300046241</v>
      </c>
      <c r="F2158" t="s">
        <v>16</v>
      </c>
      <c r="G2158" t="s">
        <v>23</v>
      </c>
      <c r="H2158" t="s">
        <v>24</v>
      </c>
      <c r="I2158" t="s">
        <v>2754</v>
      </c>
      <c r="J2158">
        <v>0</v>
      </c>
      <c r="K2158" t="s">
        <v>3197</v>
      </c>
      <c r="L2158" t="s">
        <v>19</v>
      </c>
      <c r="M2158" t="s">
        <v>46</v>
      </c>
      <c r="N2158" s="2">
        <v>45597</v>
      </c>
      <c r="O2158" s="2">
        <v>45626</v>
      </c>
      <c r="P2158">
        <v>150650</v>
      </c>
      <c r="Q2158">
        <v>150650</v>
      </c>
      <c r="R2158" t="s">
        <v>3146</v>
      </c>
    </row>
    <row r="2159" spans="1:20" x14ac:dyDescent="0.25">
      <c r="A2159" t="s">
        <v>14</v>
      </c>
      <c r="B2159" t="s">
        <v>459</v>
      </c>
      <c r="C2159" t="s">
        <v>4384</v>
      </c>
      <c r="D2159" t="s">
        <v>4385</v>
      </c>
      <c r="E2159">
        <v>47300046241</v>
      </c>
      <c r="F2159" t="s">
        <v>16</v>
      </c>
      <c r="G2159" t="s">
        <v>23</v>
      </c>
      <c r="H2159" t="s">
        <v>24</v>
      </c>
      <c r="I2159" t="s">
        <v>2754</v>
      </c>
      <c r="J2159">
        <v>0</v>
      </c>
      <c r="K2159" t="s">
        <v>2892</v>
      </c>
      <c r="L2159" t="s">
        <v>19</v>
      </c>
      <c r="M2159" t="s">
        <v>46</v>
      </c>
      <c r="N2159" s="2">
        <v>45597</v>
      </c>
      <c r="O2159" s="2">
        <v>45626</v>
      </c>
      <c r="P2159">
        <v>10000</v>
      </c>
      <c r="Q2159">
        <v>10000</v>
      </c>
      <c r="R2159" t="s">
        <v>3146</v>
      </c>
    </row>
    <row r="2160" spans="1:20" x14ac:dyDescent="0.25">
      <c r="A2160" t="s">
        <v>14</v>
      </c>
      <c r="B2160" t="s">
        <v>458</v>
      </c>
      <c r="C2160" t="s">
        <v>4412</v>
      </c>
      <c r="D2160" t="s">
        <v>4424</v>
      </c>
      <c r="E2160">
        <v>47300070589</v>
      </c>
      <c r="F2160" t="s">
        <v>16</v>
      </c>
      <c r="G2160" t="s">
        <v>28</v>
      </c>
      <c r="H2160" t="s">
        <v>221</v>
      </c>
      <c r="K2160" t="s">
        <v>3504</v>
      </c>
      <c r="L2160" t="s">
        <v>47</v>
      </c>
      <c r="N2160" s="2">
        <v>45602</v>
      </c>
      <c r="O2160" s="2">
        <v>45602</v>
      </c>
      <c r="P2160">
        <v>90661</v>
      </c>
      <c r="Q2160">
        <v>90661</v>
      </c>
      <c r="R2160" t="s">
        <v>3147</v>
      </c>
    </row>
    <row r="2161" spans="1:20" x14ac:dyDescent="0.25">
      <c r="A2161" t="s">
        <v>14</v>
      </c>
      <c r="B2161" t="s">
        <v>458</v>
      </c>
      <c r="C2161" t="s">
        <v>4376</v>
      </c>
      <c r="D2161" t="s">
        <v>4407</v>
      </c>
      <c r="E2161">
        <v>47300070589</v>
      </c>
      <c r="F2161" t="s">
        <v>16</v>
      </c>
      <c r="G2161" t="s">
        <v>28</v>
      </c>
      <c r="H2161" t="s">
        <v>221</v>
      </c>
      <c r="K2161" t="s">
        <v>3294</v>
      </c>
      <c r="L2161" t="s">
        <v>19</v>
      </c>
      <c r="M2161" t="s">
        <v>46</v>
      </c>
      <c r="N2161" s="2">
        <v>45597</v>
      </c>
      <c r="O2161" s="2">
        <v>45626</v>
      </c>
      <c r="P2161">
        <v>500</v>
      </c>
      <c r="Q2161">
        <v>500</v>
      </c>
      <c r="R2161" t="s">
        <v>3147</v>
      </c>
    </row>
    <row r="2162" spans="1:20" x14ac:dyDescent="0.25">
      <c r="A2162" t="s">
        <v>14</v>
      </c>
      <c r="B2162" t="s">
        <v>458</v>
      </c>
      <c r="C2162" t="s">
        <v>4414</v>
      </c>
      <c r="D2162" t="s">
        <v>4401</v>
      </c>
      <c r="E2162">
        <v>47300070589</v>
      </c>
      <c r="F2162" t="s">
        <v>16</v>
      </c>
      <c r="G2162" t="s">
        <v>28</v>
      </c>
      <c r="H2162" t="s">
        <v>221</v>
      </c>
      <c r="K2162" t="s">
        <v>3197</v>
      </c>
      <c r="L2162" t="s">
        <v>19</v>
      </c>
      <c r="M2162" t="s">
        <v>46</v>
      </c>
      <c r="N2162" s="2">
        <v>45597</v>
      </c>
      <c r="O2162" s="2">
        <v>45626</v>
      </c>
      <c r="P2162">
        <v>150650</v>
      </c>
      <c r="Q2162">
        <v>150650</v>
      </c>
      <c r="R2162" t="s">
        <v>3147</v>
      </c>
    </row>
    <row r="2163" spans="1:20" x14ac:dyDescent="0.25">
      <c r="A2163" t="s">
        <v>14</v>
      </c>
      <c r="B2163" t="s">
        <v>458</v>
      </c>
      <c r="C2163" t="s">
        <v>4376</v>
      </c>
      <c r="D2163" t="s">
        <v>4407</v>
      </c>
      <c r="E2163">
        <v>47300070589</v>
      </c>
      <c r="F2163" t="s">
        <v>16</v>
      </c>
      <c r="G2163" t="s">
        <v>28</v>
      </c>
      <c r="H2163" t="s">
        <v>221</v>
      </c>
      <c r="K2163" t="s">
        <v>2892</v>
      </c>
      <c r="L2163" t="s">
        <v>19</v>
      </c>
      <c r="M2163" t="s">
        <v>46</v>
      </c>
      <c r="N2163" s="2">
        <v>45597</v>
      </c>
      <c r="O2163" s="2">
        <v>45626</v>
      </c>
      <c r="P2163">
        <v>10000</v>
      </c>
      <c r="Q2163">
        <v>10000</v>
      </c>
      <c r="R2163" t="s">
        <v>3147</v>
      </c>
    </row>
    <row r="2164" spans="1:20" x14ac:dyDescent="0.25">
      <c r="A2164" t="s">
        <v>14</v>
      </c>
      <c r="B2164" t="s">
        <v>456</v>
      </c>
      <c r="C2164" t="s">
        <v>4412</v>
      </c>
      <c r="D2164" t="s">
        <v>4424</v>
      </c>
      <c r="E2164">
        <v>47300070589</v>
      </c>
      <c r="F2164" t="s">
        <v>16</v>
      </c>
      <c r="G2164" t="s">
        <v>28</v>
      </c>
      <c r="H2164" t="s">
        <v>221</v>
      </c>
      <c r="K2164" t="s">
        <v>4266</v>
      </c>
      <c r="L2164" t="s">
        <v>19</v>
      </c>
      <c r="M2164" t="s">
        <v>63</v>
      </c>
      <c r="N2164" s="2">
        <v>45597</v>
      </c>
      <c r="O2164" s="2">
        <v>45626</v>
      </c>
      <c r="P2164">
        <v>55000</v>
      </c>
      <c r="Q2164">
        <v>55000</v>
      </c>
      <c r="R2164" t="s">
        <v>4317</v>
      </c>
      <c r="S2164" t="s">
        <v>457</v>
      </c>
      <c r="T2164">
        <v>229</v>
      </c>
    </row>
    <row r="2165" spans="1:20" x14ac:dyDescent="0.25">
      <c r="A2165" t="s">
        <v>14</v>
      </c>
      <c r="B2165" t="s">
        <v>455</v>
      </c>
      <c r="C2165" t="s">
        <v>4376</v>
      </c>
      <c r="D2165" t="s">
        <v>4407</v>
      </c>
      <c r="E2165">
        <v>47300046738</v>
      </c>
      <c r="F2165" t="s">
        <v>16</v>
      </c>
      <c r="G2165" t="s">
        <v>28</v>
      </c>
      <c r="H2165" t="s">
        <v>202</v>
      </c>
      <c r="K2165" t="s">
        <v>3504</v>
      </c>
      <c r="L2165" t="s">
        <v>47</v>
      </c>
      <c r="N2165" s="2">
        <v>45602</v>
      </c>
      <c r="O2165" s="2">
        <v>45602</v>
      </c>
      <c r="P2165">
        <v>90661</v>
      </c>
      <c r="Q2165">
        <v>90661</v>
      </c>
      <c r="R2165" t="s">
        <v>3148</v>
      </c>
    </row>
    <row r="2166" spans="1:20" x14ac:dyDescent="0.25">
      <c r="A2166" t="s">
        <v>14</v>
      </c>
      <c r="B2166" t="s">
        <v>455</v>
      </c>
      <c r="C2166" t="s">
        <v>4376</v>
      </c>
      <c r="D2166" t="s">
        <v>4407</v>
      </c>
      <c r="E2166">
        <v>47300046738</v>
      </c>
      <c r="F2166" t="s">
        <v>16</v>
      </c>
      <c r="G2166" t="s">
        <v>28</v>
      </c>
      <c r="H2166" t="s">
        <v>202</v>
      </c>
      <c r="K2166" t="s">
        <v>3294</v>
      </c>
      <c r="L2166" t="s">
        <v>19</v>
      </c>
      <c r="M2166" t="s">
        <v>46</v>
      </c>
      <c r="N2166" s="2">
        <v>45597</v>
      </c>
      <c r="O2166" s="2">
        <v>45626</v>
      </c>
      <c r="P2166">
        <v>500</v>
      </c>
      <c r="Q2166">
        <v>500</v>
      </c>
      <c r="R2166" t="s">
        <v>3148</v>
      </c>
    </row>
    <row r="2167" spans="1:20" x14ac:dyDescent="0.25">
      <c r="A2167" t="s">
        <v>14</v>
      </c>
      <c r="B2167" t="s">
        <v>455</v>
      </c>
      <c r="C2167" t="s">
        <v>4412</v>
      </c>
      <c r="D2167" t="s">
        <v>4424</v>
      </c>
      <c r="E2167">
        <v>47300046738</v>
      </c>
      <c r="F2167" t="s">
        <v>16</v>
      </c>
      <c r="G2167" t="s">
        <v>28</v>
      </c>
      <c r="H2167" t="s">
        <v>202</v>
      </c>
      <c r="K2167" t="s">
        <v>2892</v>
      </c>
      <c r="L2167" t="s">
        <v>19</v>
      </c>
      <c r="M2167" t="s">
        <v>46</v>
      </c>
      <c r="N2167" s="2">
        <v>45597</v>
      </c>
      <c r="O2167" s="2">
        <v>45626</v>
      </c>
      <c r="P2167">
        <v>10000</v>
      </c>
      <c r="Q2167">
        <v>10000</v>
      </c>
      <c r="R2167" t="s">
        <v>3148</v>
      </c>
    </row>
    <row r="2168" spans="1:20" x14ac:dyDescent="0.25">
      <c r="A2168" t="s">
        <v>14</v>
      </c>
      <c r="B2168" t="s">
        <v>453</v>
      </c>
      <c r="C2168" t="s">
        <v>4376</v>
      </c>
      <c r="D2168" t="s">
        <v>4407</v>
      </c>
      <c r="E2168">
        <v>47300046746</v>
      </c>
      <c r="F2168" t="s">
        <v>16</v>
      </c>
      <c r="G2168" t="s">
        <v>28</v>
      </c>
      <c r="H2168" t="s">
        <v>32</v>
      </c>
      <c r="K2168" t="s">
        <v>4266</v>
      </c>
      <c r="L2168" t="s">
        <v>19</v>
      </c>
      <c r="M2168" t="s">
        <v>63</v>
      </c>
      <c r="N2168" s="2">
        <v>45597</v>
      </c>
      <c r="O2168" s="2">
        <v>45626</v>
      </c>
      <c r="P2168">
        <v>10000</v>
      </c>
      <c r="Q2168">
        <v>10000</v>
      </c>
      <c r="R2168" t="s">
        <v>4318</v>
      </c>
      <c r="S2168" t="s">
        <v>454</v>
      </c>
      <c r="T2168">
        <v>41.7</v>
      </c>
    </row>
    <row r="2169" spans="1:20" x14ac:dyDescent="0.25">
      <c r="A2169" t="s">
        <v>14</v>
      </c>
      <c r="B2169" t="s">
        <v>451</v>
      </c>
      <c r="C2169" t="s">
        <v>4369</v>
      </c>
      <c r="D2169" t="s">
        <v>4370</v>
      </c>
      <c r="E2169">
        <v>47300025708</v>
      </c>
      <c r="F2169" t="s">
        <v>35</v>
      </c>
      <c r="G2169" t="s">
        <v>36</v>
      </c>
      <c r="H2169" t="s">
        <v>4360</v>
      </c>
      <c r="K2169" t="s">
        <v>3795</v>
      </c>
      <c r="L2169" t="s">
        <v>19</v>
      </c>
      <c r="M2169" t="s">
        <v>20</v>
      </c>
      <c r="P2169">
        <v>50000</v>
      </c>
      <c r="Q2169">
        <v>50000</v>
      </c>
      <c r="R2169" t="s">
        <v>4120</v>
      </c>
      <c r="S2169" t="s">
        <v>452</v>
      </c>
      <c r="T2169">
        <v>208.1</v>
      </c>
    </row>
    <row r="2170" spans="1:20" x14ac:dyDescent="0.25">
      <c r="A2170" t="s">
        <v>14</v>
      </c>
      <c r="B2170" t="s">
        <v>449</v>
      </c>
      <c r="C2170" t="s">
        <v>4389</v>
      </c>
      <c r="D2170" t="s">
        <v>4390</v>
      </c>
      <c r="E2170">
        <v>47300086445</v>
      </c>
      <c r="F2170" t="s">
        <v>16</v>
      </c>
      <c r="G2170" t="s">
        <v>28</v>
      </c>
      <c r="H2170" t="s">
        <v>187</v>
      </c>
      <c r="I2170" t="s">
        <v>2777</v>
      </c>
      <c r="J2170" t="s">
        <v>2776</v>
      </c>
      <c r="K2170" t="s">
        <v>4266</v>
      </c>
      <c r="L2170" t="s">
        <v>19</v>
      </c>
      <c r="M2170" t="s">
        <v>63</v>
      </c>
      <c r="N2170" s="2">
        <v>45597</v>
      </c>
      <c r="O2170" s="2">
        <v>45626</v>
      </c>
      <c r="P2170">
        <v>40000</v>
      </c>
      <c r="Q2170">
        <v>40000</v>
      </c>
      <c r="R2170" t="s">
        <v>3149</v>
      </c>
      <c r="S2170" t="s">
        <v>450</v>
      </c>
      <c r="T2170">
        <v>166.5</v>
      </c>
    </row>
    <row r="2171" spans="1:20" x14ac:dyDescent="0.25">
      <c r="A2171" t="s">
        <v>14</v>
      </c>
      <c r="B2171" t="s">
        <v>449</v>
      </c>
      <c r="C2171" t="s">
        <v>4369</v>
      </c>
      <c r="D2171" t="s">
        <v>4370</v>
      </c>
      <c r="E2171">
        <v>47300086445</v>
      </c>
      <c r="F2171" t="s">
        <v>16</v>
      </c>
      <c r="G2171" t="s">
        <v>28</v>
      </c>
      <c r="H2171" t="s">
        <v>187</v>
      </c>
      <c r="I2171" t="s">
        <v>2777</v>
      </c>
      <c r="J2171" t="s">
        <v>2776</v>
      </c>
      <c r="K2171" t="s">
        <v>3294</v>
      </c>
      <c r="L2171" t="s">
        <v>19</v>
      </c>
      <c r="M2171" t="s">
        <v>46</v>
      </c>
      <c r="N2171" s="2">
        <v>45597</v>
      </c>
      <c r="O2171" s="2">
        <v>45626</v>
      </c>
      <c r="P2171">
        <v>500</v>
      </c>
      <c r="Q2171">
        <v>500</v>
      </c>
      <c r="R2171" t="s">
        <v>3149</v>
      </c>
    </row>
    <row r="2172" spans="1:20" x14ac:dyDescent="0.25">
      <c r="A2172" t="s">
        <v>14</v>
      </c>
      <c r="B2172" t="s">
        <v>449</v>
      </c>
      <c r="C2172" t="s">
        <v>4371</v>
      </c>
      <c r="D2172" t="s">
        <v>4368</v>
      </c>
      <c r="E2172">
        <v>47300086445</v>
      </c>
      <c r="F2172" t="s">
        <v>16</v>
      </c>
      <c r="G2172" t="s">
        <v>28</v>
      </c>
      <c r="H2172" t="s">
        <v>187</v>
      </c>
      <c r="I2172" t="s">
        <v>2777</v>
      </c>
      <c r="J2172" t="s">
        <v>2776</v>
      </c>
      <c r="K2172" t="s">
        <v>3197</v>
      </c>
      <c r="L2172" t="s">
        <v>19</v>
      </c>
      <c r="M2172" t="s">
        <v>46</v>
      </c>
      <c r="N2172" s="2">
        <v>45597</v>
      </c>
      <c r="O2172" s="2">
        <v>45626</v>
      </c>
      <c r="P2172">
        <v>150650</v>
      </c>
      <c r="Q2172">
        <v>150650</v>
      </c>
      <c r="R2172" t="s">
        <v>3149</v>
      </c>
    </row>
    <row r="2173" spans="1:20" x14ac:dyDescent="0.25">
      <c r="A2173" t="s">
        <v>14</v>
      </c>
      <c r="B2173" t="s">
        <v>449</v>
      </c>
      <c r="C2173" t="s">
        <v>4384</v>
      </c>
      <c r="D2173" t="s">
        <v>4385</v>
      </c>
      <c r="E2173">
        <v>47300086445</v>
      </c>
      <c r="F2173" t="s">
        <v>16</v>
      </c>
      <c r="G2173" t="s">
        <v>28</v>
      </c>
      <c r="H2173" t="s">
        <v>187</v>
      </c>
      <c r="I2173" t="s">
        <v>2777</v>
      </c>
      <c r="J2173" t="s">
        <v>2776</v>
      </c>
      <c r="K2173" t="s">
        <v>2892</v>
      </c>
      <c r="L2173" t="s">
        <v>19</v>
      </c>
      <c r="M2173" t="s">
        <v>46</v>
      </c>
      <c r="N2173" s="2">
        <v>45597</v>
      </c>
      <c r="O2173" s="2">
        <v>45626</v>
      </c>
      <c r="P2173">
        <v>10000</v>
      </c>
      <c r="Q2173">
        <v>10000</v>
      </c>
      <c r="R2173" t="s">
        <v>3149</v>
      </c>
    </row>
    <row r="2174" spans="1:20" x14ac:dyDescent="0.25">
      <c r="A2174" t="s">
        <v>14</v>
      </c>
      <c r="B2174" t="s">
        <v>447</v>
      </c>
      <c r="C2174" t="s">
        <v>4369</v>
      </c>
      <c r="D2174" t="s">
        <v>4370</v>
      </c>
      <c r="E2174">
        <v>47300070571</v>
      </c>
      <c r="F2174" t="s">
        <v>42</v>
      </c>
      <c r="G2174" t="s">
        <v>28</v>
      </c>
      <c r="H2174" t="s">
        <v>72</v>
      </c>
      <c r="K2174" t="s">
        <v>4266</v>
      </c>
      <c r="L2174" t="s">
        <v>19</v>
      </c>
      <c r="M2174" t="s">
        <v>63</v>
      </c>
      <c r="N2174" s="2">
        <v>45597</v>
      </c>
      <c r="O2174" s="2">
        <v>45626</v>
      </c>
      <c r="P2174">
        <v>100000</v>
      </c>
      <c r="Q2174">
        <v>100000</v>
      </c>
      <c r="R2174" t="s">
        <v>4319</v>
      </c>
      <c r="S2174" t="s">
        <v>448</v>
      </c>
      <c r="T2174">
        <v>416.3</v>
      </c>
    </row>
    <row r="2175" spans="1:20" x14ac:dyDescent="0.25">
      <c r="A2175" t="s">
        <v>14</v>
      </c>
      <c r="B2175" t="s">
        <v>446</v>
      </c>
      <c r="C2175" t="s">
        <v>4369</v>
      </c>
      <c r="D2175" t="s">
        <v>4370</v>
      </c>
      <c r="E2175">
        <v>47300046647</v>
      </c>
      <c r="F2175" t="s">
        <v>16</v>
      </c>
      <c r="G2175" t="s">
        <v>87</v>
      </c>
      <c r="H2175" t="s">
        <v>100</v>
      </c>
      <c r="K2175" t="s">
        <v>4340</v>
      </c>
      <c r="L2175" t="s">
        <v>47</v>
      </c>
      <c r="N2175" s="2">
        <v>45607</v>
      </c>
      <c r="O2175" s="2">
        <v>45607</v>
      </c>
      <c r="P2175">
        <v>1253686.44</v>
      </c>
      <c r="Q2175">
        <v>1253686.44</v>
      </c>
      <c r="R2175" t="s">
        <v>4339</v>
      </c>
    </row>
    <row r="2176" spans="1:20" x14ac:dyDescent="0.25">
      <c r="A2176" t="s">
        <v>14</v>
      </c>
      <c r="B2176" t="s">
        <v>445</v>
      </c>
      <c r="C2176" t="s">
        <v>4365</v>
      </c>
      <c r="D2176" t="s">
        <v>4403</v>
      </c>
      <c r="E2176">
        <v>47300070654</v>
      </c>
      <c r="F2176" t="s">
        <v>16</v>
      </c>
      <c r="G2176" t="s">
        <v>28</v>
      </c>
      <c r="H2176" t="s">
        <v>217</v>
      </c>
      <c r="K2176" t="s">
        <v>3294</v>
      </c>
      <c r="L2176" t="s">
        <v>19</v>
      </c>
      <c r="M2176" t="s">
        <v>46</v>
      </c>
      <c r="N2176" s="2">
        <v>45597</v>
      </c>
      <c r="O2176" s="2">
        <v>45626</v>
      </c>
      <c r="P2176">
        <v>500</v>
      </c>
      <c r="Q2176">
        <v>500</v>
      </c>
      <c r="R2176" t="s">
        <v>3150</v>
      </c>
    </row>
    <row r="2177" spans="1:20" x14ac:dyDescent="0.25">
      <c r="A2177" t="s">
        <v>14</v>
      </c>
      <c r="B2177" t="s">
        <v>445</v>
      </c>
      <c r="C2177" t="s">
        <v>4365</v>
      </c>
      <c r="D2177" t="s">
        <v>4403</v>
      </c>
      <c r="E2177">
        <v>47300070654</v>
      </c>
      <c r="F2177" t="s">
        <v>16</v>
      </c>
      <c r="G2177" t="s">
        <v>28</v>
      </c>
      <c r="H2177" t="s">
        <v>217</v>
      </c>
      <c r="K2177" t="s">
        <v>3197</v>
      </c>
      <c r="L2177" t="s">
        <v>19</v>
      </c>
      <c r="M2177" t="s">
        <v>46</v>
      </c>
      <c r="N2177" s="2">
        <v>45597</v>
      </c>
      <c r="O2177" s="2">
        <v>45626</v>
      </c>
      <c r="P2177">
        <v>150650</v>
      </c>
      <c r="Q2177">
        <v>150650</v>
      </c>
      <c r="R2177" t="s">
        <v>3150</v>
      </c>
    </row>
    <row r="2178" spans="1:20" x14ac:dyDescent="0.25">
      <c r="A2178" t="s">
        <v>14</v>
      </c>
      <c r="B2178" t="s">
        <v>445</v>
      </c>
      <c r="C2178" t="s">
        <v>4365</v>
      </c>
      <c r="D2178" t="s">
        <v>4403</v>
      </c>
      <c r="E2178">
        <v>47300070654</v>
      </c>
      <c r="F2178" t="s">
        <v>16</v>
      </c>
      <c r="G2178" t="s">
        <v>28</v>
      </c>
      <c r="H2178" t="s">
        <v>217</v>
      </c>
      <c r="K2178" t="s">
        <v>2892</v>
      </c>
      <c r="L2178" t="s">
        <v>19</v>
      </c>
      <c r="M2178" t="s">
        <v>46</v>
      </c>
      <c r="N2178" s="2">
        <v>45597</v>
      </c>
      <c r="O2178" s="2">
        <v>45626</v>
      </c>
      <c r="P2178">
        <v>10000</v>
      </c>
      <c r="Q2178">
        <v>10000</v>
      </c>
      <c r="R2178" t="s">
        <v>3150</v>
      </c>
    </row>
    <row r="2179" spans="1:20" x14ac:dyDescent="0.25">
      <c r="A2179" t="s">
        <v>14</v>
      </c>
      <c r="B2179" t="s">
        <v>443</v>
      </c>
      <c r="C2179" t="s">
        <v>4414</v>
      </c>
      <c r="D2179" t="s">
        <v>4401</v>
      </c>
      <c r="E2179">
        <v>47300070795</v>
      </c>
      <c r="F2179" t="s">
        <v>16</v>
      </c>
      <c r="G2179" t="s">
        <v>87</v>
      </c>
      <c r="H2179" t="s">
        <v>88</v>
      </c>
      <c r="K2179" t="s">
        <v>3795</v>
      </c>
      <c r="L2179" t="s">
        <v>19</v>
      </c>
      <c r="M2179" t="s">
        <v>20</v>
      </c>
      <c r="P2179">
        <v>12000</v>
      </c>
      <c r="Q2179">
        <v>12000</v>
      </c>
      <c r="R2179" t="s">
        <v>4121</v>
      </c>
      <c r="S2179" t="s">
        <v>444</v>
      </c>
      <c r="T2179">
        <v>50</v>
      </c>
    </row>
    <row r="2180" spans="1:20" x14ac:dyDescent="0.25">
      <c r="A2180" t="s">
        <v>14</v>
      </c>
      <c r="B2180" t="s">
        <v>441</v>
      </c>
      <c r="C2180" t="s">
        <v>4367</v>
      </c>
      <c r="D2180" t="s">
        <v>4368</v>
      </c>
      <c r="E2180">
        <v>47300026094</v>
      </c>
      <c r="F2180" t="s">
        <v>35</v>
      </c>
      <c r="G2180" t="s">
        <v>36</v>
      </c>
      <c r="H2180" t="s">
        <v>4359</v>
      </c>
      <c r="K2180" t="s">
        <v>3795</v>
      </c>
      <c r="L2180" t="s">
        <v>19</v>
      </c>
      <c r="M2180" t="s">
        <v>20</v>
      </c>
      <c r="P2180">
        <v>100000</v>
      </c>
      <c r="Q2180">
        <v>100000</v>
      </c>
      <c r="R2180" t="s">
        <v>4122</v>
      </c>
      <c r="S2180" t="s">
        <v>442</v>
      </c>
      <c r="T2180">
        <v>416.3</v>
      </c>
    </row>
    <row r="2181" spans="1:20" x14ac:dyDescent="0.25">
      <c r="A2181" t="s">
        <v>14</v>
      </c>
      <c r="B2181" t="s">
        <v>439</v>
      </c>
      <c r="C2181" t="s">
        <v>4374</v>
      </c>
      <c r="D2181" t="s">
        <v>4375</v>
      </c>
      <c r="E2181">
        <v>47300046746</v>
      </c>
      <c r="F2181" t="s">
        <v>16</v>
      </c>
      <c r="G2181" t="s">
        <v>28</v>
      </c>
      <c r="H2181" t="s">
        <v>32</v>
      </c>
      <c r="K2181" t="s">
        <v>3795</v>
      </c>
      <c r="L2181" t="s">
        <v>19</v>
      </c>
      <c r="M2181" t="s">
        <v>20</v>
      </c>
      <c r="P2181">
        <v>10000</v>
      </c>
      <c r="Q2181">
        <v>10000</v>
      </c>
      <c r="R2181" t="s">
        <v>4123</v>
      </c>
      <c r="S2181" t="s">
        <v>440</v>
      </c>
      <c r="T2181">
        <v>41.6</v>
      </c>
    </row>
    <row r="2182" spans="1:20" x14ac:dyDescent="0.25">
      <c r="A2182" t="s">
        <v>14</v>
      </c>
      <c r="B2182" t="s">
        <v>437</v>
      </c>
      <c r="C2182" t="s">
        <v>4376</v>
      </c>
      <c r="D2182" t="s">
        <v>4377</v>
      </c>
      <c r="E2182">
        <v>47300046761</v>
      </c>
      <c r="F2182" t="s">
        <v>42</v>
      </c>
      <c r="G2182" t="s">
        <v>28</v>
      </c>
      <c r="H2182" t="s">
        <v>43</v>
      </c>
      <c r="K2182" t="s">
        <v>3795</v>
      </c>
      <c r="L2182" t="s">
        <v>19</v>
      </c>
      <c r="M2182" t="s">
        <v>20</v>
      </c>
      <c r="P2182">
        <v>10000</v>
      </c>
      <c r="Q2182">
        <v>10000</v>
      </c>
      <c r="R2182" t="s">
        <v>4124</v>
      </c>
      <c r="S2182" t="s">
        <v>438</v>
      </c>
      <c r="T2182">
        <v>41.6</v>
      </c>
    </row>
    <row r="2183" spans="1:20" x14ac:dyDescent="0.25">
      <c r="A2183" t="s">
        <v>14</v>
      </c>
      <c r="B2183" t="s">
        <v>435</v>
      </c>
      <c r="C2183" t="s">
        <v>4400</v>
      </c>
      <c r="D2183" t="s">
        <v>4401</v>
      </c>
      <c r="E2183">
        <v>47300046761</v>
      </c>
      <c r="F2183" t="s">
        <v>42</v>
      </c>
      <c r="G2183" t="s">
        <v>28</v>
      </c>
      <c r="H2183" t="s">
        <v>43</v>
      </c>
      <c r="K2183" t="s">
        <v>3795</v>
      </c>
      <c r="L2183" t="s">
        <v>19</v>
      </c>
      <c r="M2183" t="s">
        <v>20</v>
      </c>
      <c r="P2183">
        <v>25000</v>
      </c>
      <c r="Q2183">
        <v>25000</v>
      </c>
      <c r="R2183" t="s">
        <v>4125</v>
      </c>
      <c r="S2183" t="s">
        <v>436</v>
      </c>
      <c r="T2183">
        <v>104.1</v>
      </c>
    </row>
    <row r="2184" spans="1:20" x14ac:dyDescent="0.25">
      <c r="A2184" t="s">
        <v>14</v>
      </c>
      <c r="B2184" t="s">
        <v>433</v>
      </c>
      <c r="C2184" t="s">
        <v>4400</v>
      </c>
      <c r="D2184" t="s">
        <v>4401</v>
      </c>
      <c r="E2184">
        <v>47300025708</v>
      </c>
      <c r="F2184" t="s">
        <v>35</v>
      </c>
      <c r="G2184" t="s">
        <v>36</v>
      </c>
      <c r="H2184" t="s">
        <v>4360</v>
      </c>
      <c r="K2184" t="s">
        <v>3795</v>
      </c>
      <c r="L2184" t="s">
        <v>19</v>
      </c>
      <c r="M2184" t="s">
        <v>20</v>
      </c>
      <c r="P2184">
        <v>50000</v>
      </c>
      <c r="Q2184">
        <v>50000</v>
      </c>
      <c r="R2184" t="s">
        <v>4126</v>
      </c>
      <c r="S2184" t="s">
        <v>434</v>
      </c>
      <c r="T2184">
        <v>208.2</v>
      </c>
    </row>
    <row r="2185" spans="1:20" x14ac:dyDescent="0.25">
      <c r="A2185" t="s">
        <v>14</v>
      </c>
      <c r="B2185" t="s">
        <v>430</v>
      </c>
      <c r="C2185" t="s">
        <v>4371</v>
      </c>
      <c r="D2185" t="s">
        <v>4368</v>
      </c>
      <c r="E2185">
        <v>47300070522</v>
      </c>
      <c r="F2185" t="s">
        <v>16</v>
      </c>
      <c r="G2185" t="s">
        <v>17</v>
      </c>
      <c r="H2185" t="s">
        <v>18</v>
      </c>
      <c r="K2185" t="s">
        <v>3795</v>
      </c>
      <c r="L2185" t="s">
        <v>19</v>
      </c>
      <c r="M2185" t="s">
        <v>20</v>
      </c>
      <c r="P2185">
        <v>10000</v>
      </c>
      <c r="Q2185">
        <v>10000</v>
      </c>
      <c r="R2185" t="s">
        <v>3515</v>
      </c>
      <c r="S2185" t="s">
        <v>431</v>
      </c>
      <c r="T2185">
        <v>41.6</v>
      </c>
    </row>
    <row r="2186" spans="1:20" x14ac:dyDescent="0.25">
      <c r="A2186" t="s">
        <v>14</v>
      </c>
      <c r="B2186" t="s">
        <v>430</v>
      </c>
      <c r="C2186" t="s">
        <v>4387</v>
      </c>
      <c r="D2186" t="s">
        <v>4388</v>
      </c>
      <c r="E2186">
        <v>47300070522</v>
      </c>
      <c r="F2186" t="s">
        <v>16</v>
      </c>
      <c r="G2186" t="s">
        <v>17</v>
      </c>
      <c r="H2186" t="s">
        <v>18</v>
      </c>
      <c r="K2186" t="s">
        <v>3795</v>
      </c>
      <c r="L2186" t="s">
        <v>19</v>
      </c>
      <c r="M2186" t="s">
        <v>20</v>
      </c>
      <c r="P2186">
        <v>10000</v>
      </c>
      <c r="Q2186">
        <v>10000</v>
      </c>
      <c r="R2186" t="s">
        <v>3515</v>
      </c>
      <c r="S2186" t="s">
        <v>432</v>
      </c>
      <c r="T2186">
        <v>41.6</v>
      </c>
    </row>
    <row r="2187" spans="1:20" x14ac:dyDescent="0.25">
      <c r="A2187" t="s">
        <v>14</v>
      </c>
      <c r="B2187" t="s">
        <v>430</v>
      </c>
      <c r="C2187" t="s">
        <v>4387</v>
      </c>
      <c r="D2187" t="s">
        <v>4388</v>
      </c>
      <c r="E2187">
        <v>47300070522</v>
      </c>
      <c r="F2187" t="s">
        <v>16</v>
      </c>
      <c r="G2187" t="s">
        <v>17</v>
      </c>
      <c r="H2187" t="s">
        <v>18</v>
      </c>
      <c r="K2187" t="s">
        <v>3504</v>
      </c>
      <c r="L2187" t="s">
        <v>47</v>
      </c>
      <c r="N2187" s="2">
        <v>45602</v>
      </c>
      <c r="O2187" s="2">
        <v>45602</v>
      </c>
      <c r="P2187">
        <v>90661</v>
      </c>
      <c r="Q2187">
        <v>90661</v>
      </c>
      <c r="R2187" t="s">
        <v>3515</v>
      </c>
    </row>
    <row r="2188" spans="1:20" x14ac:dyDescent="0.25">
      <c r="A2188" t="s">
        <v>14</v>
      </c>
      <c r="B2188" t="s">
        <v>429</v>
      </c>
      <c r="C2188" t="s">
        <v>4400</v>
      </c>
      <c r="D2188" t="s">
        <v>4401</v>
      </c>
      <c r="E2188">
        <v>47300046720</v>
      </c>
      <c r="F2188" t="s">
        <v>16</v>
      </c>
      <c r="G2188" t="s">
        <v>28</v>
      </c>
      <c r="H2188" t="s">
        <v>143</v>
      </c>
      <c r="K2188" t="s">
        <v>2892</v>
      </c>
      <c r="L2188" t="s">
        <v>19</v>
      </c>
      <c r="M2188" t="s">
        <v>46</v>
      </c>
      <c r="N2188" s="2">
        <v>45597</v>
      </c>
      <c r="O2188" s="2">
        <v>45626</v>
      </c>
      <c r="P2188">
        <v>10000</v>
      </c>
      <c r="Q2188">
        <v>10000</v>
      </c>
      <c r="R2188" t="s">
        <v>3151</v>
      </c>
    </row>
    <row r="2189" spans="1:20" x14ac:dyDescent="0.25">
      <c r="A2189" t="s">
        <v>14</v>
      </c>
      <c r="B2189" t="s">
        <v>427</v>
      </c>
      <c r="C2189" t="s">
        <v>4376</v>
      </c>
      <c r="D2189" t="s">
        <v>4377</v>
      </c>
      <c r="E2189">
        <v>47300046720</v>
      </c>
      <c r="F2189" t="s">
        <v>16</v>
      </c>
      <c r="G2189" t="s">
        <v>28</v>
      </c>
      <c r="H2189" t="s">
        <v>143</v>
      </c>
      <c r="K2189" t="s">
        <v>3795</v>
      </c>
      <c r="L2189" t="s">
        <v>19</v>
      </c>
      <c r="M2189" t="s">
        <v>20</v>
      </c>
      <c r="P2189">
        <v>50000</v>
      </c>
      <c r="Q2189">
        <v>50000</v>
      </c>
      <c r="R2189" t="s">
        <v>4127</v>
      </c>
      <c r="S2189" t="s">
        <v>428</v>
      </c>
      <c r="T2189">
        <v>208.2</v>
      </c>
    </row>
    <row r="2190" spans="1:20" x14ac:dyDescent="0.25">
      <c r="A2190" t="s">
        <v>14</v>
      </c>
      <c r="B2190" t="s">
        <v>426</v>
      </c>
      <c r="C2190" t="s">
        <v>4389</v>
      </c>
      <c r="D2190" t="s">
        <v>4375</v>
      </c>
      <c r="E2190">
        <v>47300070597</v>
      </c>
      <c r="F2190" t="s">
        <v>16</v>
      </c>
      <c r="G2190" t="s">
        <v>28</v>
      </c>
      <c r="H2190" t="s">
        <v>77</v>
      </c>
      <c r="K2190" t="s">
        <v>3504</v>
      </c>
      <c r="L2190" t="s">
        <v>47</v>
      </c>
      <c r="N2190" s="2">
        <v>45602</v>
      </c>
      <c r="O2190" s="2">
        <v>45602</v>
      </c>
      <c r="P2190">
        <v>90661</v>
      </c>
      <c r="Q2190">
        <v>90661</v>
      </c>
      <c r="R2190" t="s">
        <v>3516</v>
      </c>
    </row>
    <row r="2191" spans="1:20" x14ac:dyDescent="0.25">
      <c r="A2191" t="s">
        <v>14</v>
      </c>
      <c r="B2191" t="s">
        <v>424</v>
      </c>
      <c r="C2191" t="s">
        <v>4402</v>
      </c>
      <c r="D2191" t="s">
        <v>4379</v>
      </c>
      <c r="E2191">
        <v>47300070514</v>
      </c>
      <c r="F2191" t="s">
        <v>27</v>
      </c>
      <c r="G2191" t="s">
        <v>28</v>
      </c>
      <c r="H2191" t="s">
        <v>29</v>
      </c>
      <c r="K2191" t="s">
        <v>3795</v>
      </c>
      <c r="L2191" t="s">
        <v>19</v>
      </c>
      <c r="M2191" t="s">
        <v>20</v>
      </c>
      <c r="P2191">
        <v>99000</v>
      </c>
      <c r="Q2191">
        <v>99000</v>
      </c>
      <c r="R2191" t="s">
        <v>4128</v>
      </c>
      <c r="S2191" t="s">
        <v>425</v>
      </c>
      <c r="T2191">
        <v>412.1</v>
      </c>
    </row>
    <row r="2192" spans="1:20" x14ac:dyDescent="0.25">
      <c r="A2192" t="s">
        <v>14</v>
      </c>
      <c r="B2192" t="s">
        <v>422</v>
      </c>
      <c r="C2192" t="s">
        <v>3300</v>
      </c>
      <c r="D2192" t="s">
        <v>3299</v>
      </c>
      <c r="E2192">
        <v>47300070795</v>
      </c>
      <c r="F2192" t="s">
        <v>16</v>
      </c>
      <c r="G2192" t="s">
        <v>87</v>
      </c>
      <c r="H2192" t="s">
        <v>88</v>
      </c>
      <c r="K2192" t="s">
        <v>3795</v>
      </c>
      <c r="L2192" t="s">
        <v>19</v>
      </c>
      <c r="M2192" t="s">
        <v>20</v>
      </c>
      <c r="P2192">
        <v>20000</v>
      </c>
      <c r="Q2192">
        <v>20000</v>
      </c>
      <c r="R2192" t="s">
        <v>4129</v>
      </c>
      <c r="S2192" t="s">
        <v>423</v>
      </c>
      <c r="T2192">
        <v>83.2</v>
      </c>
    </row>
    <row r="2193" spans="1:20" x14ac:dyDescent="0.25">
      <c r="A2193" t="s">
        <v>14</v>
      </c>
      <c r="B2193" t="s">
        <v>420</v>
      </c>
      <c r="C2193" t="s">
        <v>4371</v>
      </c>
      <c r="D2193" t="s">
        <v>4368</v>
      </c>
      <c r="E2193">
        <v>47300070555</v>
      </c>
      <c r="F2193" t="s">
        <v>35</v>
      </c>
      <c r="G2193" t="s">
        <v>35</v>
      </c>
      <c r="H2193" t="s">
        <v>116</v>
      </c>
      <c r="K2193" t="s">
        <v>4266</v>
      </c>
      <c r="L2193" t="s">
        <v>19</v>
      </c>
      <c r="M2193" t="s">
        <v>63</v>
      </c>
      <c r="N2193" s="2">
        <v>45597</v>
      </c>
      <c r="O2193" s="2">
        <v>45626</v>
      </c>
      <c r="P2193">
        <v>50000</v>
      </c>
      <c r="Q2193">
        <v>50000</v>
      </c>
      <c r="R2193" t="s">
        <v>3474</v>
      </c>
      <c r="S2193" t="s">
        <v>421</v>
      </c>
      <c r="T2193">
        <v>208.2</v>
      </c>
    </row>
    <row r="2194" spans="1:20" x14ac:dyDescent="0.25">
      <c r="A2194" t="s">
        <v>14</v>
      </c>
      <c r="B2194" t="s">
        <v>420</v>
      </c>
      <c r="C2194" t="s">
        <v>4367</v>
      </c>
      <c r="D2194" t="s">
        <v>4368</v>
      </c>
      <c r="E2194">
        <v>47300070555</v>
      </c>
      <c r="F2194" t="s">
        <v>35</v>
      </c>
      <c r="G2194" t="s">
        <v>35</v>
      </c>
      <c r="H2194" t="s">
        <v>116</v>
      </c>
      <c r="K2194" t="s">
        <v>3294</v>
      </c>
      <c r="L2194" t="s">
        <v>19</v>
      </c>
      <c r="M2194" t="s">
        <v>46</v>
      </c>
      <c r="N2194" s="2">
        <v>45597</v>
      </c>
      <c r="O2194" s="2">
        <v>45626</v>
      </c>
      <c r="P2194">
        <v>500</v>
      </c>
      <c r="Q2194">
        <v>500</v>
      </c>
      <c r="R2194" t="s">
        <v>3474</v>
      </c>
    </row>
    <row r="2195" spans="1:20" x14ac:dyDescent="0.25">
      <c r="A2195" t="s">
        <v>14</v>
      </c>
      <c r="B2195" t="s">
        <v>418</v>
      </c>
      <c r="C2195" t="s">
        <v>3300</v>
      </c>
      <c r="D2195" t="s">
        <v>3299</v>
      </c>
      <c r="E2195">
        <v>47300026094</v>
      </c>
      <c r="F2195" t="s">
        <v>35</v>
      </c>
      <c r="G2195" t="s">
        <v>36</v>
      </c>
      <c r="H2195" t="s">
        <v>4359</v>
      </c>
      <c r="K2195" t="s">
        <v>3795</v>
      </c>
      <c r="L2195" t="s">
        <v>19</v>
      </c>
      <c r="M2195" t="s">
        <v>20</v>
      </c>
      <c r="P2195">
        <v>100000</v>
      </c>
      <c r="Q2195">
        <v>100000</v>
      </c>
      <c r="R2195" t="s">
        <v>4130</v>
      </c>
      <c r="S2195" t="s">
        <v>419</v>
      </c>
      <c r="T2195">
        <v>416.3</v>
      </c>
    </row>
    <row r="2196" spans="1:20" x14ac:dyDescent="0.25">
      <c r="A2196" t="s">
        <v>14</v>
      </c>
      <c r="B2196" t="s">
        <v>416</v>
      </c>
      <c r="C2196" t="s">
        <v>4374</v>
      </c>
      <c r="D2196" t="s">
        <v>4375</v>
      </c>
      <c r="E2196">
        <v>47300025708</v>
      </c>
      <c r="F2196" t="s">
        <v>35</v>
      </c>
      <c r="G2196" t="s">
        <v>36</v>
      </c>
      <c r="H2196" t="s">
        <v>4360</v>
      </c>
      <c r="K2196" t="s">
        <v>3795</v>
      </c>
      <c r="L2196" t="s">
        <v>19</v>
      </c>
      <c r="M2196" t="s">
        <v>20</v>
      </c>
      <c r="P2196">
        <v>100000</v>
      </c>
      <c r="Q2196">
        <v>100000</v>
      </c>
      <c r="R2196" t="s">
        <v>4131</v>
      </c>
      <c r="S2196" t="s">
        <v>417</v>
      </c>
      <c r="T2196">
        <v>416.3</v>
      </c>
    </row>
    <row r="2197" spans="1:20" x14ac:dyDescent="0.25">
      <c r="A2197" t="s">
        <v>14</v>
      </c>
      <c r="B2197" t="s">
        <v>414</v>
      </c>
      <c r="C2197" t="s">
        <v>4414</v>
      </c>
      <c r="D2197" t="s">
        <v>4401</v>
      </c>
      <c r="E2197">
        <v>47300070522</v>
      </c>
      <c r="F2197" t="s">
        <v>16</v>
      </c>
      <c r="G2197" t="s">
        <v>17</v>
      </c>
      <c r="H2197" t="s">
        <v>18</v>
      </c>
      <c r="K2197" t="s">
        <v>3795</v>
      </c>
      <c r="L2197" t="s">
        <v>19</v>
      </c>
      <c r="M2197" t="s">
        <v>20</v>
      </c>
      <c r="P2197">
        <v>20000</v>
      </c>
      <c r="Q2197">
        <v>20000</v>
      </c>
      <c r="R2197" t="s">
        <v>4132</v>
      </c>
      <c r="S2197" t="s">
        <v>415</v>
      </c>
      <c r="T2197">
        <v>83.3</v>
      </c>
    </row>
    <row r="2198" spans="1:20" x14ac:dyDescent="0.25">
      <c r="A2198" t="s">
        <v>14</v>
      </c>
      <c r="B2198" t="s">
        <v>412</v>
      </c>
      <c r="C2198" t="s">
        <v>4400</v>
      </c>
      <c r="D2198" t="s">
        <v>4401</v>
      </c>
      <c r="E2198">
        <v>47300046746</v>
      </c>
      <c r="F2198" t="s">
        <v>16</v>
      </c>
      <c r="G2198" t="s">
        <v>28</v>
      </c>
      <c r="H2198" t="s">
        <v>32</v>
      </c>
      <c r="K2198" t="s">
        <v>3795</v>
      </c>
      <c r="L2198" t="s">
        <v>19</v>
      </c>
      <c r="M2198" t="s">
        <v>20</v>
      </c>
      <c r="P2198">
        <v>15000</v>
      </c>
      <c r="Q2198">
        <v>15000</v>
      </c>
      <c r="R2198" t="s">
        <v>4133</v>
      </c>
      <c r="S2198" t="s">
        <v>413</v>
      </c>
      <c r="T2198">
        <v>62.5</v>
      </c>
    </row>
    <row r="2199" spans="1:20" x14ac:dyDescent="0.25">
      <c r="A2199" t="s">
        <v>14</v>
      </c>
      <c r="B2199" t="s">
        <v>410</v>
      </c>
      <c r="C2199" t="s">
        <v>4387</v>
      </c>
      <c r="D2199" t="s">
        <v>4388</v>
      </c>
      <c r="E2199">
        <v>47300046761</v>
      </c>
      <c r="F2199" t="s">
        <v>42</v>
      </c>
      <c r="G2199" t="s">
        <v>28</v>
      </c>
      <c r="H2199" t="s">
        <v>43</v>
      </c>
      <c r="K2199" t="s">
        <v>3795</v>
      </c>
      <c r="L2199" t="s">
        <v>19</v>
      </c>
      <c r="M2199" t="s">
        <v>20</v>
      </c>
      <c r="P2199">
        <v>25000</v>
      </c>
      <c r="Q2199">
        <v>25000</v>
      </c>
      <c r="R2199" t="s">
        <v>4134</v>
      </c>
      <c r="S2199" t="s">
        <v>411</v>
      </c>
      <c r="T2199">
        <v>104.1</v>
      </c>
    </row>
    <row r="2200" spans="1:20" x14ac:dyDescent="0.25">
      <c r="A2200" t="s">
        <v>14</v>
      </c>
      <c r="B2200" t="s">
        <v>408</v>
      </c>
      <c r="C2200" t="s">
        <v>4378</v>
      </c>
      <c r="D2200" t="s">
        <v>4379</v>
      </c>
      <c r="E2200">
        <v>47300070795</v>
      </c>
      <c r="F2200" t="s">
        <v>16</v>
      </c>
      <c r="G2200" t="s">
        <v>87</v>
      </c>
      <c r="H2200" t="s">
        <v>88</v>
      </c>
      <c r="K2200" t="s">
        <v>3795</v>
      </c>
      <c r="L2200" t="s">
        <v>19</v>
      </c>
      <c r="M2200" t="s">
        <v>20</v>
      </c>
      <c r="P2200">
        <v>50000</v>
      </c>
      <c r="Q2200">
        <v>50000</v>
      </c>
      <c r="R2200" t="s">
        <v>4135</v>
      </c>
      <c r="S2200" t="s">
        <v>409</v>
      </c>
      <c r="T2200">
        <v>208.2</v>
      </c>
    </row>
    <row r="2201" spans="1:20" x14ac:dyDescent="0.25">
      <c r="A2201" t="s">
        <v>14</v>
      </c>
      <c r="B2201" t="s">
        <v>406</v>
      </c>
      <c r="C2201" t="s">
        <v>4369</v>
      </c>
      <c r="D2201" t="s">
        <v>4370</v>
      </c>
      <c r="E2201">
        <v>47300046399</v>
      </c>
      <c r="F2201" t="s">
        <v>16</v>
      </c>
      <c r="G2201" t="s">
        <v>28</v>
      </c>
      <c r="H2201" t="s">
        <v>122</v>
      </c>
      <c r="K2201" t="s">
        <v>4266</v>
      </c>
      <c r="L2201" t="s">
        <v>19</v>
      </c>
      <c r="M2201" t="s">
        <v>63</v>
      </c>
      <c r="N2201" s="2">
        <v>45597</v>
      </c>
      <c r="O2201" s="2">
        <v>45626</v>
      </c>
      <c r="P2201">
        <v>75000</v>
      </c>
      <c r="Q2201">
        <v>75000</v>
      </c>
      <c r="R2201" t="s">
        <v>3243</v>
      </c>
      <c r="S2201" t="s">
        <v>407</v>
      </c>
      <c r="T2201">
        <v>312.2</v>
      </c>
    </row>
    <row r="2202" spans="1:20" x14ac:dyDescent="0.25">
      <c r="A2202" t="s">
        <v>14</v>
      </c>
      <c r="B2202" t="s">
        <v>406</v>
      </c>
      <c r="C2202" t="s">
        <v>4394</v>
      </c>
      <c r="D2202" t="s">
        <v>4395</v>
      </c>
      <c r="E2202">
        <v>47300046399</v>
      </c>
      <c r="F2202" t="s">
        <v>16</v>
      </c>
      <c r="G2202" t="s">
        <v>28</v>
      </c>
      <c r="H2202" t="s">
        <v>122</v>
      </c>
      <c r="K2202" t="s">
        <v>3294</v>
      </c>
      <c r="L2202" t="s">
        <v>19</v>
      </c>
      <c r="M2202" t="s">
        <v>46</v>
      </c>
      <c r="N2202" s="2">
        <v>45597</v>
      </c>
      <c r="O2202" s="2">
        <v>45626</v>
      </c>
      <c r="P2202">
        <v>500</v>
      </c>
      <c r="Q2202">
        <v>500</v>
      </c>
      <c r="R2202" t="s">
        <v>3243</v>
      </c>
    </row>
    <row r="2203" spans="1:20" x14ac:dyDescent="0.25">
      <c r="A2203" t="s">
        <v>14</v>
      </c>
      <c r="B2203" t="s">
        <v>406</v>
      </c>
      <c r="C2203" t="s">
        <v>4378</v>
      </c>
      <c r="D2203" t="s">
        <v>4379</v>
      </c>
      <c r="E2203">
        <v>47300046399</v>
      </c>
      <c r="F2203" t="s">
        <v>16</v>
      </c>
      <c r="G2203" t="s">
        <v>28</v>
      </c>
      <c r="H2203" t="s">
        <v>122</v>
      </c>
      <c r="K2203" t="s">
        <v>3197</v>
      </c>
      <c r="L2203" t="s">
        <v>19</v>
      </c>
      <c r="M2203" t="s">
        <v>46</v>
      </c>
      <c r="N2203" s="2">
        <v>45597</v>
      </c>
      <c r="O2203" s="2">
        <v>45626</v>
      </c>
      <c r="P2203">
        <v>150650</v>
      </c>
      <c r="Q2203">
        <v>150650</v>
      </c>
      <c r="R2203" t="s">
        <v>3243</v>
      </c>
    </row>
    <row r="2204" spans="1:20" x14ac:dyDescent="0.25">
      <c r="A2204" t="s">
        <v>14</v>
      </c>
      <c r="B2204" t="s">
        <v>404</v>
      </c>
      <c r="C2204" t="s">
        <v>4374</v>
      </c>
      <c r="D2204" t="s">
        <v>4375</v>
      </c>
      <c r="E2204">
        <v>47300046241</v>
      </c>
      <c r="F2204" t="s">
        <v>16</v>
      </c>
      <c r="G2204" t="s">
        <v>23</v>
      </c>
      <c r="H2204" t="s">
        <v>24</v>
      </c>
      <c r="I2204" t="s">
        <v>2754</v>
      </c>
      <c r="J2204">
        <v>0</v>
      </c>
      <c r="K2204" t="s">
        <v>3795</v>
      </c>
      <c r="L2204" t="s">
        <v>19</v>
      </c>
      <c r="M2204" t="s">
        <v>20</v>
      </c>
      <c r="P2204">
        <v>20000</v>
      </c>
      <c r="Q2204">
        <v>20000</v>
      </c>
      <c r="R2204" t="s">
        <v>4136</v>
      </c>
      <c r="S2204" t="s">
        <v>405</v>
      </c>
      <c r="T2204">
        <v>83.2</v>
      </c>
    </row>
    <row r="2205" spans="1:20" x14ac:dyDescent="0.25">
      <c r="A2205" t="s">
        <v>14</v>
      </c>
      <c r="B2205" t="s">
        <v>402</v>
      </c>
      <c r="C2205" t="s">
        <v>4378</v>
      </c>
      <c r="D2205" t="s">
        <v>4379</v>
      </c>
      <c r="E2205">
        <v>47300086445</v>
      </c>
      <c r="F2205" t="s">
        <v>16</v>
      </c>
      <c r="G2205" t="s">
        <v>28</v>
      </c>
      <c r="H2205" t="s">
        <v>187</v>
      </c>
      <c r="I2205" t="s">
        <v>2777</v>
      </c>
      <c r="J2205" t="s">
        <v>2776</v>
      </c>
      <c r="K2205" t="s">
        <v>3795</v>
      </c>
      <c r="L2205" t="s">
        <v>19</v>
      </c>
      <c r="M2205" t="s">
        <v>20</v>
      </c>
      <c r="P2205">
        <v>30000</v>
      </c>
      <c r="Q2205">
        <v>30000</v>
      </c>
      <c r="R2205" t="s">
        <v>4137</v>
      </c>
      <c r="S2205" t="s">
        <v>403</v>
      </c>
      <c r="T2205">
        <v>124.9</v>
      </c>
    </row>
    <row r="2206" spans="1:20" x14ac:dyDescent="0.25">
      <c r="A2206" t="s">
        <v>14</v>
      </c>
      <c r="B2206" t="s">
        <v>400</v>
      </c>
      <c r="C2206" t="s">
        <v>4387</v>
      </c>
      <c r="D2206" t="s">
        <v>4388</v>
      </c>
      <c r="E2206">
        <v>47300046662</v>
      </c>
      <c r="F2206" t="s">
        <v>16</v>
      </c>
      <c r="G2206" t="s">
        <v>28</v>
      </c>
      <c r="H2206" t="s">
        <v>129</v>
      </c>
      <c r="K2206" t="s">
        <v>4266</v>
      </c>
      <c r="L2206" t="s">
        <v>19</v>
      </c>
      <c r="M2206" t="s">
        <v>63</v>
      </c>
      <c r="N2206" s="2">
        <v>45597</v>
      </c>
      <c r="O2206" s="2">
        <v>45626</v>
      </c>
      <c r="P2206">
        <v>40000</v>
      </c>
      <c r="Q2206">
        <v>40000</v>
      </c>
      <c r="R2206" t="s">
        <v>4320</v>
      </c>
      <c r="S2206" t="s">
        <v>401</v>
      </c>
      <c r="T2206">
        <v>166.6</v>
      </c>
    </row>
    <row r="2207" spans="1:20" x14ac:dyDescent="0.25">
      <c r="A2207" t="s">
        <v>14</v>
      </c>
      <c r="B2207" t="s">
        <v>398</v>
      </c>
      <c r="C2207" t="s">
        <v>4396</v>
      </c>
      <c r="D2207" t="s">
        <v>4397</v>
      </c>
      <c r="E2207">
        <v>47300046761</v>
      </c>
      <c r="F2207" t="s">
        <v>42</v>
      </c>
      <c r="G2207" t="s">
        <v>28</v>
      </c>
      <c r="H2207" t="s">
        <v>43</v>
      </c>
      <c r="K2207" t="s">
        <v>3795</v>
      </c>
      <c r="L2207" t="s">
        <v>19</v>
      </c>
      <c r="M2207" t="s">
        <v>20</v>
      </c>
      <c r="P2207">
        <v>25000</v>
      </c>
      <c r="Q2207">
        <v>25000</v>
      </c>
      <c r="R2207" t="s">
        <v>4138</v>
      </c>
      <c r="S2207" t="s">
        <v>399</v>
      </c>
      <c r="T2207">
        <v>104.1</v>
      </c>
    </row>
    <row r="2208" spans="1:20" x14ac:dyDescent="0.25">
      <c r="A2208" t="s">
        <v>14</v>
      </c>
      <c r="B2208" t="s">
        <v>396</v>
      </c>
      <c r="C2208" t="s">
        <v>4414</v>
      </c>
      <c r="D2208" t="s">
        <v>4401</v>
      </c>
      <c r="E2208">
        <v>47300046738</v>
      </c>
      <c r="F2208" t="s">
        <v>16</v>
      </c>
      <c r="G2208" t="s">
        <v>28</v>
      </c>
      <c r="H2208" t="s">
        <v>202</v>
      </c>
      <c r="K2208" t="s">
        <v>4266</v>
      </c>
      <c r="L2208" t="s">
        <v>19</v>
      </c>
      <c r="M2208" t="s">
        <v>63</v>
      </c>
      <c r="N2208" s="2">
        <v>45597</v>
      </c>
      <c r="O2208" s="2">
        <v>45626</v>
      </c>
      <c r="P2208">
        <v>100000</v>
      </c>
      <c r="Q2208">
        <v>100000</v>
      </c>
      <c r="R2208" t="s">
        <v>4321</v>
      </c>
      <c r="S2208" t="s">
        <v>397</v>
      </c>
      <c r="T2208">
        <v>416.3</v>
      </c>
    </row>
    <row r="2209" spans="1:20" x14ac:dyDescent="0.25">
      <c r="A2209" t="s">
        <v>14</v>
      </c>
      <c r="B2209" t="s">
        <v>394</v>
      </c>
      <c r="C2209" t="s">
        <v>4380</v>
      </c>
      <c r="D2209" t="s">
        <v>4381</v>
      </c>
      <c r="E2209">
        <v>47300026094</v>
      </c>
      <c r="F2209" t="s">
        <v>35</v>
      </c>
      <c r="G2209" t="s">
        <v>36</v>
      </c>
      <c r="H2209" t="s">
        <v>4359</v>
      </c>
      <c r="K2209" t="s">
        <v>3795</v>
      </c>
      <c r="L2209" t="s">
        <v>19</v>
      </c>
      <c r="M2209" t="s">
        <v>20</v>
      </c>
      <c r="P2209">
        <v>100000</v>
      </c>
      <c r="Q2209">
        <v>100000</v>
      </c>
      <c r="R2209" t="s">
        <v>4139</v>
      </c>
      <c r="S2209" t="s">
        <v>395</v>
      </c>
      <c r="T2209">
        <v>416.3</v>
      </c>
    </row>
    <row r="2210" spans="1:20" x14ac:dyDescent="0.25">
      <c r="A2210" t="s">
        <v>14</v>
      </c>
      <c r="B2210" t="s">
        <v>392</v>
      </c>
      <c r="C2210" t="s">
        <v>4386</v>
      </c>
      <c r="D2210" t="s">
        <v>4368</v>
      </c>
      <c r="E2210">
        <v>47300025690</v>
      </c>
      <c r="F2210" t="s">
        <v>35</v>
      </c>
      <c r="G2210" t="s">
        <v>36</v>
      </c>
      <c r="H2210" t="s">
        <v>37</v>
      </c>
      <c r="K2210" t="s">
        <v>3795</v>
      </c>
      <c r="L2210" t="s">
        <v>19</v>
      </c>
      <c r="M2210" t="s">
        <v>20</v>
      </c>
      <c r="P2210">
        <v>50000</v>
      </c>
      <c r="Q2210">
        <v>50000</v>
      </c>
      <c r="R2210" t="s">
        <v>4140</v>
      </c>
      <c r="S2210" t="s">
        <v>393</v>
      </c>
      <c r="T2210">
        <v>208.1</v>
      </c>
    </row>
    <row r="2211" spans="1:20" x14ac:dyDescent="0.25">
      <c r="A2211" t="s">
        <v>14</v>
      </c>
      <c r="B2211" t="s">
        <v>390</v>
      </c>
      <c r="C2211" t="s">
        <v>4367</v>
      </c>
      <c r="D2211" t="s">
        <v>4368</v>
      </c>
      <c r="E2211">
        <v>47300046605</v>
      </c>
      <c r="F2211" t="s">
        <v>16</v>
      </c>
      <c r="G2211" t="s">
        <v>17</v>
      </c>
      <c r="H2211" t="s">
        <v>49</v>
      </c>
      <c r="K2211" t="s">
        <v>4266</v>
      </c>
      <c r="L2211" t="s">
        <v>19</v>
      </c>
      <c r="M2211" t="s">
        <v>63</v>
      </c>
      <c r="N2211" s="2">
        <v>45597</v>
      </c>
      <c r="O2211" s="2">
        <v>45626</v>
      </c>
      <c r="P2211">
        <v>38000</v>
      </c>
      <c r="Q2211">
        <v>38000</v>
      </c>
      <c r="R2211" t="s">
        <v>4322</v>
      </c>
      <c r="S2211" t="s">
        <v>391</v>
      </c>
      <c r="T2211">
        <v>158.1</v>
      </c>
    </row>
    <row r="2212" spans="1:20" x14ac:dyDescent="0.25">
      <c r="A2212" t="s">
        <v>14</v>
      </c>
      <c r="B2212" t="s">
        <v>389</v>
      </c>
      <c r="C2212" t="s">
        <v>4412</v>
      </c>
      <c r="D2212" t="s">
        <v>4424</v>
      </c>
      <c r="E2212">
        <v>47300046977</v>
      </c>
      <c r="F2212" t="s">
        <v>16</v>
      </c>
      <c r="G2212" t="s">
        <v>17</v>
      </c>
      <c r="H2212" t="s">
        <v>175</v>
      </c>
      <c r="K2212" t="s">
        <v>3197</v>
      </c>
      <c r="L2212" t="s">
        <v>19</v>
      </c>
      <c r="M2212" t="s">
        <v>46</v>
      </c>
      <c r="N2212" s="2">
        <v>45597</v>
      </c>
      <c r="O2212" s="2">
        <v>45626</v>
      </c>
      <c r="P2212">
        <v>150650</v>
      </c>
      <c r="Q2212">
        <v>150650</v>
      </c>
      <c r="R2212" t="s">
        <v>3244</v>
      </c>
    </row>
    <row r="2213" spans="1:20" x14ac:dyDescent="0.25">
      <c r="A2213" t="s">
        <v>14</v>
      </c>
      <c r="B2213" t="s">
        <v>387</v>
      </c>
      <c r="C2213" t="s">
        <v>4384</v>
      </c>
      <c r="D2213" t="s">
        <v>4391</v>
      </c>
      <c r="E2213">
        <v>47300046746</v>
      </c>
      <c r="F2213" t="s">
        <v>16</v>
      </c>
      <c r="G2213" t="s">
        <v>28</v>
      </c>
      <c r="H2213" t="s">
        <v>32</v>
      </c>
      <c r="K2213" t="s">
        <v>3795</v>
      </c>
      <c r="L2213" t="s">
        <v>19</v>
      </c>
      <c r="M2213" t="s">
        <v>20</v>
      </c>
      <c r="P2213">
        <v>10000</v>
      </c>
      <c r="Q2213">
        <v>10000</v>
      </c>
      <c r="R2213" t="s">
        <v>4141</v>
      </c>
      <c r="S2213" t="s">
        <v>388</v>
      </c>
      <c r="T2213">
        <v>41.6</v>
      </c>
    </row>
    <row r="2214" spans="1:20" x14ac:dyDescent="0.25">
      <c r="A2214" t="s">
        <v>14</v>
      </c>
      <c r="B2214" t="s">
        <v>385</v>
      </c>
      <c r="C2214" t="s">
        <v>4413</v>
      </c>
      <c r="D2214" t="s">
        <v>4395</v>
      </c>
      <c r="E2214">
        <v>47300070522</v>
      </c>
      <c r="F2214" t="s">
        <v>16</v>
      </c>
      <c r="G2214" t="s">
        <v>17</v>
      </c>
      <c r="H2214" t="s">
        <v>18</v>
      </c>
      <c r="K2214" t="s">
        <v>3795</v>
      </c>
      <c r="L2214" t="s">
        <v>19</v>
      </c>
      <c r="M2214" t="s">
        <v>20</v>
      </c>
      <c r="P2214">
        <v>100000</v>
      </c>
      <c r="Q2214">
        <v>100000</v>
      </c>
      <c r="R2214" t="s">
        <v>4142</v>
      </c>
      <c r="S2214" t="s">
        <v>386</v>
      </c>
      <c r="T2214">
        <v>416.3</v>
      </c>
    </row>
    <row r="2215" spans="1:20" x14ac:dyDescent="0.25">
      <c r="A2215" t="s">
        <v>14</v>
      </c>
      <c r="B2215" t="s">
        <v>383</v>
      </c>
      <c r="C2215" t="s">
        <v>4419</v>
      </c>
      <c r="D2215" t="s">
        <v>4368</v>
      </c>
      <c r="E2215">
        <v>47300025708</v>
      </c>
      <c r="F2215" t="s">
        <v>35</v>
      </c>
      <c r="G2215" t="s">
        <v>36</v>
      </c>
      <c r="H2215" t="s">
        <v>4360</v>
      </c>
      <c r="K2215" t="s">
        <v>3795</v>
      </c>
      <c r="L2215" t="s">
        <v>19</v>
      </c>
      <c r="M2215" t="s">
        <v>20</v>
      </c>
      <c r="P2215">
        <v>100000</v>
      </c>
      <c r="Q2215">
        <v>100000</v>
      </c>
      <c r="R2215" t="s">
        <v>4143</v>
      </c>
      <c r="S2215" t="s">
        <v>384</v>
      </c>
      <c r="T2215">
        <v>416.3</v>
      </c>
    </row>
    <row r="2216" spans="1:20" x14ac:dyDescent="0.25">
      <c r="A2216" t="s">
        <v>14</v>
      </c>
      <c r="B2216" t="s">
        <v>381</v>
      </c>
      <c r="C2216" t="s">
        <v>4409</v>
      </c>
      <c r="D2216" t="s">
        <v>4410</v>
      </c>
      <c r="E2216">
        <v>47300026185</v>
      </c>
      <c r="F2216" t="s">
        <v>35</v>
      </c>
      <c r="G2216" t="s">
        <v>36</v>
      </c>
      <c r="H2216" t="s">
        <v>4361</v>
      </c>
      <c r="K2216" t="s">
        <v>3795</v>
      </c>
      <c r="L2216" t="s">
        <v>19</v>
      </c>
      <c r="M2216" t="s">
        <v>20</v>
      </c>
      <c r="P2216">
        <v>50000</v>
      </c>
      <c r="Q2216">
        <v>50000</v>
      </c>
      <c r="R2216" t="s">
        <v>4144</v>
      </c>
      <c r="S2216" t="s">
        <v>382</v>
      </c>
      <c r="T2216">
        <v>208.1</v>
      </c>
    </row>
    <row r="2217" spans="1:20" x14ac:dyDescent="0.25">
      <c r="A2217" t="s">
        <v>14</v>
      </c>
      <c r="B2217" t="s">
        <v>379</v>
      </c>
      <c r="C2217" t="s">
        <v>4371</v>
      </c>
      <c r="D2217" t="s">
        <v>4368</v>
      </c>
      <c r="E2217">
        <v>47300020147</v>
      </c>
      <c r="F2217" t="s">
        <v>35</v>
      </c>
      <c r="G2217" t="s">
        <v>36</v>
      </c>
      <c r="H2217" t="s">
        <v>4363</v>
      </c>
      <c r="K2217" t="s">
        <v>3795</v>
      </c>
      <c r="L2217" t="s">
        <v>19</v>
      </c>
      <c r="M2217" t="s">
        <v>20</v>
      </c>
      <c r="P2217">
        <v>50000</v>
      </c>
      <c r="Q2217">
        <v>50000</v>
      </c>
      <c r="R2217" t="s">
        <v>4145</v>
      </c>
      <c r="S2217" t="s">
        <v>380</v>
      </c>
      <c r="T2217">
        <v>208.1</v>
      </c>
    </row>
    <row r="2218" spans="1:20" x14ac:dyDescent="0.25">
      <c r="A2218" t="s">
        <v>14</v>
      </c>
      <c r="B2218" t="s">
        <v>377</v>
      </c>
      <c r="C2218" t="s">
        <v>4400</v>
      </c>
      <c r="D2218" t="s">
        <v>4401</v>
      </c>
      <c r="E2218">
        <v>47300070548</v>
      </c>
      <c r="F2218" t="s">
        <v>27</v>
      </c>
      <c r="G2218" t="s">
        <v>17</v>
      </c>
      <c r="H2218" t="s">
        <v>51</v>
      </c>
      <c r="K2218" t="s">
        <v>3795</v>
      </c>
      <c r="L2218" t="s">
        <v>19</v>
      </c>
      <c r="M2218" t="s">
        <v>20</v>
      </c>
      <c r="P2218">
        <v>50000</v>
      </c>
      <c r="Q2218">
        <v>50000</v>
      </c>
      <c r="R2218" t="s">
        <v>4146</v>
      </c>
      <c r="S2218" t="s">
        <v>378</v>
      </c>
      <c r="T2218">
        <v>208.2</v>
      </c>
    </row>
    <row r="2219" spans="1:20" x14ac:dyDescent="0.25">
      <c r="A2219" t="s">
        <v>14</v>
      </c>
      <c r="B2219" t="s">
        <v>375</v>
      </c>
      <c r="C2219" t="s">
        <v>4398</v>
      </c>
      <c r="D2219" t="s">
        <v>4377</v>
      </c>
      <c r="E2219">
        <v>47300070571</v>
      </c>
      <c r="F2219" t="s">
        <v>42</v>
      </c>
      <c r="G2219" t="s">
        <v>28</v>
      </c>
      <c r="H2219" t="s">
        <v>72</v>
      </c>
      <c r="K2219" t="s">
        <v>3795</v>
      </c>
      <c r="L2219" t="s">
        <v>19</v>
      </c>
      <c r="M2219" t="s">
        <v>20</v>
      </c>
      <c r="P2219">
        <v>200000</v>
      </c>
      <c r="Q2219">
        <v>200000</v>
      </c>
      <c r="R2219" t="s">
        <v>4147</v>
      </c>
      <c r="S2219" t="s">
        <v>376</v>
      </c>
      <c r="T2219">
        <v>832.6</v>
      </c>
    </row>
    <row r="2220" spans="1:20" x14ac:dyDescent="0.25">
      <c r="A2220" t="s">
        <v>14</v>
      </c>
      <c r="B2220" t="s">
        <v>373</v>
      </c>
      <c r="C2220" t="s">
        <v>4398</v>
      </c>
      <c r="D2220" t="s">
        <v>4377</v>
      </c>
      <c r="E2220">
        <v>47300026094</v>
      </c>
      <c r="F2220" t="s">
        <v>35</v>
      </c>
      <c r="G2220" t="s">
        <v>36</v>
      </c>
      <c r="H2220" t="s">
        <v>4359</v>
      </c>
      <c r="K2220" t="s">
        <v>3795</v>
      </c>
      <c r="L2220" t="s">
        <v>19</v>
      </c>
      <c r="M2220" t="s">
        <v>20</v>
      </c>
      <c r="P2220">
        <v>100000</v>
      </c>
      <c r="Q2220">
        <v>100000</v>
      </c>
      <c r="R2220" t="s">
        <v>4148</v>
      </c>
      <c r="S2220" t="s">
        <v>374</v>
      </c>
      <c r="T2220">
        <v>416.3</v>
      </c>
    </row>
    <row r="2221" spans="1:20" x14ac:dyDescent="0.25">
      <c r="A2221" t="s">
        <v>14</v>
      </c>
      <c r="B2221" t="s">
        <v>371</v>
      </c>
      <c r="C2221" t="s">
        <v>4420</v>
      </c>
      <c r="D2221" t="s">
        <v>4394</v>
      </c>
      <c r="E2221">
        <v>47300012151</v>
      </c>
      <c r="F2221" t="s">
        <v>35</v>
      </c>
      <c r="G2221" t="s">
        <v>36</v>
      </c>
      <c r="H2221" t="s">
        <v>4362</v>
      </c>
      <c r="K2221" t="s">
        <v>3795</v>
      </c>
      <c r="L2221" t="s">
        <v>19</v>
      </c>
      <c r="M2221" t="s">
        <v>20</v>
      </c>
      <c r="P2221">
        <v>50000</v>
      </c>
      <c r="Q2221">
        <v>50000</v>
      </c>
      <c r="R2221" t="s">
        <v>4149</v>
      </c>
      <c r="S2221" t="s">
        <v>372</v>
      </c>
      <c r="T2221">
        <v>208.1</v>
      </c>
    </row>
    <row r="2222" spans="1:20" x14ac:dyDescent="0.25">
      <c r="A2222" t="s">
        <v>14</v>
      </c>
      <c r="B2222" t="s">
        <v>369</v>
      </c>
      <c r="C2222" t="s">
        <v>4418</v>
      </c>
      <c r="D2222" t="s">
        <v>4368</v>
      </c>
      <c r="E2222">
        <v>47300046191</v>
      </c>
      <c r="F2222" t="s">
        <v>16</v>
      </c>
      <c r="G2222" t="s">
        <v>28</v>
      </c>
      <c r="H2222" t="s">
        <v>119</v>
      </c>
      <c r="I2222" t="s">
        <v>2799</v>
      </c>
      <c r="J2222">
        <v>8033011626</v>
      </c>
      <c r="K2222" t="s">
        <v>3795</v>
      </c>
      <c r="L2222" t="s">
        <v>19</v>
      </c>
      <c r="M2222" t="s">
        <v>20</v>
      </c>
      <c r="P2222">
        <v>20000</v>
      </c>
      <c r="Q2222">
        <v>20000</v>
      </c>
      <c r="R2222" t="s">
        <v>4150</v>
      </c>
      <c r="S2222" t="s">
        <v>370</v>
      </c>
      <c r="T2222">
        <v>83.2</v>
      </c>
    </row>
    <row r="2223" spans="1:20" x14ac:dyDescent="0.25">
      <c r="A2223" t="s">
        <v>14</v>
      </c>
      <c r="B2223" t="s">
        <v>367</v>
      </c>
      <c r="C2223" t="s">
        <v>4367</v>
      </c>
      <c r="D2223" t="s">
        <v>4368</v>
      </c>
      <c r="E2223">
        <v>47300046316</v>
      </c>
      <c r="F2223" t="s">
        <v>42</v>
      </c>
      <c r="G2223" t="s">
        <v>28</v>
      </c>
      <c r="H2223" t="s">
        <v>69</v>
      </c>
      <c r="K2223" t="s">
        <v>4266</v>
      </c>
      <c r="L2223" t="s">
        <v>19</v>
      </c>
      <c r="M2223" t="s">
        <v>63</v>
      </c>
      <c r="N2223" s="2">
        <v>45597</v>
      </c>
      <c r="O2223" s="2">
        <v>45626</v>
      </c>
      <c r="P2223">
        <v>80000</v>
      </c>
      <c r="Q2223">
        <v>80000</v>
      </c>
      <c r="R2223" t="s">
        <v>3152</v>
      </c>
      <c r="S2223" t="s">
        <v>368</v>
      </c>
      <c r="T2223">
        <v>333</v>
      </c>
    </row>
    <row r="2224" spans="1:20" x14ac:dyDescent="0.25">
      <c r="A2224" t="s">
        <v>14</v>
      </c>
      <c r="B2224" t="s">
        <v>367</v>
      </c>
      <c r="C2224" t="s">
        <v>4389</v>
      </c>
      <c r="D2224" t="s">
        <v>4390</v>
      </c>
      <c r="E2224">
        <v>47300046316</v>
      </c>
      <c r="F2224" t="s">
        <v>42</v>
      </c>
      <c r="G2224" t="s">
        <v>28</v>
      </c>
      <c r="H2224" t="s">
        <v>69</v>
      </c>
      <c r="K2224" t="s">
        <v>3294</v>
      </c>
      <c r="L2224" t="s">
        <v>19</v>
      </c>
      <c r="M2224" t="s">
        <v>46</v>
      </c>
      <c r="N2224" s="2">
        <v>45597</v>
      </c>
      <c r="O2224" s="2">
        <v>45626</v>
      </c>
      <c r="P2224">
        <v>500</v>
      </c>
      <c r="Q2224">
        <v>500</v>
      </c>
      <c r="R2224" t="s">
        <v>3152</v>
      </c>
    </row>
    <row r="2225" spans="1:20" x14ac:dyDescent="0.25">
      <c r="A2225" t="s">
        <v>14</v>
      </c>
      <c r="B2225" t="s">
        <v>367</v>
      </c>
      <c r="C2225" t="s">
        <v>4398</v>
      </c>
      <c r="D2225" t="s">
        <v>4377</v>
      </c>
      <c r="E2225">
        <v>47300046316</v>
      </c>
      <c r="F2225" t="s">
        <v>42</v>
      </c>
      <c r="G2225" t="s">
        <v>28</v>
      </c>
      <c r="H2225" t="s">
        <v>69</v>
      </c>
      <c r="K2225" t="s">
        <v>3197</v>
      </c>
      <c r="L2225" t="s">
        <v>19</v>
      </c>
      <c r="M2225" t="s">
        <v>46</v>
      </c>
      <c r="N2225" s="2">
        <v>45597</v>
      </c>
      <c r="O2225" s="2">
        <v>45626</v>
      </c>
      <c r="P2225">
        <v>150650</v>
      </c>
      <c r="Q2225">
        <v>150650</v>
      </c>
      <c r="R2225" t="s">
        <v>3152</v>
      </c>
    </row>
    <row r="2226" spans="1:20" x14ac:dyDescent="0.25">
      <c r="A2226" t="s">
        <v>14</v>
      </c>
      <c r="B2226" t="s">
        <v>367</v>
      </c>
      <c r="C2226" t="s">
        <v>4398</v>
      </c>
      <c r="D2226" t="s">
        <v>4377</v>
      </c>
      <c r="E2226">
        <v>47300046316</v>
      </c>
      <c r="F2226" t="s">
        <v>42</v>
      </c>
      <c r="G2226" t="s">
        <v>28</v>
      </c>
      <c r="H2226" t="s">
        <v>69</v>
      </c>
      <c r="K2226" t="s">
        <v>2892</v>
      </c>
      <c r="L2226" t="s">
        <v>19</v>
      </c>
      <c r="M2226" t="s">
        <v>46</v>
      </c>
      <c r="N2226" s="2">
        <v>45597</v>
      </c>
      <c r="O2226" s="2">
        <v>45626</v>
      </c>
      <c r="P2226">
        <v>10000</v>
      </c>
      <c r="Q2226">
        <v>10000</v>
      </c>
      <c r="R2226" t="s">
        <v>3152</v>
      </c>
    </row>
    <row r="2227" spans="1:20" x14ac:dyDescent="0.25">
      <c r="A2227" t="s">
        <v>14</v>
      </c>
      <c r="B2227" t="s">
        <v>365</v>
      </c>
      <c r="C2227" t="s">
        <v>2927</v>
      </c>
      <c r="D2227" t="s">
        <v>4385</v>
      </c>
      <c r="E2227">
        <v>47300070563</v>
      </c>
      <c r="F2227" t="s">
        <v>16</v>
      </c>
      <c r="G2227" t="s">
        <v>28</v>
      </c>
      <c r="H2227" t="s">
        <v>359</v>
      </c>
      <c r="K2227" t="s">
        <v>4266</v>
      </c>
      <c r="L2227" t="s">
        <v>19</v>
      </c>
      <c r="M2227" t="s">
        <v>63</v>
      </c>
      <c r="N2227" s="2">
        <v>45597</v>
      </c>
      <c r="O2227" s="2">
        <v>45626</v>
      </c>
      <c r="P2227">
        <v>50000</v>
      </c>
      <c r="Q2227">
        <v>50000</v>
      </c>
      <c r="R2227" t="s">
        <v>3153</v>
      </c>
      <c r="S2227" t="s">
        <v>366</v>
      </c>
      <c r="T2227">
        <v>208.2</v>
      </c>
    </row>
    <row r="2228" spans="1:20" x14ac:dyDescent="0.25">
      <c r="A2228" t="s">
        <v>14</v>
      </c>
      <c r="B2228" t="s">
        <v>365</v>
      </c>
      <c r="C2228" t="s">
        <v>4382</v>
      </c>
      <c r="D2228" t="s">
        <v>4383</v>
      </c>
      <c r="E2228">
        <v>47300070563</v>
      </c>
      <c r="F2228" t="s">
        <v>16</v>
      </c>
      <c r="G2228" t="s">
        <v>28</v>
      </c>
      <c r="H2228" t="s">
        <v>359</v>
      </c>
      <c r="K2228" t="s">
        <v>3294</v>
      </c>
      <c r="L2228" t="s">
        <v>19</v>
      </c>
      <c r="M2228" t="s">
        <v>46</v>
      </c>
      <c r="N2228" s="2">
        <v>45597</v>
      </c>
      <c r="O2228" s="2">
        <v>45626</v>
      </c>
      <c r="P2228">
        <v>500</v>
      </c>
      <c r="Q2228">
        <v>500</v>
      </c>
      <c r="R2228" t="s">
        <v>3153</v>
      </c>
    </row>
    <row r="2229" spans="1:20" x14ac:dyDescent="0.25">
      <c r="A2229" t="s">
        <v>14</v>
      </c>
      <c r="B2229" t="s">
        <v>365</v>
      </c>
      <c r="C2229" t="s">
        <v>4365</v>
      </c>
      <c r="D2229" t="s">
        <v>4366</v>
      </c>
      <c r="E2229">
        <v>47300070563</v>
      </c>
      <c r="F2229" t="s">
        <v>16</v>
      </c>
      <c r="G2229" t="s">
        <v>28</v>
      </c>
      <c r="H2229" t="s">
        <v>359</v>
      </c>
      <c r="K2229" t="s">
        <v>3197</v>
      </c>
      <c r="L2229" t="s">
        <v>19</v>
      </c>
      <c r="M2229" t="s">
        <v>46</v>
      </c>
      <c r="N2229" s="2">
        <v>45597</v>
      </c>
      <c r="O2229" s="2">
        <v>45626</v>
      </c>
      <c r="P2229">
        <v>150650</v>
      </c>
      <c r="Q2229">
        <v>150650</v>
      </c>
      <c r="R2229" t="s">
        <v>3153</v>
      </c>
    </row>
    <row r="2230" spans="1:20" x14ac:dyDescent="0.25">
      <c r="A2230" t="s">
        <v>14</v>
      </c>
      <c r="B2230" t="s">
        <v>365</v>
      </c>
      <c r="C2230" t="s">
        <v>2927</v>
      </c>
      <c r="D2230" t="s">
        <v>4385</v>
      </c>
      <c r="E2230">
        <v>47300070563</v>
      </c>
      <c r="F2230" t="s">
        <v>16</v>
      </c>
      <c r="G2230" t="s">
        <v>28</v>
      </c>
      <c r="H2230" t="s">
        <v>359</v>
      </c>
      <c r="K2230" t="s">
        <v>2892</v>
      </c>
      <c r="L2230" t="s">
        <v>19</v>
      </c>
      <c r="M2230" t="s">
        <v>46</v>
      </c>
      <c r="N2230" s="2">
        <v>45597</v>
      </c>
      <c r="O2230" s="2">
        <v>45626</v>
      </c>
      <c r="P2230">
        <v>10000</v>
      </c>
      <c r="Q2230">
        <v>10000</v>
      </c>
      <c r="R2230" t="s">
        <v>3153</v>
      </c>
    </row>
    <row r="2231" spans="1:20" x14ac:dyDescent="0.25">
      <c r="A2231" t="s">
        <v>14</v>
      </c>
      <c r="B2231" t="s">
        <v>362</v>
      </c>
      <c r="C2231" t="s">
        <v>4412</v>
      </c>
      <c r="D2231" t="s">
        <v>4377</v>
      </c>
      <c r="E2231">
        <v>47300070563</v>
      </c>
      <c r="F2231" t="s">
        <v>16</v>
      </c>
      <c r="G2231" t="s">
        <v>28</v>
      </c>
      <c r="H2231" t="s">
        <v>359</v>
      </c>
      <c r="K2231" t="s">
        <v>3795</v>
      </c>
      <c r="L2231" t="s">
        <v>19</v>
      </c>
      <c r="M2231" t="s">
        <v>20</v>
      </c>
      <c r="P2231">
        <v>50000</v>
      </c>
      <c r="Q2231">
        <v>50000</v>
      </c>
      <c r="R2231" t="s">
        <v>4151</v>
      </c>
      <c r="S2231" t="s">
        <v>363</v>
      </c>
      <c r="T2231">
        <v>208.2</v>
      </c>
    </row>
    <row r="2232" spans="1:20" x14ac:dyDescent="0.25">
      <c r="A2232" t="s">
        <v>14</v>
      </c>
      <c r="B2232" t="s">
        <v>362</v>
      </c>
      <c r="C2232" t="s">
        <v>4376</v>
      </c>
      <c r="D2232" t="s">
        <v>4377</v>
      </c>
      <c r="E2232">
        <v>47300070563</v>
      </c>
      <c r="F2232" t="s">
        <v>16</v>
      </c>
      <c r="G2232" t="s">
        <v>28</v>
      </c>
      <c r="H2232" t="s">
        <v>359</v>
      </c>
      <c r="K2232" t="s">
        <v>3795</v>
      </c>
      <c r="L2232" t="s">
        <v>19</v>
      </c>
      <c r="M2232" t="s">
        <v>20</v>
      </c>
      <c r="P2232">
        <v>50000</v>
      </c>
      <c r="Q2232">
        <v>50000</v>
      </c>
      <c r="R2232" t="s">
        <v>4151</v>
      </c>
      <c r="S2232" t="s">
        <v>364</v>
      </c>
      <c r="T2232">
        <v>208.1</v>
      </c>
    </row>
    <row r="2233" spans="1:20" x14ac:dyDescent="0.25">
      <c r="A2233" t="s">
        <v>14</v>
      </c>
      <c r="B2233" t="s">
        <v>358</v>
      </c>
      <c r="C2233" t="s">
        <v>4382</v>
      </c>
      <c r="D2233" t="s">
        <v>4383</v>
      </c>
      <c r="E2233">
        <v>47300070563</v>
      </c>
      <c r="F2233" t="s">
        <v>16</v>
      </c>
      <c r="G2233" t="s">
        <v>28</v>
      </c>
      <c r="H2233" t="s">
        <v>359</v>
      </c>
      <c r="K2233" t="s">
        <v>3795</v>
      </c>
      <c r="L2233" t="s">
        <v>19</v>
      </c>
      <c r="M2233" t="s">
        <v>20</v>
      </c>
      <c r="P2233">
        <v>88000</v>
      </c>
      <c r="Q2233">
        <v>88000</v>
      </c>
      <c r="R2233" t="s">
        <v>4152</v>
      </c>
      <c r="S2233" t="s">
        <v>360</v>
      </c>
      <c r="T2233">
        <v>366.4</v>
      </c>
    </row>
    <row r="2234" spans="1:20" x14ac:dyDescent="0.25">
      <c r="A2234" t="s">
        <v>14</v>
      </c>
      <c r="B2234" t="s">
        <v>358</v>
      </c>
      <c r="C2234" t="s">
        <v>4365</v>
      </c>
      <c r="D2234" t="s">
        <v>4366</v>
      </c>
      <c r="E2234">
        <v>47300070563</v>
      </c>
      <c r="F2234" t="s">
        <v>16</v>
      </c>
      <c r="G2234" t="s">
        <v>28</v>
      </c>
      <c r="H2234" t="s">
        <v>359</v>
      </c>
      <c r="K2234" t="s">
        <v>3795</v>
      </c>
      <c r="L2234" t="s">
        <v>19</v>
      </c>
      <c r="M2234" t="s">
        <v>20</v>
      </c>
      <c r="P2234">
        <v>50000</v>
      </c>
      <c r="Q2234">
        <v>50000</v>
      </c>
      <c r="R2234" t="s">
        <v>4152</v>
      </c>
      <c r="S2234" t="s">
        <v>361</v>
      </c>
      <c r="T2234">
        <v>208.1</v>
      </c>
    </row>
    <row r="2235" spans="1:20" x14ac:dyDescent="0.25">
      <c r="A2235" t="s">
        <v>14</v>
      </c>
      <c r="B2235" t="s">
        <v>357</v>
      </c>
      <c r="C2235" t="s">
        <v>4365</v>
      </c>
      <c r="D2235" t="s">
        <v>4366</v>
      </c>
      <c r="E2235">
        <v>47300047066</v>
      </c>
      <c r="F2235" t="s">
        <v>16</v>
      </c>
      <c r="G2235" t="s">
        <v>28</v>
      </c>
      <c r="H2235" t="s">
        <v>57</v>
      </c>
      <c r="K2235" t="s">
        <v>3294</v>
      </c>
      <c r="L2235" t="s">
        <v>19</v>
      </c>
      <c r="M2235" t="s">
        <v>46</v>
      </c>
      <c r="N2235" s="2">
        <v>45597</v>
      </c>
      <c r="O2235" s="2">
        <v>45626</v>
      </c>
      <c r="P2235">
        <v>500</v>
      </c>
      <c r="Q2235">
        <v>500</v>
      </c>
      <c r="R2235" t="s">
        <v>3154</v>
      </c>
    </row>
    <row r="2236" spans="1:20" x14ac:dyDescent="0.25">
      <c r="A2236" t="s">
        <v>14</v>
      </c>
      <c r="B2236" t="s">
        <v>357</v>
      </c>
      <c r="C2236" t="s">
        <v>4365</v>
      </c>
      <c r="D2236" t="s">
        <v>4366</v>
      </c>
      <c r="E2236">
        <v>47300047066</v>
      </c>
      <c r="F2236" t="s">
        <v>16</v>
      </c>
      <c r="G2236" t="s">
        <v>28</v>
      </c>
      <c r="H2236" t="s">
        <v>57</v>
      </c>
      <c r="K2236" t="s">
        <v>3197</v>
      </c>
      <c r="L2236" t="s">
        <v>19</v>
      </c>
      <c r="M2236" t="s">
        <v>46</v>
      </c>
      <c r="N2236" s="2">
        <v>45597</v>
      </c>
      <c r="O2236" s="2">
        <v>45626</v>
      </c>
      <c r="P2236">
        <v>150650</v>
      </c>
      <c r="Q2236">
        <v>150650</v>
      </c>
      <c r="R2236" t="s">
        <v>3154</v>
      </c>
    </row>
    <row r="2237" spans="1:20" x14ac:dyDescent="0.25">
      <c r="A2237" t="s">
        <v>14</v>
      </c>
      <c r="B2237" t="s">
        <v>357</v>
      </c>
      <c r="C2237" t="s">
        <v>4365</v>
      </c>
      <c r="D2237" t="s">
        <v>4366</v>
      </c>
      <c r="E2237">
        <v>47300047066</v>
      </c>
      <c r="F2237" t="s">
        <v>16</v>
      </c>
      <c r="G2237" t="s">
        <v>28</v>
      </c>
      <c r="H2237" t="s">
        <v>57</v>
      </c>
      <c r="K2237" t="s">
        <v>2892</v>
      </c>
      <c r="L2237" t="s">
        <v>19</v>
      </c>
      <c r="M2237" t="s">
        <v>46</v>
      </c>
      <c r="N2237" s="2">
        <v>45597</v>
      </c>
      <c r="O2237" s="2">
        <v>45626</v>
      </c>
      <c r="P2237">
        <v>10000</v>
      </c>
      <c r="Q2237">
        <v>10000</v>
      </c>
      <c r="R2237" t="s">
        <v>3154</v>
      </c>
    </row>
    <row r="2238" spans="1:20" x14ac:dyDescent="0.25">
      <c r="A2238" t="s">
        <v>14</v>
      </c>
      <c r="B2238" t="s">
        <v>355</v>
      </c>
      <c r="C2238" t="s">
        <v>4365</v>
      </c>
      <c r="D2238" t="s">
        <v>4366</v>
      </c>
      <c r="E2238">
        <v>47300047066</v>
      </c>
      <c r="F2238" t="s">
        <v>16</v>
      </c>
      <c r="G2238" t="s">
        <v>28</v>
      </c>
      <c r="H2238" t="s">
        <v>57</v>
      </c>
      <c r="K2238" t="s">
        <v>4266</v>
      </c>
      <c r="L2238" t="s">
        <v>19</v>
      </c>
      <c r="M2238" t="s">
        <v>63</v>
      </c>
      <c r="N2238" s="2">
        <v>45597</v>
      </c>
      <c r="O2238" s="2">
        <v>45626</v>
      </c>
      <c r="P2238">
        <v>46000</v>
      </c>
      <c r="Q2238">
        <v>46000</v>
      </c>
      <c r="R2238" t="s">
        <v>4323</v>
      </c>
      <c r="S2238" t="s">
        <v>356</v>
      </c>
      <c r="T2238">
        <v>191.5</v>
      </c>
    </row>
    <row r="2239" spans="1:20" x14ac:dyDescent="0.25">
      <c r="A2239" t="s">
        <v>14</v>
      </c>
      <c r="B2239" t="s">
        <v>353</v>
      </c>
      <c r="C2239" t="s">
        <v>2927</v>
      </c>
      <c r="D2239" t="s">
        <v>4385</v>
      </c>
      <c r="E2239">
        <v>47300046720</v>
      </c>
      <c r="F2239" t="s">
        <v>16</v>
      </c>
      <c r="G2239" t="s">
        <v>28</v>
      </c>
      <c r="H2239" t="s">
        <v>143</v>
      </c>
      <c r="K2239" t="s">
        <v>3795</v>
      </c>
      <c r="L2239" t="s">
        <v>19</v>
      </c>
      <c r="M2239" t="s">
        <v>20</v>
      </c>
      <c r="P2239">
        <v>50000</v>
      </c>
      <c r="Q2239">
        <v>50000</v>
      </c>
      <c r="R2239" t="s">
        <v>4153</v>
      </c>
      <c r="S2239" t="s">
        <v>354</v>
      </c>
      <c r="T2239">
        <v>208.1</v>
      </c>
    </row>
    <row r="2240" spans="1:20" x14ac:dyDescent="0.25">
      <c r="A2240" t="s">
        <v>14</v>
      </c>
      <c r="B2240" t="s">
        <v>351</v>
      </c>
      <c r="C2240" t="s">
        <v>4382</v>
      </c>
      <c r="D2240" t="s">
        <v>4383</v>
      </c>
      <c r="E2240">
        <v>47300046258</v>
      </c>
      <c r="F2240" t="s">
        <v>16</v>
      </c>
      <c r="G2240" t="s">
        <v>28</v>
      </c>
      <c r="H2240" t="s">
        <v>160</v>
      </c>
      <c r="K2240" t="s">
        <v>3795</v>
      </c>
      <c r="L2240" t="s">
        <v>19</v>
      </c>
      <c r="M2240" t="s">
        <v>20</v>
      </c>
      <c r="P2240">
        <v>20000</v>
      </c>
      <c r="Q2240">
        <v>20000</v>
      </c>
      <c r="R2240" t="s">
        <v>4154</v>
      </c>
      <c r="S2240" t="s">
        <v>352</v>
      </c>
      <c r="T2240">
        <v>83.2</v>
      </c>
    </row>
    <row r="2241" spans="1:20" x14ac:dyDescent="0.25">
      <c r="A2241" t="s">
        <v>14</v>
      </c>
      <c r="B2241" t="s">
        <v>349</v>
      </c>
      <c r="C2241" t="s">
        <v>4365</v>
      </c>
      <c r="D2241" t="s">
        <v>4366</v>
      </c>
      <c r="E2241">
        <v>47300046365</v>
      </c>
      <c r="F2241" t="s">
        <v>16</v>
      </c>
      <c r="G2241" t="s">
        <v>28</v>
      </c>
      <c r="H2241" t="s">
        <v>62</v>
      </c>
      <c r="K2241" t="s">
        <v>4266</v>
      </c>
      <c r="L2241" t="s">
        <v>19</v>
      </c>
      <c r="M2241" t="s">
        <v>63</v>
      </c>
      <c r="N2241" s="2">
        <v>45597</v>
      </c>
      <c r="O2241" s="2">
        <v>45626</v>
      </c>
      <c r="P2241">
        <v>50000</v>
      </c>
      <c r="Q2241">
        <v>50000</v>
      </c>
      <c r="R2241" t="s">
        <v>3155</v>
      </c>
      <c r="S2241" t="s">
        <v>350</v>
      </c>
      <c r="T2241">
        <v>208.2</v>
      </c>
    </row>
    <row r="2242" spans="1:20" x14ac:dyDescent="0.25">
      <c r="A2242" t="s">
        <v>14</v>
      </c>
      <c r="B2242" t="s">
        <v>349</v>
      </c>
      <c r="C2242" t="s">
        <v>2927</v>
      </c>
      <c r="D2242" t="s">
        <v>4385</v>
      </c>
      <c r="E2242">
        <v>47300046365</v>
      </c>
      <c r="F2242" t="s">
        <v>16</v>
      </c>
      <c r="G2242" t="s">
        <v>28</v>
      </c>
      <c r="H2242" t="s">
        <v>62</v>
      </c>
      <c r="K2242" t="s">
        <v>3294</v>
      </c>
      <c r="L2242" t="s">
        <v>19</v>
      </c>
      <c r="M2242" t="s">
        <v>46</v>
      </c>
      <c r="N2242" s="2">
        <v>45597</v>
      </c>
      <c r="O2242" s="2">
        <v>45626</v>
      </c>
      <c r="P2242">
        <v>500</v>
      </c>
      <c r="Q2242">
        <v>500</v>
      </c>
      <c r="R2242" t="s">
        <v>3155</v>
      </c>
    </row>
    <row r="2243" spans="1:20" x14ac:dyDescent="0.25">
      <c r="A2243" t="s">
        <v>14</v>
      </c>
      <c r="B2243" t="s">
        <v>349</v>
      </c>
      <c r="C2243" t="s">
        <v>4382</v>
      </c>
      <c r="D2243" t="s">
        <v>4383</v>
      </c>
      <c r="E2243">
        <v>47300046365</v>
      </c>
      <c r="F2243" t="s">
        <v>16</v>
      </c>
      <c r="G2243" t="s">
        <v>28</v>
      </c>
      <c r="H2243" t="s">
        <v>62</v>
      </c>
      <c r="K2243" t="s">
        <v>3197</v>
      </c>
      <c r="L2243" t="s">
        <v>19</v>
      </c>
      <c r="M2243" t="s">
        <v>46</v>
      </c>
      <c r="N2243" s="2">
        <v>45597</v>
      </c>
      <c r="O2243" s="2">
        <v>45626</v>
      </c>
      <c r="P2243">
        <v>150650</v>
      </c>
      <c r="Q2243">
        <v>150650</v>
      </c>
      <c r="R2243" t="s">
        <v>3155</v>
      </c>
    </row>
    <row r="2244" spans="1:20" x14ac:dyDescent="0.25">
      <c r="A2244" t="s">
        <v>14</v>
      </c>
      <c r="B2244" t="s">
        <v>349</v>
      </c>
      <c r="C2244" t="s">
        <v>4365</v>
      </c>
      <c r="D2244" t="s">
        <v>4366</v>
      </c>
      <c r="E2244">
        <v>47300046365</v>
      </c>
      <c r="F2244" t="s">
        <v>16</v>
      </c>
      <c r="G2244" t="s">
        <v>28</v>
      </c>
      <c r="H2244" t="s">
        <v>62</v>
      </c>
      <c r="K2244" t="s">
        <v>2892</v>
      </c>
      <c r="L2244" t="s">
        <v>19</v>
      </c>
      <c r="M2244" t="s">
        <v>46</v>
      </c>
      <c r="N2244" s="2">
        <v>45597</v>
      </c>
      <c r="O2244" s="2">
        <v>45626</v>
      </c>
      <c r="P2244">
        <v>10000</v>
      </c>
      <c r="Q2244">
        <v>10000</v>
      </c>
      <c r="R2244" t="s">
        <v>3155</v>
      </c>
    </row>
    <row r="2245" spans="1:20" x14ac:dyDescent="0.25">
      <c r="A2245" t="s">
        <v>14</v>
      </c>
      <c r="B2245" t="s">
        <v>347</v>
      </c>
      <c r="C2245" t="s">
        <v>4387</v>
      </c>
      <c r="D2245" t="s">
        <v>4388</v>
      </c>
      <c r="E2245">
        <v>47300046761</v>
      </c>
      <c r="F2245" t="s">
        <v>42</v>
      </c>
      <c r="G2245" t="s">
        <v>28</v>
      </c>
      <c r="H2245" t="s">
        <v>43</v>
      </c>
      <c r="K2245" t="s">
        <v>3795</v>
      </c>
      <c r="L2245" t="s">
        <v>19</v>
      </c>
      <c r="M2245" t="s">
        <v>20</v>
      </c>
      <c r="P2245">
        <v>30000</v>
      </c>
      <c r="Q2245">
        <v>30000</v>
      </c>
      <c r="R2245" t="s">
        <v>4155</v>
      </c>
      <c r="S2245" t="s">
        <v>348</v>
      </c>
      <c r="T2245">
        <v>124.9</v>
      </c>
    </row>
    <row r="2246" spans="1:20" x14ac:dyDescent="0.25">
      <c r="A2246" t="s">
        <v>14</v>
      </c>
      <c r="B2246" t="s">
        <v>345</v>
      </c>
      <c r="C2246" t="s">
        <v>4406</v>
      </c>
      <c r="D2246" t="s">
        <v>4394</v>
      </c>
      <c r="E2246">
        <v>47300086445</v>
      </c>
      <c r="F2246" t="s">
        <v>16</v>
      </c>
      <c r="G2246" t="s">
        <v>28</v>
      </c>
      <c r="H2246" t="s">
        <v>187</v>
      </c>
      <c r="I2246" t="s">
        <v>2777</v>
      </c>
      <c r="J2246" t="s">
        <v>2776</v>
      </c>
      <c r="K2246" t="s">
        <v>3795</v>
      </c>
      <c r="L2246" t="s">
        <v>19</v>
      </c>
      <c r="M2246" t="s">
        <v>20</v>
      </c>
      <c r="P2246">
        <v>30000</v>
      </c>
      <c r="Q2246">
        <v>30000</v>
      </c>
      <c r="R2246" t="s">
        <v>4156</v>
      </c>
      <c r="S2246" t="s">
        <v>346</v>
      </c>
      <c r="T2246">
        <v>124.9</v>
      </c>
    </row>
    <row r="2247" spans="1:20" x14ac:dyDescent="0.25">
      <c r="A2247" t="s">
        <v>14</v>
      </c>
      <c r="B2247" t="s">
        <v>343</v>
      </c>
      <c r="C2247" t="s">
        <v>4414</v>
      </c>
      <c r="D2247" t="s">
        <v>4401</v>
      </c>
      <c r="E2247">
        <v>47300025708</v>
      </c>
      <c r="F2247" t="s">
        <v>35</v>
      </c>
      <c r="G2247" t="s">
        <v>36</v>
      </c>
      <c r="H2247" t="s">
        <v>4360</v>
      </c>
      <c r="K2247" t="s">
        <v>3795</v>
      </c>
      <c r="L2247" t="s">
        <v>19</v>
      </c>
      <c r="M2247" t="s">
        <v>20</v>
      </c>
      <c r="P2247">
        <v>100000</v>
      </c>
      <c r="Q2247">
        <v>100000</v>
      </c>
      <c r="R2247" t="s">
        <v>4157</v>
      </c>
      <c r="S2247" t="s">
        <v>344</v>
      </c>
      <c r="T2247">
        <v>416.3</v>
      </c>
    </row>
    <row r="2248" spans="1:20" x14ac:dyDescent="0.25">
      <c r="A2248" t="s">
        <v>14</v>
      </c>
      <c r="B2248" t="s">
        <v>341</v>
      </c>
      <c r="C2248" t="s">
        <v>4374</v>
      </c>
      <c r="D2248" t="s">
        <v>4375</v>
      </c>
      <c r="E2248">
        <v>47300070845</v>
      </c>
      <c r="F2248" t="s">
        <v>16</v>
      </c>
      <c r="G2248" t="s">
        <v>23</v>
      </c>
      <c r="H2248" t="s">
        <v>157</v>
      </c>
      <c r="K2248" t="s">
        <v>3795</v>
      </c>
      <c r="L2248" t="s">
        <v>19</v>
      </c>
      <c r="M2248" t="s">
        <v>20</v>
      </c>
      <c r="P2248">
        <v>110000</v>
      </c>
      <c r="Q2248">
        <v>110000</v>
      </c>
      <c r="R2248" t="s">
        <v>4158</v>
      </c>
      <c r="S2248" t="s">
        <v>342</v>
      </c>
      <c r="T2248">
        <v>457.9</v>
      </c>
    </row>
    <row r="2249" spans="1:20" x14ac:dyDescent="0.25">
      <c r="A2249" t="s">
        <v>14</v>
      </c>
      <c r="B2249" t="s">
        <v>339</v>
      </c>
      <c r="C2249" t="s">
        <v>4402</v>
      </c>
      <c r="D2249" t="s">
        <v>4403</v>
      </c>
      <c r="E2249">
        <v>47300070795</v>
      </c>
      <c r="F2249" t="s">
        <v>16</v>
      </c>
      <c r="G2249" t="s">
        <v>87</v>
      </c>
      <c r="H2249" t="s">
        <v>88</v>
      </c>
      <c r="K2249" t="s">
        <v>3795</v>
      </c>
      <c r="L2249" t="s">
        <v>19</v>
      </c>
      <c r="M2249" t="s">
        <v>20</v>
      </c>
      <c r="P2249">
        <v>25000</v>
      </c>
      <c r="Q2249">
        <v>25000</v>
      </c>
      <c r="R2249" t="s">
        <v>4159</v>
      </c>
      <c r="S2249" t="s">
        <v>340</v>
      </c>
      <c r="T2249">
        <v>104.1</v>
      </c>
    </row>
    <row r="2250" spans="1:20" x14ac:dyDescent="0.25">
      <c r="A2250" t="s">
        <v>14</v>
      </c>
      <c r="B2250" t="s">
        <v>337</v>
      </c>
      <c r="C2250" t="s">
        <v>4371</v>
      </c>
      <c r="D2250" t="s">
        <v>4368</v>
      </c>
      <c r="E2250">
        <v>47300046746</v>
      </c>
      <c r="F2250" t="s">
        <v>16</v>
      </c>
      <c r="G2250" t="s">
        <v>28</v>
      </c>
      <c r="H2250" t="s">
        <v>32</v>
      </c>
      <c r="K2250" t="s">
        <v>3795</v>
      </c>
      <c r="L2250" t="s">
        <v>19</v>
      </c>
      <c r="M2250" t="s">
        <v>20</v>
      </c>
      <c r="P2250">
        <v>20000</v>
      </c>
      <c r="Q2250">
        <v>20000</v>
      </c>
      <c r="R2250" t="s">
        <v>4160</v>
      </c>
      <c r="S2250" t="s">
        <v>338</v>
      </c>
      <c r="T2250">
        <v>83.2</v>
      </c>
    </row>
    <row r="2251" spans="1:20" x14ac:dyDescent="0.25">
      <c r="A2251" t="s">
        <v>14</v>
      </c>
      <c r="B2251" t="s">
        <v>335</v>
      </c>
      <c r="C2251" t="s">
        <v>4369</v>
      </c>
      <c r="D2251" t="s">
        <v>4370</v>
      </c>
      <c r="E2251">
        <v>47300046688</v>
      </c>
      <c r="F2251" t="s">
        <v>16</v>
      </c>
      <c r="G2251" t="s">
        <v>17</v>
      </c>
      <c r="H2251" t="s">
        <v>154</v>
      </c>
      <c r="K2251" t="s">
        <v>3795</v>
      </c>
      <c r="L2251" t="s">
        <v>19</v>
      </c>
      <c r="M2251" t="s">
        <v>20</v>
      </c>
      <c r="P2251">
        <v>30000</v>
      </c>
      <c r="Q2251">
        <v>30000</v>
      </c>
      <c r="R2251" t="s">
        <v>4161</v>
      </c>
      <c r="S2251" t="s">
        <v>336</v>
      </c>
      <c r="T2251">
        <v>124.9</v>
      </c>
    </row>
    <row r="2252" spans="1:20" x14ac:dyDescent="0.25">
      <c r="A2252" t="s">
        <v>14</v>
      </c>
      <c r="B2252" t="s">
        <v>333</v>
      </c>
      <c r="C2252" t="s">
        <v>4414</v>
      </c>
      <c r="D2252" t="s">
        <v>4401</v>
      </c>
      <c r="E2252">
        <v>47300070753</v>
      </c>
      <c r="F2252" t="s">
        <v>16</v>
      </c>
      <c r="G2252" t="s">
        <v>17</v>
      </c>
      <c r="H2252" t="s">
        <v>82</v>
      </c>
      <c r="K2252" t="s">
        <v>4266</v>
      </c>
      <c r="L2252" t="s">
        <v>19</v>
      </c>
      <c r="M2252" t="s">
        <v>63</v>
      </c>
      <c r="N2252" s="2">
        <v>45597</v>
      </c>
      <c r="O2252" s="2">
        <v>45626</v>
      </c>
      <c r="P2252">
        <v>80000</v>
      </c>
      <c r="Q2252">
        <v>80000</v>
      </c>
      <c r="R2252" t="s">
        <v>4324</v>
      </c>
      <c r="S2252" t="s">
        <v>334</v>
      </c>
      <c r="T2252">
        <v>333</v>
      </c>
    </row>
    <row r="2253" spans="1:20" x14ac:dyDescent="0.25">
      <c r="A2253" t="s">
        <v>14</v>
      </c>
      <c r="B2253" t="s">
        <v>331</v>
      </c>
      <c r="C2253" t="s">
        <v>4387</v>
      </c>
      <c r="D2253" t="s">
        <v>4388</v>
      </c>
      <c r="E2253">
        <v>47300046761</v>
      </c>
      <c r="F2253" t="s">
        <v>42</v>
      </c>
      <c r="G2253" t="s">
        <v>28</v>
      </c>
      <c r="H2253" t="s">
        <v>43</v>
      </c>
      <c r="K2253" t="s">
        <v>3795</v>
      </c>
      <c r="L2253" t="s">
        <v>19</v>
      </c>
      <c r="M2253" t="s">
        <v>20</v>
      </c>
      <c r="P2253">
        <v>15000</v>
      </c>
      <c r="Q2253">
        <v>15000</v>
      </c>
      <c r="R2253" t="s">
        <v>4162</v>
      </c>
      <c r="S2253" t="s">
        <v>332</v>
      </c>
      <c r="T2253">
        <v>62.4</v>
      </c>
    </row>
    <row r="2254" spans="1:20" x14ac:dyDescent="0.25">
      <c r="A2254" t="s">
        <v>14</v>
      </c>
      <c r="B2254" t="s">
        <v>329</v>
      </c>
      <c r="C2254" t="s">
        <v>4408</v>
      </c>
      <c r="D2254" t="s">
        <v>4407</v>
      </c>
      <c r="E2254">
        <v>47300046746</v>
      </c>
      <c r="F2254" t="s">
        <v>16</v>
      </c>
      <c r="G2254" t="s">
        <v>28</v>
      </c>
      <c r="H2254" t="s">
        <v>32</v>
      </c>
      <c r="K2254" t="s">
        <v>3795</v>
      </c>
      <c r="L2254" t="s">
        <v>19</v>
      </c>
      <c r="M2254" t="s">
        <v>20</v>
      </c>
      <c r="P2254">
        <v>10000</v>
      </c>
      <c r="Q2254">
        <v>10000</v>
      </c>
      <c r="R2254" t="s">
        <v>4163</v>
      </c>
      <c r="S2254" t="s">
        <v>330</v>
      </c>
      <c r="T2254">
        <v>41.7</v>
      </c>
    </row>
    <row r="2255" spans="1:20" x14ac:dyDescent="0.25">
      <c r="A2255" t="s">
        <v>14</v>
      </c>
      <c r="B2255" t="s">
        <v>327</v>
      </c>
      <c r="C2255" t="s">
        <v>4402</v>
      </c>
      <c r="D2255" t="s">
        <v>4379</v>
      </c>
      <c r="E2255">
        <v>47300026094</v>
      </c>
      <c r="F2255" t="s">
        <v>35</v>
      </c>
      <c r="G2255" t="s">
        <v>36</v>
      </c>
      <c r="H2255" t="s">
        <v>4359</v>
      </c>
      <c r="K2255" t="s">
        <v>3795</v>
      </c>
      <c r="L2255" t="s">
        <v>19</v>
      </c>
      <c r="M2255" t="s">
        <v>20</v>
      </c>
      <c r="P2255">
        <v>100000</v>
      </c>
      <c r="Q2255">
        <v>100000</v>
      </c>
      <c r="R2255" t="s">
        <v>4164</v>
      </c>
      <c r="S2255" t="s">
        <v>328</v>
      </c>
      <c r="T2255">
        <v>416.3</v>
      </c>
    </row>
    <row r="2256" spans="1:20" x14ac:dyDescent="0.25">
      <c r="A2256" t="s">
        <v>14</v>
      </c>
      <c r="B2256" t="s">
        <v>325</v>
      </c>
      <c r="C2256" t="s">
        <v>4405</v>
      </c>
      <c r="D2256" t="s">
        <v>4390</v>
      </c>
      <c r="E2256">
        <v>47300070605</v>
      </c>
      <c r="F2256" t="s">
        <v>16</v>
      </c>
      <c r="G2256" t="s">
        <v>28</v>
      </c>
      <c r="H2256" t="s">
        <v>178</v>
      </c>
      <c r="K2256" t="s">
        <v>4266</v>
      </c>
      <c r="L2256" t="s">
        <v>19</v>
      </c>
      <c r="M2256" t="s">
        <v>63</v>
      </c>
      <c r="N2256" s="2">
        <v>45597</v>
      </c>
      <c r="O2256" s="2">
        <v>45626</v>
      </c>
      <c r="P2256">
        <v>20000</v>
      </c>
      <c r="Q2256">
        <v>20000</v>
      </c>
      <c r="R2256" t="s">
        <v>3156</v>
      </c>
      <c r="S2256" t="s">
        <v>326</v>
      </c>
      <c r="T2256">
        <v>83.2</v>
      </c>
    </row>
    <row r="2257" spans="1:20" x14ac:dyDescent="0.25">
      <c r="A2257" t="s">
        <v>14</v>
      </c>
      <c r="B2257" t="s">
        <v>325</v>
      </c>
      <c r="C2257" t="s">
        <v>4402</v>
      </c>
      <c r="D2257" t="s">
        <v>4379</v>
      </c>
      <c r="E2257">
        <v>47300070605</v>
      </c>
      <c r="F2257" t="s">
        <v>16</v>
      </c>
      <c r="G2257" t="s">
        <v>28</v>
      </c>
      <c r="H2257" t="s">
        <v>178</v>
      </c>
      <c r="K2257" t="s">
        <v>3294</v>
      </c>
      <c r="L2257" t="s">
        <v>19</v>
      </c>
      <c r="M2257" t="s">
        <v>46</v>
      </c>
      <c r="N2257" s="2">
        <v>45597</v>
      </c>
      <c r="O2257" s="2">
        <v>45626</v>
      </c>
      <c r="P2257">
        <v>500</v>
      </c>
      <c r="Q2257">
        <v>500</v>
      </c>
      <c r="R2257" t="s">
        <v>3156</v>
      </c>
    </row>
    <row r="2258" spans="1:20" x14ac:dyDescent="0.25">
      <c r="A2258" t="s">
        <v>14</v>
      </c>
      <c r="B2258" t="s">
        <v>325</v>
      </c>
      <c r="C2258" t="s">
        <v>4387</v>
      </c>
      <c r="D2258" t="s">
        <v>4388</v>
      </c>
      <c r="E2258">
        <v>47300070605</v>
      </c>
      <c r="F2258" t="s">
        <v>16</v>
      </c>
      <c r="G2258" t="s">
        <v>28</v>
      </c>
      <c r="H2258" t="s">
        <v>178</v>
      </c>
      <c r="K2258" t="s">
        <v>3197</v>
      </c>
      <c r="L2258" t="s">
        <v>19</v>
      </c>
      <c r="M2258" t="s">
        <v>46</v>
      </c>
      <c r="N2258" s="2">
        <v>45597</v>
      </c>
      <c r="O2258" s="2">
        <v>45626</v>
      </c>
      <c r="P2258">
        <v>150650</v>
      </c>
      <c r="Q2258">
        <v>150650</v>
      </c>
      <c r="R2258" t="s">
        <v>3156</v>
      </c>
    </row>
    <row r="2259" spans="1:20" x14ac:dyDescent="0.25">
      <c r="A2259" t="s">
        <v>14</v>
      </c>
      <c r="B2259" t="s">
        <v>325</v>
      </c>
      <c r="C2259" t="s">
        <v>4382</v>
      </c>
      <c r="D2259" t="s">
        <v>4383</v>
      </c>
      <c r="E2259">
        <v>47300070605</v>
      </c>
      <c r="F2259" t="s">
        <v>16</v>
      </c>
      <c r="G2259" t="s">
        <v>28</v>
      </c>
      <c r="H2259" t="s">
        <v>178</v>
      </c>
      <c r="K2259" t="s">
        <v>2892</v>
      </c>
      <c r="L2259" t="s">
        <v>19</v>
      </c>
      <c r="M2259" t="s">
        <v>46</v>
      </c>
      <c r="N2259" s="2">
        <v>45597</v>
      </c>
      <c r="O2259" s="2">
        <v>45626</v>
      </c>
      <c r="P2259">
        <v>10000</v>
      </c>
      <c r="Q2259">
        <v>10000</v>
      </c>
      <c r="R2259" t="s">
        <v>3156</v>
      </c>
    </row>
    <row r="2260" spans="1:20" x14ac:dyDescent="0.25">
      <c r="A2260" t="s">
        <v>14</v>
      </c>
      <c r="B2260" t="s">
        <v>323</v>
      </c>
      <c r="C2260" t="s">
        <v>4382</v>
      </c>
      <c r="D2260" t="s">
        <v>4383</v>
      </c>
      <c r="E2260">
        <v>47300047066</v>
      </c>
      <c r="F2260" t="s">
        <v>16</v>
      </c>
      <c r="G2260" t="s">
        <v>28</v>
      </c>
      <c r="H2260" t="s">
        <v>57</v>
      </c>
      <c r="K2260" t="s">
        <v>3795</v>
      </c>
      <c r="L2260" t="s">
        <v>19</v>
      </c>
      <c r="M2260" t="s">
        <v>20</v>
      </c>
      <c r="P2260">
        <v>200000</v>
      </c>
      <c r="Q2260">
        <v>200000</v>
      </c>
      <c r="R2260" t="s">
        <v>4165</v>
      </c>
      <c r="S2260" t="s">
        <v>324</v>
      </c>
      <c r="T2260">
        <v>832.6</v>
      </c>
    </row>
    <row r="2261" spans="1:20" x14ac:dyDescent="0.25">
      <c r="A2261" t="s">
        <v>14</v>
      </c>
      <c r="B2261" t="s">
        <v>321</v>
      </c>
      <c r="C2261" t="s">
        <v>4405</v>
      </c>
      <c r="D2261" t="s">
        <v>4390</v>
      </c>
      <c r="E2261">
        <v>47300047066</v>
      </c>
      <c r="F2261" t="s">
        <v>16</v>
      </c>
      <c r="G2261" t="s">
        <v>28</v>
      </c>
      <c r="H2261" t="s">
        <v>57</v>
      </c>
      <c r="K2261" t="s">
        <v>3795</v>
      </c>
      <c r="L2261" t="s">
        <v>19</v>
      </c>
      <c r="M2261" t="s">
        <v>20</v>
      </c>
      <c r="P2261">
        <v>49000</v>
      </c>
      <c r="Q2261">
        <v>49000</v>
      </c>
      <c r="R2261" t="s">
        <v>4166</v>
      </c>
      <c r="S2261" t="s">
        <v>322</v>
      </c>
      <c r="T2261">
        <v>204</v>
      </c>
    </row>
    <row r="2262" spans="1:20" x14ac:dyDescent="0.25">
      <c r="A2262" t="s">
        <v>14</v>
      </c>
      <c r="B2262" t="s">
        <v>319</v>
      </c>
      <c r="C2262" t="s">
        <v>4367</v>
      </c>
      <c r="D2262" t="s">
        <v>4368</v>
      </c>
      <c r="E2262">
        <v>47300046761</v>
      </c>
      <c r="F2262" t="s">
        <v>42</v>
      </c>
      <c r="G2262" t="s">
        <v>28</v>
      </c>
      <c r="H2262" t="s">
        <v>43</v>
      </c>
      <c r="K2262" t="s">
        <v>3795</v>
      </c>
      <c r="L2262" t="s">
        <v>19</v>
      </c>
      <c r="M2262" t="s">
        <v>20</v>
      </c>
      <c r="P2262">
        <v>50000</v>
      </c>
      <c r="Q2262">
        <v>50000</v>
      </c>
      <c r="R2262" t="s">
        <v>4167</v>
      </c>
      <c r="S2262" t="s">
        <v>320</v>
      </c>
      <c r="T2262">
        <v>208.2</v>
      </c>
    </row>
    <row r="2263" spans="1:20" x14ac:dyDescent="0.25">
      <c r="A2263" t="s">
        <v>14</v>
      </c>
      <c r="B2263" t="s">
        <v>317</v>
      </c>
      <c r="C2263" t="s">
        <v>4402</v>
      </c>
      <c r="D2263" t="s">
        <v>4379</v>
      </c>
      <c r="E2263">
        <v>47300070597</v>
      </c>
      <c r="F2263" t="s">
        <v>16</v>
      </c>
      <c r="G2263" t="s">
        <v>28</v>
      </c>
      <c r="H2263" t="s">
        <v>77</v>
      </c>
      <c r="K2263" t="s">
        <v>4266</v>
      </c>
      <c r="L2263" t="s">
        <v>19</v>
      </c>
      <c r="M2263" t="s">
        <v>63</v>
      </c>
      <c r="N2263" s="2">
        <v>45597</v>
      </c>
      <c r="O2263" s="2">
        <v>45626</v>
      </c>
      <c r="P2263">
        <v>40000</v>
      </c>
      <c r="Q2263">
        <v>40000</v>
      </c>
      <c r="R2263" t="s">
        <v>3157</v>
      </c>
      <c r="S2263" t="s">
        <v>318</v>
      </c>
      <c r="T2263">
        <v>166.5</v>
      </c>
    </row>
    <row r="2264" spans="1:20" x14ac:dyDescent="0.25">
      <c r="A2264" t="s">
        <v>14</v>
      </c>
      <c r="B2264" t="s">
        <v>317</v>
      </c>
      <c r="C2264" t="s">
        <v>4405</v>
      </c>
      <c r="D2264" t="s">
        <v>4390</v>
      </c>
      <c r="E2264">
        <v>47300070597</v>
      </c>
      <c r="F2264" t="s">
        <v>16</v>
      </c>
      <c r="G2264" t="s">
        <v>28</v>
      </c>
      <c r="H2264" t="s">
        <v>77</v>
      </c>
      <c r="K2264" t="s">
        <v>3294</v>
      </c>
      <c r="L2264" t="s">
        <v>19</v>
      </c>
      <c r="M2264" t="s">
        <v>46</v>
      </c>
      <c r="N2264" s="2">
        <v>45597</v>
      </c>
      <c r="O2264" s="2">
        <v>45626</v>
      </c>
      <c r="P2264">
        <v>500</v>
      </c>
      <c r="Q2264">
        <v>500</v>
      </c>
      <c r="R2264" t="s">
        <v>3157</v>
      </c>
    </row>
    <row r="2265" spans="1:20" x14ac:dyDescent="0.25">
      <c r="A2265" t="s">
        <v>14</v>
      </c>
      <c r="B2265" t="s">
        <v>317</v>
      </c>
      <c r="C2265" t="s">
        <v>4402</v>
      </c>
      <c r="D2265" t="s">
        <v>4379</v>
      </c>
      <c r="E2265">
        <v>47300070597</v>
      </c>
      <c r="F2265" t="s">
        <v>16</v>
      </c>
      <c r="G2265" t="s">
        <v>28</v>
      </c>
      <c r="H2265" t="s">
        <v>77</v>
      </c>
      <c r="K2265" t="s">
        <v>3197</v>
      </c>
      <c r="L2265" t="s">
        <v>19</v>
      </c>
      <c r="M2265" t="s">
        <v>46</v>
      </c>
      <c r="N2265" s="2">
        <v>45597</v>
      </c>
      <c r="O2265" s="2">
        <v>45626</v>
      </c>
      <c r="P2265">
        <v>150650</v>
      </c>
      <c r="Q2265">
        <v>150650</v>
      </c>
      <c r="R2265" t="s">
        <v>3157</v>
      </c>
    </row>
    <row r="2266" spans="1:20" x14ac:dyDescent="0.25">
      <c r="A2266" t="s">
        <v>14</v>
      </c>
      <c r="B2266" t="s">
        <v>317</v>
      </c>
      <c r="C2266" t="s">
        <v>4405</v>
      </c>
      <c r="D2266" t="s">
        <v>4390</v>
      </c>
      <c r="E2266">
        <v>47300070597</v>
      </c>
      <c r="F2266" t="s">
        <v>16</v>
      </c>
      <c r="G2266" t="s">
        <v>28</v>
      </c>
      <c r="H2266" t="s">
        <v>77</v>
      </c>
      <c r="K2266" t="s">
        <v>2892</v>
      </c>
      <c r="L2266" t="s">
        <v>19</v>
      </c>
      <c r="M2266" t="s">
        <v>46</v>
      </c>
      <c r="N2266" s="2">
        <v>45597</v>
      </c>
      <c r="O2266" s="2">
        <v>45626</v>
      </c>
      <c r="P2266">
        <v>10000</v>
      </c>
      <c r="Q2266">
        <v>10000</v>
      </c>
      <c r="R2266" t="s">
        <v>3157</v>
      </c>
    </row>
    <row r="2267" spans="1:20" x14ac:dyDescent="0.25">
      <c r="A2267" t="s">
        <v>14</v>
      </c>
      <c r="B2267" t="s">
        <v>315</v>
      </c>
      <c r="C2267" t="s">
        <v>4364</v>
      </c>
      <c r="D2267" t="s">
        <v>4358</v>
      </c>
      <c r="E2267">
        <v>47300070837</v>
      </c>
      <c r="F2267" t="s">
        <v>16</v>
      </c>
      <c r="G2267" t="s">
        <v>23</v>
      </c>
      <c r="H2267" t="s">
        <v>165</v>
      </c>
      <c r="K2267" t="s">
        <v>4266</v>
      </c>
      <c r="L2267" t="s">
        <v>19</v>
      </c>
      <c r="M2267" t="s">
        <v>63</v>
      </c>
      <c r="N2267" s="2">
        <v>45597</v>
      </c>
      <c r="O2267" s="2">
        <v>45626</v>
      </c>
      <c r="P2267">
        <v>50000</v>
      </c>
      <c r="Q2267">
        <v>50000</v>
      </c>
      <c r="R2267" t="s">
        <v>4325</v>
      </c>
      <c r="S2267" t="s">
        <v>316</v>
      </c>
      <c r="T2267">
        <v>208.1</v>
      </c>
    </row>
    <row r="2268" spans="1:20" x14ac:dyDescent="0.25">
      <c r="A2268" t="s">
        <v>14</v>
      </c>
      <c r="B2268" t="s">
        <v>314</v>
      </c>
      <c r="C2268" t="s">
        <v>4394</v>
      </c>
      <c r="D2268" t="s">
        <v>4395</v>
      </c>
      <c r="E2268">
        <v>47300070704</v>
      </c>
      <c r="F2268" t="s">
        <v>16</v>
      </c>
      <c r="G2268" t="s">
        <v>28</v>
      </c>
      <c r="H2268" t="s">
        <v>146</v>
      </c>
      <c r="K2268" t="s">
        <v>3197</v>
      </c>
      <c r="L2268" t="s">
        <v>19</v>
      </c>
      <c r="M2268" t="s">
        <v>46</v>
      </c>
      <c r="N2268" s="2">
        <v>45597</v>
      </c>
      <c r="O2268" s="2">
        <v>45626</v>
      </c>
      <c r="P2268">
        <v>150650</v>
      </c>
      <c r="Q2268">
        <v>150650</v>
      </c>
      <c r="R2268" t="s">
        <v>3245</v>
      </c>
    </row>
    <row r="2269" spans="1:20" x14ac:dyDescent="0.25">
      <c r="A2269" t="s">
        <v>14</v>
      </c>
      <c r="B2269" t="s">
        <v>312</v>
      </c>
      <c r="C2269" t="s">
        <v>2927</v>
      </c>
      <c r="D2269" t="s">
        <v>4375</v>
      </c>
      <c r="E2269">
        <v>47300046241</v>
      </c>
      <c r="F2269" t="s">
        <v>16</v>
      </c>
      <c r="G2269" t="s">
        <v>23</v>
      </c>
      <c r="H2269" t="s">
        <v>24</v>
      </c>
      <c r="I2269" t="s">
        <v>2754</v>
      </c>
      <c r="J2269">
        <v>0</v>
      </c>
      <c r="K2269" t="s">
        <v>3795</v>
      </c>
      <c r="L2269" t="s">
        <v>19</v>
      </c>
      <c r="M2269" t="s">
        <v>20</v>
      </c>
      <c r="P2269">
        <v>20000</v>
      </c>
      <c r="Q2269">
        <v>20000</v>
      </c>
      <c r="R2269" t="s">
        <v>4168</v>
      </c>
      <c r="S2269" t="s">
        <v>313</v>
      </c>
      <c r="T2269">
        <v>83.3</v>
      </c>
    </row>
    <row r="2270" spans="1:20" x14ac:dyDescent="0.25">
      <c r="A2270" t="s">
        <v>14</v>
      </c>
      <c r="B2270" t="s">
        <v>310</v>
      </c>
      <c r="C2270" t="s">
        <v>4364</v>
      </c>
      <c r="D2270" t="s">
        <v>4358</v>
      </c>
      <c r="E2270">
        <v>47300070704</v>
      </c>
      <c r="F2270" t="s">
        <v>16</v>
      </c>
      <c r="G2270" t="s">
        <v>28</v>
      </c>
      <c r="H2270" t="s">
        <v>146</v>
      </c>
      <c r="K2270" t="s">
        <v>4266</v>
      </c>
      <c r="L2270" t="s">
        <v>19</v>
      </c>
      <c r="M2270" t="s">
        <v>63</v>
      </c>
      <c r="N2270" s="2">
        <v>45597</v>
      </c>
      <c r="O2270" s="2">
        <v>45626</v>
      </c>
      <c r="P2270">
        <v>250000</v>
      </c>
      <c r="Q2270">
        <v>250000</v>
      </c>
      <c r="R2270" t="s">
        <v>4326</v>
      </c>
      <c r="S2270" t="s">
        <v>311</v>
      </c>
      <c r="T2270">
        <v>1040.7</v>
      </c>
    </row>
    <row r="2271" spans="1:20" x14ac:dyDescent="0.25">
      <c r="A2271" t="s">
        <v>14</v>
      </c>
      <c r="B2271" t="s">
        <v>308</v>
      </c>
      <c r="C2271" t="s">
        <v>4398</v>
      </c>
      <c r="D2271" t="s">
        <v>4377</v>
      </c>
      <c r="E2271">
        <v>47300026094</v>
      </c>
      <c r="F2271" t="s">
        <v>35</v>
      </c>
      <c r="G2271" t="s">
        <v>36</v>
      </c>
      <c r="H2271" t="s">
        <v>4359</v>
      </c>
      <c r="K2271" t="s">
        <v>3795</v>
      </c>
      <c r="L2271" t="s">
        <v>19</v>
      </c>
      <c r="M2271" t="s">
        <v>20</v>
      </c>
      <c r="P2271">
        <v>50000</v>
      </c>
      <c r="Q2271">
        <v>50000</v>
      </c>
      <c r="R2271" t="s">
        <v>4169</v>
      </c>
      <c r="S2271" t="s">
        <v>309</v>
      </c>
      <c r="T2271">
        <v>208.1</v>
      </c>
    </row>
    <row r="2272" spans="1:20" x14ac:dyDescent="0.25">
      <c r="A2272" t="s">
        <v>14</v>
      </c>
      <c r="B2272" t="s">
        <v>306</v>
      </c>
      <c r="C2272" t="s">
        <v>4414</v>
      </c>
      <c r="D2272" t="s">
        <v>4401</v>
      </c>
      <c r="E2272">
        <v>47300025708</v>
      </c>
      <c r="F2272" t="s">
        <v>35</v>
      </c>
      <c r="G2272" t="s">
        <v>36</v>
      </c>
      <c r="H2272" t="s">
        <v>4360</v>
      </c>
      <c r="K2272" t="s">
        <v>3795</v>
      </c>
      <c r="L2272" t="s">
        <v>19</v>
      </c>
      <c r="M2272" t="s">
        <v>20</v>
      </c>
      <c r="P2272">
        <v>50000</v>
      </c>
      <c r="Q2272">
        <v>50000</v>
      </c>
      <c r="R2272" t="s">
        <v>4170</v>
      </c>
      <c r="S2272" t="s">
        <v>307</v>
      </c>
      <c r="T2272">
        <v>208.1</v>
      </c>
    </row>
    <row r="2273" spans="1:20" x14ac:dyDescent="0.25">
      <c r="A2273" t="s">
        <v>14</v>
      </c>
      <c r="B2273" t="s">
        <v>304</v>
      </c>
      <c r="C2273" t="s">
        <v>4369</v>
      </c>
      <c r="D2273" t="s">
        <v>4370</v>
      </c>
      <c r="E2273">
        <v>47300086445</v>
      </c>
      <c r="F2273" t="s">
        <v>16</v>
      </c>
      <c r="G2273" t="s">
        <v>28</v>
      </c>
      <c r="H2273" t="s">
        <v>187</v>
      </c>
      <c r="I2273" t="s">
        <v>2777</v>
      </c>
      <c r="J2273" t="s">
        <v>2776</v>
      </c>
      <c r="K2273" t="s">
        <v>3795</v>
      </c>
      <c r="L2273" t="s">
        <v>19</v>
      </c>
      <c r="M2273" t="s">
        <v>20</v>
      </c>
      <c r="P2273">
        <v>35000</v>
      </c>
      <c r="Q2273">
        <v>35000</v>
      </c>
      <c r="R2273" t="s">
        <v>4171</v>
      </c>
      <c r="S2273" t="s">
        <v>305</v>
      </c>
      <c r="T2273">
        <v>145.69999999999999</v>
      </c>
    </row>
    <row r="2274" spans="1:20" x14ac:dyDescent="0.25">
      <c r="A2274" t="s">
        <v>14</v>
      </c>
      <c r="B2274" t="s">
        <v>302</v>
      </c>
      <c r="C2274" t="s">
        <v>4371</v>
      </c>
      <c r="D2274" t="s">
        <v>4368</v>
      </c>
      <c r="E2274">
        <v>47300046746</v>
      </c>
      <c r="F2274" t="s">
        <v>16</v>
      </c>
      <c r="G2274" t="s">
        <v>28</v>
      </c>
      <c r="H2274" t="s">
        <v>32</v>
      </c>
      <c r="K2274" t="s">
        <v>3795</v>
      </c>
      <c r="L2274" t="s">
        <v>19</v>
      </c>
      <c r="M2274" t="s">
        <v>20</v>
      </c>
      <c r="P2274">
        <v>13000</v>
      </c>
      <c r="Q2274">
        <v>13000</v>
      </c>
      <c r="R2274" t="s">
        <v>4172</v>
      </c>
      <c r="S2274" t="s">
        <v>303</v>
      </c>
      <c r="T2274">
        <v>54.1</v>
      </c>
    </row>
    <row r="2275" spans="1:20" x14ac:dyDescent="0.25">
      <c r="A2275" t="s">
        <v>14</v>
      </c>
      <c r="B2275" t="s">
        <v>300</v>
      </c>
      <c r="C2275" t="s">
        <v>4367</v>
      </c>
      <c r="D2275" t="s">
        <v>4368</v>
      </c>
      <c r="E2275">
        <v>47300046316</v>
      </c>
      <c r="F2275" t="s">
        <v>42</v>
      </c>
      <c r="G2275" t="s">
        <v>28</v>
      </c>
      <c r="H2275" t="s">
        <v>69</v>
      </c>
      <c r="K2275" t="s">
        <v>3795</v>
      </c>
      <c r="L2275" t="s">
        <v>19</v>
      </c>
      <c r="M2275" t="s">
        <v>20</v>
      </c>
      <c r="P2275">
        <v>30000</v>
      </c>
      <c r="Q2275">
        <v>30000</v>
      </c>
      <c r="R2275" t="s">
        <v>4173</v>
      </c>
      <c r="S2275" t="s">
        <v>301</v>
      </c>
      <c r="T2275">
        <v>124.9</v>
      </c>
    </row>
    <row r="2276" spans="1:20" x14ac:dyDescent="0.25">
      <c r="A2276" t="s">
        <v>14</v>
      </c>
      <c r="B2276" t="s">
        <v>298</v>
      </c>
      <c r="C2276" t="s">
        <v>4408</v>
      </c>
      <c r="D2276" t="s">
        <v>4407</v>
      </c>
      <c r="E2276">
        <v>47300046779</v>
      </c>
      <c r="F2276" t="s">
        <v>42</v>
      </c>
      <c r="G2276" t="s">
        <v>28</v>
      </c>
      <c r="H2276" t="s">
        <v>199</v>
      </c>
      <c r="K2276" t="s">
        <v>4266</v>
      </c>
      <c r="L2276" t="s">
        <v>19</v>
      </c>
      <c r="M2276" t="s">
        <v>63</v>
      </c>
      <c r="N2276" s="2">
        <v>45627</v>
      </c>
      <c r="O2276" s="2">
        <v>45657</v>
      </c>
      <c r="P2276">
        <v>40000</v>
      </c>
      <c r="Q2276">
        <v>40000</v>
      </c>
      <c r="R2276" t="s">
        <v>3158</v>
      </c>
      <c r="S2276" t="s">
        <v>299</v>
      </c>
      <c r="T2276">
        <v>166.5</v>
      </c>
    </row>
    <row r="2277" spans="1:20" x14ac:dyDescent="0.25">
      <c r="A2277" t="s">
        <v>14</v>
      </c>
      <c r="B2277" t="s">
        <v>298</v>
      </c>
      <c r="C2277" t="s">
        <v>4412</v>
      </c>
      <c r="D2277" t="s">
        <v>4377</v>
      </c>
      <c r="E2277">
        <v>47300046779</v>
      </c>
      <c r="F2277" t="s">
        <v>42</v>
      </c>
      <c r="G2277" t="s">
        <v>28</v>
      </c>
      <c r="H2277" t="s">
        <v>199</v>
      </c>
      <c r="K2277" t="s">
        <v>3294</v>
      </c>
      <c r="L2277" t="s">
        <v>19</v>
      </c>
      <c r="M2277" t="s">
        <v>46</v>
      </c>
      <c r="N2277" s="2">
        <v>45627</v>
      </c>
      <c r="O2277" s="2">
        <v>45657</v>
      </c>
      <c r="P2277">
        <v>500</v>
      </c>
      <c r="Q2277">
        <v>500</v>
      </c>
      <c r="R2277" t="s">
        <v>3158</v>
      </c>
    </row>
    <row r="2278" spans="1:20" x14ac:dyDescent="0.25">
      <c r="A2278" t="s">
        <v>14</v>
      </c>
      <c r="B2278" t="s">
        <v>298</v>
      </c>
      <c r="C2278" t="s">
        <v>4412</v>
      </c>
      <c r="D2278" t="s">
        <v>4424</v>
      </c>
      <c r="E2278">
        <v>47300046779</v>
      </c>
      <c r="F2278" t="s">
        <v>42</v>
      </c>
      <c r="G2278" t="s">
        <v>28</v>
      </c>
      <c r="H2278" t="s">
        <v>199</v>
      </c>
      <c r="K2278" t="s">
        <v>3197</v>
      </c>
      <c r="L2278" t="s">
        <v>19</v>
      </c>
      <c r="M2278" t="s">
        <v>46</v>
      </c>
      <c r="N2278" s="2">
        <v>45627</v>
      </c>
      <c r="O2278" s="2">
        <v>45657</v>
      </c>
      <c r="P2278">
        <v>150650</v>
      </c>
      <c r="Q2278">
        <v>150650</v>
      </c>
      <c r="R2278" t="s">
        <v>3158</v>
      </c>
    </row>
    <row r="2279" spans="1:20" x14ac:dyDescent="0.25">
      <c r="A2279" t="s">
        <v>14</v>
      </c>
      <c r="B2279" t="s">
        <v>298</v>
      </c>
      <c r="C2279" t="s">
        <v>4420</v>
      </c>
      <c r="D2279" t="s">
        <v>4394</v>
      </c>
      <c r="E2279">
        <v>47300046779</v>
      </c>
      <c r="F2279" t="s">
        <v>42</v>
      </c>
      <c r="G2279" t="s">
        <v>28</v>
      </c>
      <c r="H2279" t="s">
        <v>199</v>
      </c>
      <c r="K2279" t="s">
        <v>2892</v>
      </c>
      <c r="L2279" t="s">
        <v>19</v>
      </c>
      <c r="M2279" t="s">
        <v>46</v>
      </c>
      <c r="N2279" s="2">
        <v>45627</v>
      </c>
      <c r="O2279" s="2">
        <v>45657</v>
      </c>
      <c r="P2279">
        <v>10000</v>
      </c>
      <c r="Q2279">
        <v>10000</v>
      </c>
      <c r="R2279" t="s">
        <v>3158</v>
      </c>
    </row>
    <row r="2280" spans="1:20" x14ac:dyDescent="0.25">
      <c r="A2280" t="s">
        <v>14</v>
      </c>
      <c r="B2280" t="s">
        <v>297</v>
      </c>
      <c r="C2280" t="s">
        <v>4398</v>
      </c>
      <c r="D2280" t="s">
        <v>4399</v>
      </c>
      <c r="E2280">
        <v>47300046191</v>
      </c>
      <c r="F2280" t="s">
        <v>16</v>
      </c>
      <c r="G2280" t="s">
        <v>28</v>
      </c>
      <c r="H2280" t="s">
        <v>119</v>
      </c>
      <c r="I2280" t="s">
        <v>2799</v>
      </c>
      <c r="J2280">
        <v>8033011626</v>
      </c>
      <c r="K2280" t="s">
        <v>3294</v>
      </c>
      <c r="L2280" t="s">
        <v>19</v>
      </c>
      <c r="M2280" t="s">
        <v>46</v>
      </c>
      <c r="N2280" s="2">
        <v>45627</v>
      </c>
      <c r="O2280" s="2">
        <v>45657</v>
      </c>
      <c r="P2280">
        <v>500</v>
      </c>
      <c r="Q2280">
        <v>500</v>
      </c>
      <c r="R2280" t="s">
        <v>3159</v>
      </c>
    </row>
    <row r="2281" spans="1:20" x14ac:dyDescent="0.25">
      <c r="A2281" t="s">
        <v>14</v>
      </c>
      <c r="B2281" t="s">
        <v>297</v>
      </c>
      <c r="C2281" t="s">
        <v>4412</v>
      </c>
      <c r="D2281" t="s">
        <v>4377</v>
      </c>
      <c r="E2281">
        <v>47300046191</v>
      </c>
      <c r="F2281" t="s">
        <v>16</v>
      </c>
      <c r="G2281" t="s">
        <v>28</v>
      </c>
      <c r="H2281" t="s">
        <v>119</v>
      </c>
      <c r="I2281" t="s">
        <v>2799</v>
      </c>
      <c r="J2281">
        <v>8033011626</v>
      </c>
      <c r="K2281" t="s">
        <v>3197</v>
      </c>
      <c r="L2281" t="s">
        <v>19</v>
      </c>
      <c r="M2281" t="s">
        <v>46</v>
      </c>
      <c r="N2281" s="2">
        <v>45627</v>
      </c>
      <c r="O2281" s="2">
        <v>45657</v>
      </c>
      <c r="P2281">
        <v>150650</v>
      </c>
      <c r="Q2281">
        <v>150650</v>
      </c>
      <c r="R2281" t="s">
        <v>3159</v>
      </c>
    </row>
    <row r="2282" spans="1:20" x14ac:dyDescent="0.25">
      <c r="A2282" t="s">
        <v>14</v>
      </c>
      <c r="B2282" t="s">
        <v>297</v>
      </c>
      <c r="C2282" t="s">
        <v>4412</v>
      </c>
      <c r="D2282" t="s">
        <v>4424</v>
      </c>
      <c r="E2282">
        <v>47300046191</v>
      </c>
      <c r="F2282" t="s">
        <v>16</v>
      </c>
      <c r="G2282" t="s">
        <v>28</v>
      </c>
      <c r="H2282" t="s">
        <v>119</v>
      </c>
      <c r="I2282" t="s">
        <v>2799</v>
      </c>
      <c r="J2282">
        <v>8033011626</v>
      </c>
      <c r="K2282" t="s">
        <v>2892</v>
      </c>
      <c r="L2282" t="s">
        <v>19</v>
      </c>
      <c r="M2282" t="s">
        <v>46</v>
      </c>
      <c r="N2282" s="2">
        <v>45627</v>
      </c>
      <c r="O2282" s="2">
        <v>45657</v>
      </c>
      <c r="P2282">
        <v>10000</v>
      </c>
      <c r="Q2282">
        <v>10000</v>
      </c>
      <c r="R2282" t="s">
        <v>3159</v>
      </c>
    </row>
    <row r="2283" spans="1:20" x14ac:dyDescent="0.25">
      <c r="A2283" t="s">
        <v>14</v>
      </c>
      <c r="B2283" t="s">
        <v>295</v>
      </c>
      <c r="C2283" t="s">
        <v>4398</v>
      </c>
      <c r="D2283" t="s">
        <v>4399</v>
      </c>
      <c r="E2283">
        <v>47300046738</v>
      </c>
      <c r="F2283" t="s">
        <v>16</v>
      </c>
      <c r="G2283" t="s">
        <v>28</v>
      </c>
      <c r="H2283" t="s">
        <v>202</v>
      </c>
      <c r="K2283" t="s">
        <v>4266</v>
      </c>
      <c r="L2283" t="s">
        <v>19</v>
      </c>
      <c r="M2283" t="s">
        <v>63</v>
      </c>
      <c r="N2283" s="2">
        <v>45627</v>
      </c>
      <c r="O2283" s="2">
        <v>45657</v>
      </c>
      <c r="P2283">
        <v>130000</v>
      </c>
      <c r="Q2283">
        <v>130000</v>
      </c>
      <c r="R2283" t="s">
        <v>3160</v>
      </c>
      <c r="S2283" t="s">
        <v>296</v>
      </c>
      <c r="T2283">
        <v>541.20000000000005</v>
      </c>
    </row>
    <row r="2284" spans="1:20" x14ac:dyDescent="0.25">
      <c r="A2284" t="s">
        <v>14</v>
      </c>
      <c r="B2284" t="s">
        <v>295</v>
      </c>
      <c r="C2284" t="s">
        <v>4412</v>
      </c>
      <c r="D2284" t="s">
        <v>4377</v>
      </c>
      <c r="E2284">
        <v>47300046738</v>
      </c>
      <c r="F2284" t="s">
        <v>16</v>
      </c>
      <c r="G2284" t="s">
        <v>28</v>
      </c>
      <c r="H2284" t="s">
        <v>202</v>
      </c>
      <c r="K2284" t="s">
        <v>3294</v>
      </c>
      <c r="L2284" t="s">
        <v>19</v>
      </c>
      <c r="M2284" t="s">
        <v>46</v>
      </c>
      <c r="N2284" s="2">
        <v>45627</v>
      </c>
      <c r="O2284" s="2">
        <v>45657</v>
      </c>
      <c r="P2284">
        <v>500</v>
      </c>
      <c r="Q2284">
        <v>500</v>
      </c>
      <c r="R2284" t="s">
        <v>3160</v>
      </c>
    </row>
    <row r="2285" spans="1:20" x14ac:dyDescent="0.25">
      <c r="A2285" t="s">
        <v>14</v>
      </c>
      <c r="B2285" t="s">
        <v>295</v>
      </c>
      <c r="C2285" t="s">
        <v>4420</v>
      </c>
      <c r="D2285" t="s">
        <v>4394</v>
      </c>
      <c r="E2285">
        <v>47300046738</v>
      </c>
      <c r="F2285" t="s">
        <v>16</v>
      </c>
      <c r="G2285" t="s">
        <v>28</v>
      </c>
      <c r="H2285" t="s">
        <v>202</v>
      </c>
      <c r="K2285" t="s">
        <v>2892</v>
      </c>
      <c r="L2285" t="s">
        <v>19</v>
      </c>
      <c r="M2285" t="s">
        <v>46</v>
      </c>
      <c r="N2285" s="2">
        <v>45627</v>
      </c>
      <c r="O2285" s="2">
        <v>45657</v>
      </c>
      <c r="P2285">
        <v>10000</v>
      </c>
      <c r="Q2285">
        <v>10000</v>
      </c>
      <c r="R2285" t="s">
        <v>3160</v>
      </c>
    </row>
    <row r="2286" spans="1:20" x14ac:dyDescent="0.25">
      <c r="A2286" t="s">
        <v>14</v>
      </c>
      <c r="B2286" t="s">
        <v>293</v>
      </c>
      <c r="C2286" t="s">
        <v>4398</v>
      </c>
      <c r="D2286" t="s">
        <v>4399</v>
      </c>
      <c r="E2286">
        <v>47300046258</v>
      </c>
      <c r="F2286" t="s">
        <v>16</v>
      </c>
      <c r="G2286" t="s">
        <v>28</v>
      </c>
      <c r="H2286" t="s">
        <v>160</v>
      </c>
      <c r="K2286" t="s">
        <v>4266</v>
      </c>
      <c r="L2286" t="s">
        <v>19</v>
      </c>
      <c r="M2286" t="s">
        <v>63</v>
      </c>
      <c r="N2286" s="2">
        <v>45627</v>
      </c>
      <c r="O2286" s="2">
        <v>45657</v>
      </c>
      <c r="P2286">
        <v>50000</v>
      </c>
      <c r="Q2286">
        <v>50000</v>
      </c>
      <c r="R2286" t="s">
        <v>3161</v>
      </c>
      <c r="S2286" t="s">
        <v>294</v>
      </c>
      <c r="T2286">
        <v>208.2</v>
      </c>
    </row>
    <row r="2287" spans="1:20" x14ac:dyDescent="0.25">
      <c r="A2287" t="s">
        <v>14</v>
      </c>
      <c r="B2287" t="s">
        <v>293</v>
      </c>
      <c r="C2287" t="s">
        <v>4412</v>
      </c>
      <c r="D2287" t="s">
        <v>4377</v>
      </c>
      <c r="E2287">
        <v>47300046258</v>
      </c>
      <c r="F2287" t="s">
        <v>16</v>
      </c>
      <c r="G2287" t="s">
        <v>28</v>
      </c>
      <c r="H2287" t="s">
        <v>160</v>
      </c>
      <c r="K2287" t="s">
        <v>3294</v>
      </c>
      <c r="L2287" t="s">
        <v>19</v>
      </c>
      <c r="M2287" t="s">
        <v>46</v>
      </c>
      <c r="N2287" s="2">
        <v>45627</v>
      </c>
      <c r="O2287" s="2">
        <v>45657</v>
      </c>
      <c r="P2287">
        <v>500</v>
      </c>
      <c r="Q2287">
        <v>500</v>
      </c>
      <c r="R2287" t="s">
        <v>3161</v>
      </c>
    </row>
    <row r="2288" spans="1:20" x14ac:dyDescent="0.25">
      <c r="A2288" t="s">
        <v>14</v>
      </c>
      <c r="B2288" t="s">
        <v>293</v>
      </c>
      <c r="C2288" t="s">
        <v>4412</v>
      </c>
      <c r="D2288" t="s">
        <v>4424</v>
      </c>
      <c r="E2288">
        <v>47300046258</v>
      </c>
      <c r="F2288" t="s">
        <v>16</v>
      </c>
      <c r="G2288" t="s">
        <v>28</v>
      </c>
      <c r="H2288" t="s">
        <v>160</v>
      </c>
      <c r="K2288" t="s">
        <v>3197</v>
      </c>
      <c r="L2288" t="s">
        <v>19</v>
      </c>
      <c r="M2288" t="s">
        <v>46</v>
      </c>
      <c r="N2288" s="2">
        <v>45627</v>
      </c>
      <c r="O2288" s="2">
        <v>45657</v>
      </c>
      <c r="P2288">
        <v>150650</v>
      </c>
      <c r="Q2288">
        <v>150650</v>
      </c>
      <c r="R2288" t="s">
        <v>3161</v>
      </c>
    </row>
    <row r="2289" spans="1:20" x14ac:dyDescent="0.25">
      <c r="A2289" t="s">
        <v>14</v>
      </c>
      <c r="B2289" t="s">
        <v>293</v>
      </c>
      <c r="C2289" t="s">
        <v>4420</v>
      </c>
      <c r="D2289" t="s">
        <v>4394</v>
      </c>
      <c r="E2289">
        <v>47300046258</v>
      </c>
      <c r="F2289" t="s">
        <v>16</v>
      </c>
      <c r="G2289" t="s">
        <v>28</v>
      </c>
      <c r="H2289" t="s">
        <v>160</v>
      </c>
      <c r="K2289" t="s">
        <v>2892</v>
      </c>
      <c r="L2289" t="s">
        <v>19</v>
      </c>
      <c r="M2289" t="s">
        <v>46</v>
      </c>
      <c r="N2289" s="2">
        <v>45627</v>
      </c>
      <c r="O2289" s="2">
        <v>45657</v>
      </c>
      <c r="P2289">
        <v>10000</v>
      </c>
      <c r="Q2289">
        <v>10000</v>
      </c>
      <c r="R2289" t="s">
        <v>3161</v>
      </c>
    </row>
    <row r="2290" spans="1:20" x14ac:dyDescent="0.25">
      <c r="A2290" t="s">
        <v>14</v>
      </c>
      <c r="B2290" t="s">
        <v>292</v>
      </c>
      <c r="C2290" t="s">
        <v>4398</v>
      </c>
      <c r="D2290" t="s">
        <v>4399</v>
      </c>
      <c r="E2290">
        <v>47300070753</v>
      </c>
      <c r="F2290" t="s">
        <v>16</v>
      </c>
      <c r="G2290" t="s">
        <v>17</v>
      </c>
      <c r="H2290" t="s">
        <v>82</v>
      </c>
      <c r="K2290" t="s">
        <v>3294</v>
      </c>
      <c r="L2290" t="s">
        <v>19</v>
      </c>
      <c r="M2290" t="s">
        <v>46</v>
      </c>
      <c r="N2290" s="2">
        <v>45627</v>
      </c>
      <c r="O2290" s="2">
        <v>45657</v>
      </c>
      <c r="P2290">
        <v>500</v>
      </c>
      <c r="Q2290">
        <v>500</v>
      </c>
      <c r="R2290" t="s">
        <v>3475</v>
      </c>
    </row>
    <row r="2291" spans="1:20" x14ac:dyDescent="0.25">
      <c r="A2291" t="s">
        <v>14</v>
      </c>
      <c r="B2291" t="s">
        <v>290</v>
      </c>
      <c r="C2291" t="s">
        <v>4400</v>
      </c>
      <c r="D2291" t="s">
        <v>4401</v>
      </c>
      <c r="E2291">
        <v>47300070548</v>
      </c>
      <c r="F2291" t="s">
        <v>27</v>
      </c>
      <c r="G2291" t="s">
        <v>17</v>
      </c>
      <c r="H2291" t="s">
        <v>51</v>
      </c>
      <c r="K2291" t="s">
        <v>4266</v>
      </c>
      <c r="L2291" t="s">
        <v>19</v>
      </c>
      <c r="M2291" t="s">
        <v>63</v>
      </c>
      <c r="N2291" s="2">
        <v>45627</v>
      </c>
      <c r="O2291" s="2">
        <v>45657</v>
      </c>
      <c r="P2291">
        <v>70000</v>
      </c>
      <c r="Q2291">
        <v>70000</v>
      </c>
      <c r="R2291" t="s">
        <v>3246</v>
      </c>
      <c r="S2291" t="s">
        <v>291</v>
      </c>
      <c r="T2291">
        <v>291.39999999999998</v>
      </c>
    </row>
    <row r="2292" spans="1:20" x14ac:dyDescent="0.25">
      <c r="A2292" t="s">
        <v>14</v>
      </c>
      <c r="B2292" t="s">
        <v>290</v>
      </c>
      <c r="C2292" t="s">
        <v>4374</v>
      </c>
      <c r="D2292" t="s">
        <v>4375</v>
      </c>
      <c r="E2292">
        <v>47300070548</v>
      </c>
      <c r="F2292" t="s">
        <v>27</v>
      </c>
      <c r="G2292" t="s">
        <v>17</v>
      </c>
      <c r="H2292" t="s">
        <v>51</v>
      </c>
      <c r="K2292" t="s">
        <v>3294</v>
      </c>
      <c r="L2292" t="s">
        <v>19</v>
      </c>
      <c r="M2292" t="s">
        <v>46</v>
      </c>
      <c r="N2292" s="2">
        <v>45627</v>
      </c>
      <c r="O2292" s="2">
        <v>45657</v>
      </c>
      <c r="P2292">
        <v>500</v>
      </c>
      <c r="Q2292">
        <v>500</v>
      </c>
      <c r="R2292" t="s">
        <v>3246</v>
      </c>
    </row>
    <row r="2293" spans="1:20" x14ac:dyDescent="0.25">
      <c r="A2293" t="s">
        <v>14</v>
      </c>
      <c r="B2293" t="s">
        <v>290</v>
      </c>
      <c r="C2293" t="s">
        <v>4413</v>
      </c>
      <c r="D2293" t="s">
        <v>4395</v>
      </c>
      <c r="E2293">
        <v>47300070548</v>
      </c>
      <c r="F2293" t="s">
        <v>27</v>
      </c>
      <c r="G2293" t="s">
        <v>17</v>
      </c>
      <c r="H2293" t="s">
        <v>51</v>
      </c>
      <c r="K2293" t="s">
        <v>3197</v>
      </c>
      <c r="L2293" t="s">
        <v>19</v>
      </c>
      <c r="M2293" t="s">
        <v>46</v>
      </c>
      <c r="N2293" s="2">
        <v>45627</v>
      </c>
      <c r="O2293" s="2">
        <v>45657</v>
      </c>
      <c r="P2293">
        <v>150650</v>
      </c>
      <c r="Q2293">
        <v>150650</v>
      </c>
      <c r="R2293" t="s">
        <v>3246</v>
      </c>
    </row>
    <row r="2294" spans="1:20" x14ac:dyDescent="0.25">
      <c r="A2294" t="s">
        <v>14</v>
      </c>
      <c r="B2294" t="s">
        <v>289</v>
      </c>
      <c r="C2294" t="s">
        <v>4400</v>
      </c>
      <c r="D2294" t="s">
        <v>4401</v>
      </c>
      <c r="E2294">
        <v>47300046647</v>
      </c>
      <c r="F2294" t="s">
        <v>16</v>
      </c>
      <c r="G2294" t="s">
        <v>87</v>
      </c>
      <c r="H2294" t="s">
        <v>100</v>
      </c>
      <c r="K2294" t="s">
        <v>2876</v>
      </c>
      <c r="L2294" t="s">
        <v>47</v>
      </c>
      <c r="N2294" s="2">
        <v>45597</v>
      </c>
      <c r="O2294" s="2">
        <v>45626</v>
      </c>
      <c r="P2294">
        <v>10000</v>
      </c>
      <c r="Q2294">
        <v>10000</v>
      </c>
      <c r="R2294" t="s">
        <v>2875</v>
      </c>
    </row>
    <row r="2295" spans="1:20" x14ac:dyDescent="0.25">
      <c r="A2295" t="s">
        <v>14</v>
      </c>
      <c r="B2295" t="s">
        <v>288</v>
      </c>
      <c r="C2295" t="s">
        <v>4374</v>
      </c>
      <c r="D2295" t="s">
        <v>4375</v>
      </c>
      <c r="E2295">
        <v>47300046605</v>
      </c>
      <c r="F2295" t="s">
        <v>16</v>
      </c>
      <c r="G2295" t="s">
        <v>17</v>
      </c>
      <c r="H2295" t="s">
        <v>49</v>
      </c>
      <c r="K2295" t="s">
        <v>3197</v>
      </c>
      <c r="L2295" t="s">
        <v>19</v>
      </c>
      <c r="M2295" t="s">
        <v>46</v>
      </c>
      <c r="N2295" s="2">
        <v>45627</v>
      </c>
      <c r="O2295" s="2">
        <v>45657</v>
      </c>
      <c r="P2295">
        <v>150650</v>
      </c>
      <c r="Q2295">
        <v>150650</v>
      </c>
      <c r="R2295" t="s">
        <v>3247</v>
      </c>
    </row>
    <row r="2296" spans="1:20" x14ac:dyDescent="0.25">
      <c r="A2296" t="s">
        <v>14</v>
      </c>
      <c r="B2296" t="s">
        <v>286</v>
      </c>
      <c r="C2296" t="s">
        <v>4413</v>
      </c>
      <c r="D2296" t="s">
        <v>4395</v>
      </c>
      <c r="E2296">
        <v>47300070795</v>
      </c>
      <c r="F2296" t="s">
        <v>16</v>
      </c>
      <c r="G2296" t="s">
        <v>87</v>
      </c>
      <c r="H2296" t="s">
        <v>88</v>
      </c>
      <c r="K2296" t="s">
        <v>4266</v>
      </c>
      <c r="L2296" t="s">
        <v>19</v>
      </c>
      <c r="M2296" t="s">
        <v>63</v>
      </c>
      <c r="N2296" s="2">
        <v>45627</v>
      </c>
      <c r="O2296" s="2">
        <v>45657</v>
      </c>
      <c r="P2296">
        <v>25000</v>
      </c>
      <c r="Q2296">
        <v>25000</v>
      </c>
      <c r="R2296" t="s">
        <v>3162</v>
      </c>
      <c r="S2296" t="s">
        <v>287</v>
      </c>
      <c r="T2296">
        <v>104</v>
      </c>
    </row>
    <row r="2297" spans="1:20" x14ac:dyDescent="0.25">
      <c r="A2297" t="s">
        <v>14</v>
      </c>
      <c r="B2297" t="s">
        <v>286</v>
      </c>
      <c r="C2297" t="s">
        <v>4400</v>
      </c>
      <c r="D2297" t="s">
        <v>4401</v>
      </c>
      <c r="E2297">
        <v>47300070795</v>
      </c>
      <c r="F2297" t="s">
        <v>16</v>
      </c>
      <c r="G2297" t="s">
        <v>87</v>
      </c>
      <c r="H2297" t="s">
        <v>88</v>
      </c>
      <c r="K2297" t="s">
        <v>3294</v>
      </c>
      <c r="L2297" t="s">
        <v>19</v>
      </c>
      <c r="M2297" t="s">
        <v>46</v>
      </c>
      <c r="N2297" s="2">
        <v>45627</v>
      </c>
      <c r="O2297" s="2">
        <v>45657</v>
      </c>
      <c r="P2297">
        <v>500</v>
      </c>
      <c r="Q2297">
        <v>500</v>
      </c>
      <c r="R2297" t="s">
        <v>3162</v>
      </c>
    </row>
    <row r="2298" spans="1:20" x14ac:dyDescent="0.25">
      <c r="A2298" t="s">
        <v>14</v>
      </c>
      <c r="B2298" t="s">
        <v>286</v>
      </c>
      <c r="C2298" t="s">
        <v>4374</v>
      </c>
      <c r="D2298" t="s">
        <v>4375</v>
      </c>
      <c r="E2298">
        <v>47300070795</v>
      </c>
      <c r="F2298" t="s">
        <v>16</v>
      </c>
      <c r="G2298" t="s">
        <v>87</v>
      </c>
      <c r="H2298" t="s">
        <v>88</v>
      </c>
      <c r="K2298" t="s">
        <v>3197</v>
      </c>
      <c r="L2298" t="s">
        <v>19</v>
      </c>
      <c r="M2298" t="s">
        <v>46</v>
      </c>
      <c r="N2298" s="2">
        <v>45627</v>
      </c>
      <c r="O2298" s="2">
        <v>45657</v>
      </c>
      <c r="P2298">
        <v>150650</v>
      </c>
      <c r="Q2298">
        <v>150650</v>
      </c>
      <c r="R2298" t="s">
        <v>3162</v>
      </c>
    </row>
    <row r="2299" spans="1:20" x14ac:dyDescent="0.25">
      <c r="A2299" t="s">
        <v>14</v>
      </c>
      <c r="B2299" t="s">
        <v>286</v>
      </c>
      <c r="C2299" t="s">
        <v>4380</v>
      </c>
      <c r="D2299" t="s">
        <v>4381</v>
      </c>
      <c r="E2299">
        <v>47300070795</v>
      </c>
      <c r="F2299" t="s">
        <v>16</v>
      </c>
      <c r="G2299" t="s">
        <v>87</v>
      </c>
      <c r="H2299" t="s">
        <v>88</v>
      </c>
      <c r="K2299" t="s">
        <v>2892</v>
      </c>
      <c r="L2299" t="s">
        <v>19</v>
      </c>
      <c r="M2299" t="s">
        <v>46</v>
      </c>
      <c r="N2299" s="2">
        <v>45627</v>
      </c>
      <c r="O2299" s="2">
        <v>45657</v>
      </c>
      <c r="P2299">
        <v>10000</v>
      </c>
      <c r="Q2299">
        <v>10000</v>
      </c>
      <c r="R2299" t="s">
        <v>3162</v>
      </c>
    </row>
    <row r="2300" spans="1:20" x14ac:dyDescent="0.25">
      <c r="A2300" t="s">
        <v>14</v>
      </c>
      <c r="B2300" t="s">
        <v>284</v>
      </c>
      <c r="C2300" t="s">
        <v>4413</v>
      </c>
      <c r="D2300" t="s">
        <v>4395</v>
      </c>
      <c r="E2300">
        <v>47300070522</v>
      </c>
      <c r="F2300" t="s">
        <v>16</v>
      </c>
      <c r="G2300" t="s">
        <v>17</v>
      </c>
      <c r="H2300" t="s">
        <v>18</v>
      </c>
      <c r="K2300" t="s">
        <v>4266</v>
      </c>
      <c r="L2300" t="s">
        <v>19</v>
      </c>
      <c r="M2300" t="s">
        <v>63</v>
      </c>
      <c r="N2300" s="2">
        <v>45627</v>
      </c>
      <c r="O2300" s="2">
        <v>45657</v>
      </c>
      <c r="P2300">
        <v>100000</v>
      </c>
      <c r="Q2300">
        <v>100000</v>
      </c>
      <c r="R2300" t="s">
        <v>3248</v>
      </c>
      <c r="S2300" t="s">
        <v>285</v>
      </c>
      <c r="T2300">
        <v>416.3</v>
      </c>
    </row>
    <row r="2301" spans="1:20" x14ac:dyDescent="0.25">
      <c r="A2301" t="s">
        <v>14</v>
      </c>
      <c r="B2301" t="s">
        <v>284</v>
      </c>
      <c r="C2301" t="s">
        <v>4374</v>
      </c>
      <c r="D2301" t="s">
        <v>4375</v>
      </c>
      <c r="E2301">
        <v>47300070522</v>
      </c>
      <c r="F2301" t="s">
        <v>16</v>
      </c>
      <c r="G2301" t="s">
        <v>17</v>
      </c>
      <c r="H2301" t="s">
        <v>18</v>
      </c>
      <c r="K2301" t="s">
        <v>3294</v>
      </c>
      <c r="L2301" t="s">
        <v>19</v>
      </c>
      <c r="M2301" t="s">
        <v>46</v>
      </c>
      <c r="N2301" s="2">
        <v>45627</v>
      </c>
      <c r="O2301" s="2">
        <v>45657</v>
      </c>
      <c r="P2301">
        <v>500</v>
      </c>
      <c r="Q2301">
        <v>500</v>
      </c>
      <c r="R2301" t="s">
        <v>3248</v>
      </c>
    </row>
    <row r="2302" spans="1:20" x14ac:dyDescent="0.25">
      <c r="A2302" t="s">
        <v>14</v>
      </c>
      <c r="B2302" t="s">
        <v>284</v>
      </c>
      <c r="C2302" t="s">
        <v>4384</v>
      </c>
      <c r="D2302" t="s">
        <v>4385</v>
      </c>
      <c r="E2302">
        <v>47300070522</v>
      </c>
      <c r="F2302" t="s">
        <v>16</v>
      </c>
      <c r="G2302" t="s">
        <v>17</v>
      </c>
      <c r="H2302" t="s">
        <v>18</v>
      </c>
      <c r="K2302" t="s">
        <v>3197</v>
      </c>
      <c r="L2302" t="s">
        <v>19</v>
      </c>
      <c r="M2302" t="s">
        <v>46</v>
      </c>
      <c r="N2302" s="2">
        <v>45627</v>
      </c>
      <c r="O2302" s="2">
        <v>45657</v>
      </c>
      <c r="P2302">
        <v>150650</v>
      </c>
      <c r="Q2302">
        <v>150650</v>
      </c>
      <c r="R2302" t="s">
        <v>3248</v>
      </c>
    </row>
    <row r="2303" spans="1:20" x14ac:dyDescent="0.25">
      <c r="A2303" t="s">
        <v>14</v>
      </c>
      <c r="B2303" t="s">
        <v>283</v>
      </c>
      <c r="C2303" t="s">
        <v>4389</v>
      </c>
      <c r="D2303" t="s">
        <v>4375</v>
      </c>
      <c r="E2303">
        <v>47300046720</v>
      </c>
      <c r="F2303" t="s">
        <v>16</v>
      </c>
      <c r="G2303" t="s">
        <v>28</v>
      </c>
      <c r="H2303" t="s">
        <v>143</v>
      </c>
      <c r="K2303" t="s">
        <v>3294</v>
      </c>
      <c r="L2303" t="s">
        <v>19</v>
      </c>
      <c r="M2303" t="s">
        <v>46</v>
      </c>
      <c r="N2303" s="2">
        <v>45627</v>
      </c>
      <c r="O2303" s="2">
        <v>45657</v>
      </c>
      <c r="P2303">
        <v>500</v>
      </c>
      <c r="Q2303">
        <v>500</v>
      </c>
      <c r="R2303" t="s">
        <v>3163</v>
      </c>
    </row>
    <row r="2304" spans="1:20" x14ac:dyDescent="0.25">
      <c r="A2304" t="s">
        <v>14</v>
      </c>
      <c r="B2304" t="s">
        <v>283</v>
      </c>
      <c r="C2304" t="s">
        <v>4371</v>
      </c>
      <c r="D2304" t="s">
        <v>4368</v>
      </c>
      <c r="E2304">
        <v>47300046720</v>
      </c>
      <c r="F2304" t="s">
        <v>16</v>
      </c>
      <c r="G2304" t="s">
        <v>28</v>
      </c>
      <c r="H2304" t="s">
        <v>143</v>
      </c>
      <c r="K2304" t="s">
        <v>3197</v>
      </c>
      <c r="L2304" t="s">
        <v>19</v>
      </c>
      <c r="M2304" t="s">
        <v>46</v>
      </c>
      <c r="N2304" s="2">
        <v>45627</v>
      </c>
      <c r="O2304" s="2">
        <v>45657</v>
      </c>
      <c r="P2304">
        <v>150650</v>
      </c>
      <c r="Q2304">
        <v>150650</v>
      </c>
      <c r="R2304" t="s">
        <v>3163</v>
      </c>
    </row>
    <row r="2305" spans="1:20" x14ac:dyDescent="0.25">
      <c r="A2305" t="s">
        <v>14</v>
      </c>
      <c r="B2305" t="s">
        <v>283</v>
      </c>
      <c r="C2305" t="s">
        <v>4387</v>
      </c>
      <c r="D2305" t="s">
        <v>4388</v>
      </c>
      <c r="E2305">
        <v>47300046720</v>
      </c>
      <c r="F2305" t="s">
        <v>16</v>
      </c>
      <c r="G2305" t="s">
        <v>28</v>
      </c>
      <c r="H2305" t="s">
        <v>143</v>
      </c>
      <c r="K2305" t="s">
        <v>2892</v>
      </c>
      <c r="L2305" t="s">
        <v>19</v>
      </c>
      <c r="M2305" t="s">
        <v>46</v>
      </c>
      <c r="N2305" s="2">
        <v>45627</v>
      </c>
      <c r="O2305" s="2">
        <v>45657</v>
      </c>
      <c r="P2305">
        <v>10000</v>
      </c>
      <c r="Q2305">
        <v>10000</v>
      </c>
      <c r="R2305" t="s">
        <v>3163</v>
      </c>
    </row>
    <row r="2306" spans="1:20" x14ac:dyDescent="0.25">
      <c r="A2306" t="s">
        <v>14</v>
      </c>
      <c r="B2306" t="s">
        <v>281</v>
      </c>
      <c r="C2306" t="s">
        <v>4376</v>
      </c>
      <c r="D2306" t="s">
        <v>4377</v>
      </c>
      <c r="E2306">
        <v>47300046761</v>
      </c>
      <c r="F2306" t="s">
        <v>42</v>
      </c>
      <c r="G2306" t="s">
        <v>28</v>
      </c>
      <c r="H2306" t="s">
        <v>43</v>
      </c>
      <c r="K2306" t="s">
        <v>4266</v>
      </c>
      <c r="L2306" t="s">
        <v>19</v>
      </c>
      <c r="M2306" t="s">
        <v>63</v>
      </c>
      <c r="N2306" s="2">
        <v>45627</v>
      </c>
      <c r="O2306" s="2">
        <v>45657</v>
      </c>
      <c r="P2306">
        <v>25000</v>
      </c>
      <c r="Q2306">
        <v>25000</v>
      </c>
      <c r="R2306" t="s">
        <v>3164</v>
      </c>
      <c r="S2306" t="s">
        <v>282</v>
      </c>
      <c r="T2306">
        <v>104</v>
      </c>
    </row>
    <row r="2307" spans="1:20" x14ac:dyDescent="0.25">
      <c r="A2307" t="s">
        <v>14</v>
      </c>
      <c r="B2307" t="s">
        <v>281</v>
      </c>
      <c r="C2307" t="s">
        <v>4417</v>
      </c>
      <c r="D2307" t="s">
        <v>4397</v>
      </c>
      <c r="E2307">
        <v>47300046761</v>
      </c>
      <c r="F2307" t="s">
        <v>42</v>
      </c>
      <c r="G2307" t="s">
        <v>28</v>
      </c>
      <c r="H2307" t="s">
        <v>43</v>
      </c>
      <c r="K2307" t="s">
        <v>3294</v>
      </c>
      <c r="L2307" t="s">
        <v>19</v>
      </c>
      <c r="M2307" t="s">
        <v>46</v>
      </c>
      <c r="N2307" s="2">
        <v>45627</v>
      </c>
      <c r="O2307" s="2">
        <v>45657</v>
      </c>
      <c r="P2307">
        <v>500</v>
      </c>
      <c r="Q2307">
        <v>500</v>
      </c>
      <c r="R2307" t="s">
        <v>3164</v>
      </c>
    </row>
    <row r="2308" spans="1:20" x14ac:dyDescent="0.25">
      <c r="A2308" t="s">
        <v>14</v>
      </c>
      <c r="B2308" t="s">
        <v>281</v>
      </c>
      <c r="C2308" t="s">
        <v>4406</v>
      </c>
      <c r="D2308" t="s">
        <v>4394</v>
      </c>
      <c r="E2308">
        <v>47300046761</v>
      </c>
      <c r="F2308" t="s">
        <v>42</v>
      </c>
      <c r="G2308" t="s">
        <v>28</v>
      </c>
      <c r="H2308" t="s">
        <v>43</v>
      </c>
      <c r="K2308" t="s">
        <v>3197</v>
      </c>
      <c r="L2308" t="s">
        <v>19</v>
      </c>
      <c r="M2308" t="s">
        <v>46</v>
      </c>
      <c r="N2308" s="2">
        <v>45627</v>
      </c>
      <c r="O2308" s="2">
        <v>45657</v>
      </c>
      <c r="P2308">
        <v>150650</v>
      </c>
      <c r="Q2308">
        <v>150650</v>
      </c>
      <c r="R2308" t="s">
        <v>3164</v>
      </c>
    </row>
    <row r="2309" spans="1:20" x14ac:dyDescent="0.25">
      <c r="A2309" t="s">
        <v>14</v>
      </c>
      <c r="B2309" t="s">
        <v>281</v>
      </c>
      <c r="C2309" t="s">
        <v>4371</v>
      </c>
      <c r="D2309" t="s">
        <v>4368</v>
      </c>
      <c r="E2309">
        <v>47300046761</v>
      </c>
      <c r="F2309" t="s">
        <v>42</v>
      </c>
      <c r="G2309" t="s">
        <v>28</v>
      </c>
      <c r="H2309" t="s">
        <v>43</v>
      </c>
      <c r="K2309" t="s">
        <v>2892</v>
      </c>
      <c r="L2309" t="s">
        <v>19</v>
      </c>
      <c r="M2309" t="s">
        <v>46</v>
      </c>
      <c r="N2309" s="2">
        <v>45627</v>
      </c>
      <c r="O2309" s="2">
        <v>45657</v>
      </c>
      <c r="P2309">
        <v>10000</v>
      </c>
      <c r="Q2309">
        <v>10000</v>
      </c>
      <c r="R2309" t="s">
        <v>3164</v>
      </c>
    </row>
    <row r="2310" spans="1:20" x14ac:dyDescent="0.25">
      <c r="A2310" t="s">
        <v>14</v>
      </c>
      <c r="B2310" t="s">
        <v>279</v>
      </c>
      <c r="C2310" t="s">
        <v>4387</v>
      </c>
      <c r="D2310" t="s">
        <v>4388</v>
      </c>
      <c r="E2310">
        <v>47300025708</v>
      </c>
      <c r="F2310" t="s">
        <v>35</v>
      </c>
      <c r="G2310" t="s">
        <v>36</v>
      </c>
      <c r="H2310" t="s">
        <v>4360</v>
      </c>
      <c r="K2310" t="s">
        <v>4266</v>
      </c>
      <c r="L2310" t="s">
        <v>19</v>
      </c>
      <c r="M2310" t="s">
        <v>63</v>
      </c>
      <c r="N2310" s="2">
        <v>45627</v>
      </c>
      <c r="O2310" s="2">
        <v>45657</v>
      </c>
      <c r="P2310">
        <v>50000</v>
      </c>
      <c r="Q2310">
        <v>50000</v>
      </c>
      <c r="R2310" t="s">
        <v>3476</v>
      </c>
      <c r="S2310" t="s">
        <v>280</v>
      </c>
      <c r="T2310">
        <v>208.2</v>
      </c>
    </row>
    <row r="2311" spans="1:20" x14ac:dyDescent="0.25">
      <c r="A2311" t="s">
        <v>14</v>
      </c>
      <c r="B2311" t="s">
        <v>279</v>
      </c>
      <c r="C2311" t="s">
        <v>4406</v>
      </c>
      <c r="D2311" t="s">
        <v>4394</v>
      </c>
      <c r="E2311">
        <v>47300025708</v>
      </c>
      <c r="F2311" t="s">
        <v>35</v>
      </c>
      <c r="G2311" t="s">
        <v>36</v>
      </c>
      <c r="H2311" t="s">
        <v>4360</v>
      </c>
      <c r="K2311" t="s">
        <v>3294</v>
      </c>
      <c r="L2311" t="s">
        <v>19</v>
      </c>
      <c r="M2311" t="s">
        <v>46</v>
      </c>
      <c r="N2311" s="2">
        <v>45627</v>
      </c>
      <c r="O2311" s="2">
        <v>45657</v>
      </c>
      <c r="P2311">
        <v>500</v>
      </c>
      <c r="Q2311">
        <v>500</v>
      </c>
      <c r="R2311" t="s">
        <v>3476</v>
      </c>
    </row>
    <row r="2312" spans="1:20" x14ac:dyDescent="0.25">
      <c r="A2312" t="s">
        <v>14</v>
      </c>
      <c r="B2312" t="s">
        <v>278</v>
      </c>
      <c r="C2312" t="s">
        <v>4389</v>
      </c>
      <c r="D2312" t="s">
        <v>4375</v>
      </c>
      <c r="E2312">
        <v>47300070753</v>
      </c>
      <c r="F2312" t="s">
        <v>16</v>
      </c>
      <c r="G2312" t="s">
        <v>17</v>
      </c>
      <c r="H2312" t="s">
        <v>82</v>
      </c>
      <c r="K2312" t="s">
        <v>3197</v>
      </c>
      <c r="L2312" t="s">
        <v>19</v>
      </c>
      <c r="M2312" t="s">
        <v>46</v>
      </c>
      <c r="N2312" s="2">
        <v>45627</v>
      </c>
      <c r="O2312" s="2">
        <v>45657</v>
      </c>
      <c r="P2312">
        <v>150650</v>
      </c>
      <c r="Q2312">
        <v>150650</v>
      </c>
      <c r="R2312" t="s">
        <v>3249</v>
      </c>
    </row>
    <row r="2313" spans="1:20" x14ac:dyDescent="0.25">
      <c r="A2313" t="s">
        <v>14</v>
      </c>
      <c r="B2313" t="s">
        <v>277</v>
      </c>
      <c r="C2313" t="s">
        <v>4408</v>
      </c>
      <c r="D2313" t="s">
        <v>4407</v>
      </c>
      <c r="E2313">
        <v>47300070514</v>
      </c>
      <c r="F2313" t="s">
        <v>27</v>
      </c>
      <c r="G2313" t="s">
        <v>28</v>
      </c>
      <c r="H2313" t="s">
        <v>29</v>
      </c>
      <c r="K2313" t="s">
        <v>3294</v>
      </c>
      <c r="L2313" t="s">
        <v>19</v>
      </c>
      <c r="M2313" t="s">
        <v>46</v>
      </c>
      <c r="N2313" s="2">
        <v>45627</v>
      </c>
      <c r="O2313" s="2">
        <v>45657</v>
      </c>
      <c r="P2313">
        <v>500</v>
      </c>
      <c r="Q2313">
        <v>500</v>
      </c>
      <c r="R2313" t="s">
        <v>3165</v>
      </c>
    </row>
    <row r="2314" spans="1:20" x14ac:dyDescent="0.25">
      <c r="A2314" t="s">
        <v>14</v>
      </c>
      <c r="B2314" t="s">
        <v>277</v>
      </c>
      <c r="C2314" t="s">
        <v>4387</v>
      </c>
      <c r="D2314" t="s">
        <v>4388</v>
      </c>
      <c r="E2314">
        <v>47300070514</v>
      </c>
      <c r="F2314" t="s">
        <v>27</v>
      </c>
      <c r="G2314" t="s">
        <v>28</v>
      </c>
      <c r="H2314" t="s">
        <v>29</v>
      </c>
      <c r="K2314" t="s">
        <v>3197</v>
      </c>
      <c r="L2314" t="s">
        <v>19</v>
      </c>
      <c r="M2314" t="s">
        <v>46</v>
      </c>
      <c r="N2314" s="2">
        <v>45627</v>
      </c>
      <c r="O2314" s="2">
        <v>45657</v>
      </c>
      <c r="P2314">
        <v>150650</v>
      </c>
      <c r="Q2314">
        <v>150650</v>
      </c>
      <c r="R2314" t="s">
        <v>3165</v>
      </c>
    </row>
    <row r="2315" spans="1:20" x14ac:dyDescent="0.25">
      <c r="A2315" t="s">
        <v>14</v>
      </c>
      <c r="B2315" t="s">
        <v>277</v>
      </c>
      <c r="C2315" t="s">
        <v>4376</v>
      </c>
      <c r="D2315" t="s">
        <v>4377</v>
      </c>
      <c r="E2315">
        <v>47300070514</v>
      </c>
      <c r="F2315" t="s">
        <v>27</v>
      </c>
      <c r="G2315" t="s">
        <v>28</v>
      </c>
      <c r="H2315" t="s">
        <v>29</v>
      </c>
      <c r="K2315" t="s">
        <v>2892</v>
      </c>
      <c r="L2315" t="s">
        <v>19</v>
      </c>
      <c r="M2315" t="s">
        <v>46</v>
      </c>
      <c r="N2315" s="2">
        <v>45627</v>
      </c>
      <c r="O2315" s="2">
        <v>45657</v>
      </c>
      <c r="P2315">
        <v>10000</v>
      </c>
      <c r="Q2315">
        <v>10000</v>
      </c>
      <c r="R2315" t="s">
        <v>3165</v>
      </c>
    </row>
    <row r="2316" spans="1:20" x14ac:dyDescent="0.25">
      <c r="A2316" t="s">
        <v>14</v>
      </c>
      <c r="B2316" t="s">
        <v>275</v>
      </c>
      <c r="C2316" t="s">
        <v>4417</v>
      </c>
      <c r="D2316" t="s">
        <v>4397</v>
      </c>
      <c r="E2316">
        <v>47300046688</v>
      </c>
      <c r="F2316" t="s">
        <v>16</v>
      </c>
      <c r="G2316" t="s">
        <v>17</v>
      </c>
      <c r="H2316" t="s">
        <v>154</v>
      </c>
      <c r="K2316" t="s">
        <v>4266</v>
      </c>
      <c r="L2316" t="s">
        <v>19</v>
      </c>
      <c r="M2316" t="s">
        <v>63</v>
      </c>
      <c r="N2316" s="2">
        <v>45627</v>
      </c>
      <c r="O2316" s="2">
        <v>45657</v>
      </c>
      <c r="P2316">
        <v>50000</v>
      </c>
      <c r="Q2316">
        <v>50000</v>
      </c>
      <c r="R2316" t="s">
        <v>3250</v>
      </c>
      <c r="S2316" t="s">
        <v>276</v>
      </c>
      <c r="T2316">
        <v>208.1</v>
      </c>
    </row>
    <row r="2317" spans="1:20" x14ac:dyDescent="0.25">
      <c r="A2317" t="s">
        <v>14</v>
      </c>
      <c r="B2317" t="s">
        <v>275</v>
      </c>
      <c r="C2317" t="s">
        <v>4389</v>
      </c>
      <c r="D2317" t="s">
        <v>4375</v>
      </c>
      <c r="E2317">
        <v>47300046688</v>
      </c>
      <c r="F2317" t="s">
        <v>16</v>
      </c>
      <c r="G2317" t="s">
        <v>17</v>
      </c>
      <c r="H2317" t="s">
        <v>154</v>
      </c>
      <c r="K2317" t="s">
        <v>3197</v>
      </c>
      <c r="L2317" t="s">
        <v>19</v>
      </c>
      <c r="M2317" t="s">
        <v>46</v>
      </c>
      <c r="N2317" s="2">
        <v>45627</v>
      </c>
      <c r="O2317" s="2">
        <v>45657</v>
      </c>
      <c r="P2317">
        <v>150650</v>
      </c>
      <c r="Q2317">
        <v>150650</v>
      </c>
      <c r="R2317" t="s">
        <v>3250</v>
      </c>
    </row>
    <row r="2318" spans="1:20" x14ac:dyDescent="0.25">
      <c r="A2318" t="s">
        <v>14</v>
      </c>
      <c r="B2318" t="s">
        <v>273</v>
      </c>
      <c r="C2318" t="s">
        <v>4387</v>
      </c>
      <c r="D2318" t="s">
        <v>4388</v>
      </c>
      <c r="E2318">
        <v>47300047280</v>
      </c>
      <c r="F2318" t="s">
        <v>16</v>
      </c>
      <c r="G2318" t="s">
        <v>28</v>
      </c>
      <c r="H2318" t="s">
        <v>274</v>
      </c>
      <c r="K2318" t="s">
        <v>3277</v>
      </c>
      <c r="L2318" t="s">
        <v>47</v>
      </c>
      <c r="N2318" s="2">
        <v>45597</v>
      </c>
      <c r="O2318" s="2">
        <v>45626</v>
      </c>
      <c r="P2318">
        <v>500</v>
      </c>
      <c r="Q2318">
        <v>500</v>
      </c>
      <c r="R2318" t="s">
        <v>3187</v>
      </c>
    </row>
    <row r="2319" spans="1:20" x14ac:dyDescent="0.25">
      <c r="A2319" t="s">
        <v>14</v>
      </c>
      <c r="B2319" t="s">
        <v>273</v>
      </c>
      <c r="C2319" t="s">
        <v>4376</v>
      </c>
      <c r="D2319" t="s">
        <v>4377</v>
      </c>
      <c r="E2319">
        <v>47300047280</v>
      </c>
      <c r="F2319" t="s">
        <v>16</v>
      </c>
      <c r="G2319" t="s">
        <v>28</v>
      </c>
      <c r="H2319" t="s">
        <v>274</v>
      </c>
      <c r="K2319" t="s">
        <v>3188</v>
      </c>
      <c r="L2319" t="s">
        <v>47</v>
      </c>
      <c r="N2319" s="2">
        <v>45597</v>
      </c>
      <c r="O2319" s="2">
        <v>45626</v>
      </c>
      <c r="P2319">
        <v>150650</v>
      </c>
      <c r="Q2319">
        <v>150650</v>
      </c>
      <c r="R2319" t="s">
        <v>3187</v>
      </c>
    </row>
    <row r="2320" spans="1:20" x14ac:dyDescent="0.25">
      <c r="A2320" t="s">
        <v>14</v>
      </c>
      <c r="B2320" t="s">
        <v>271</v>
      </c>
      <c r="C2320" t="s">
        <v>4386</v>
      </c>
      <c r="D2320" t="s">
        <v>4368</v>
      </c>
      <c r="E2320">
        <v>47300046191</v>
      </c>
      <c r="F2320" t="s">
        <v>16</v>
      </c>
      <c r="G2320" t="s">
        <v>28</v>
      </c>
      <c r="H2320" t="s">
        <v>119</v>
      </c>
      <c r="I2320" t="s">
        <v>2799</v>
      </c>
      <c r="J2320">
        <v>8033011626</v>
      </c>
      <c r="K2320" t="s">
        <v>4266</v>
      </c>
      <c r="L2320" t="s">
        <v>19</v>
      </c>
      <c r="M2320" t="s">
        <v>63</v>
      </c>
      <c r="N2320" s="2">
        <v>45627</v>
      </c>
      <c r="O2320" s="2">
        <v>45657</v>
      </c>
      <c r="P2320">
        <v>30000</v>
      </c>
      <c r="Q2320">
        <v>30000</v>
      </c>
      <c r="R2320" t="s">
        <v>4327</v>
      </c>
      <c r="S2320" t="s">
        <v>272</v>
      </c>
      <c r="T2320">
        <v>124.9</v>
      </c>
    </row>
    <row r="2321" spans="1:20" x14ac:dyDescent="0.25">
      <c r="A2321" t="s">
        <v>14</v>
      </c>
      <c r="B2321" t="s">
        <v>269</v>
      </c>
      <c r="C2321" t="s">
        <v>3300</v>
      </c>
      <c r="D2321" t="s">
        <v>3299</v>
      </c>
      <c r="E2321">
        <v>47300026094</v>
      </c>
      <c r="F2321" t="s">
        <v>35</v>
      </c>
      <c r="G2321" t="s">
        <v>36</v>
      </c>
      <c r="H2321" t="s">
        <v>4359</v>
      </c>
      <c r="K2321" t="s">
        <v>4266</v>
      </c>
      <c r="L2321" t="s">
        <v>19</v>
      </c>
      <c r="M2321" t="s">
        <v>63</v>
      </c>
      <c r="N2321" s="2">
        <v>45627</v>
      </c>
      <c r="O2321" s="2">
        <v>45657</v>
      </c>
      <c r="P2321">
        <v>200000</v>
      </c>
      <c r="Q2321">
        <v>200000</v>
      </c>
      <c r="R2321" t="s">
        <v>3477</v>
      </c>
      <c r="S2321" t="s">
        <v>270</v>
      </c>
      <c r="T2321">
        <v>832.6</v>
      </c>
    </row>
    <row r="2322" spans="1:20" x14ac:dyDescent="0.25">
      <c r="A2322" t="s">
        <v>14</v>
      </c>
      <c r="B2322" t="s">
        <v>269</v>
      </c>
      <c r="C2322" t="s">
        <v>4367</v>
      </c>
      <c r="D2322" t="s">
        <v>4368</v>
      </c>
      <c r="E2322">
        <v>47300026094</v>
      </c>
      <c r="F2322" t="s">
        <v>35</v>
      </c>
      <c r="G2322" t="s">
        <v>36</v>
      </c>
      <c r="H2322" t="s">
        <v>4359</v>
      </c>
      <c r="K2322" t="s">
        <v>3294</v>
      </c>
      <c r="L2322" t="s">
        <v>19</v>
      </c>
      <c r="M2322" t="s">
        <v>46</v>
      </c>
      <c r="N2322" s="2">
        <v>45627</v>
      </c>
      <c r="O2322" s="2">
        <v>45657</v>
      </c>
      <c r="P2322">
        <v>500</v>
      </c>
      <c r="Q2322">
        <v>500</v>
      </c>
      <c r="R2322" t="s">
        <v>3477</v>
      </c>
    </row>
    <row r="2323" spans="1:20" x14ac:dyDescent="0.25">
      <c r="A2323" t="s">
        <v>14</v>
      </c>
      <c r="B2323" t="s">
        <v>267</v>
      </c>
      <c r="C2323" t="s">
        <v>4376</v>
      </c>
      <c r="D2323" t="s">
        <v>4377</v>
      </c>
      <c r="E2323">
        <v>47300070555</v>
      </c>
      <c r="F2323" t="s">
        <v>35</v>
      </c>
      <c r="G2323" t="s">
        <v>35</v>
      </c>
      <c r="H2323" t="s">
        <v>116</v>
      </c>
      <c r="K2323" t="s">
        <v>4266</v>
      </c>
      <c r="L2323" t="s">
        <v>19</v>
      </c>
      <c r="M2323" t="s">
        <v>63</v>
      </c>
      <c r="N2323" s="2">
        <v>45627</v>
      </c>
      <c r="O2323" s="2">
        <v>45657</v>
      </c>
      <c r="P2323">
        <v>50000</v>
      </c>
      <c r="Q2323">
        <v>50000</v>
      </c>
      <c r="R2323" t="s">
        <v>3478</v>
      </c>
      <c r="S2323" t="s">
        <v>268</v>
      </c>
      <c r="T2323">
        <v>208.1</v>
      </c>
    </row>
    <row r="2324" spans="1:20" x14ac:dyDescent="0.25">
      <c r="A2324" t="s">
        <v>14</v>
      </c>
      <c r="B2324" t="s">
        <v>267</v>
      </c>
      <c r="C2324" t="s">
        <v>4386</v>
      </c>
      <c r="D2324" t="s">
        <v>4368</v>
      </c>
      <c r="E2324">
        <v>47300070555</v>
      </c>
      <c r="F2324" t="s">
        <v>35</v>
      </c>
      <c r="G2324" t="s">
        <v>35</v>
      </c>
      <c r="H2324" t="s">
        <v>116</v>
      </c>
      <c r="K2324" t="s">
        <v>3294</v>
      </c>
      <c r="L2324" t="s">
        <v>19</v>
      </c>
      <c r="M2324" t="s">
        <v>46</v>
      </c>
      <c r="N2324" s="2">
        <v>45627</v>
      </c>
      <c r="O2324" s="2">
        <v>45657</v>
      </c>
      <c r="P2324">
        <v>500</v>
      </c>
      <c r="Q2324">
        <v>500</v>
      </c>
      <c r="R2324" t="s">
        <v>3478</v>
      </c>
    </row>
    <row r="2325" spans="1:20" x14ac:dyDescent="0.25">
      <c r="A2325" t="s">
        <v>14</v>
      </c>
      <c r="B2325" t="s">
        <v>265</v>
      </c>
      <c r="C2325" t="s">
        <v>3300</v>
      </c>
      <c r="D2325" t="s">
        <v>3299</v>
      </c>
      <c r="E2325">
        <v>47300025690</v>
      </c>
      <c r="F2325" t="s">
        <v>35</v>
      </c>
      <c r="G2325" t="s">
        <v>36</v>
      </c>
      <c r="H2325" t="s">
        <v>37</v>
      </c>
      <c r="K2325" t="s">
        <v>4266</v>
      </c>
      <c r="L2325" t="s">
        <v>19</v>
      </c>
      <c r="M2325" t="s">
        <v>63</v>
      </c>
      <c r="N2325" s="2">
        <v>45627</v>
      </c>
      <c r="O2325" s="2">
        <v>45657</v>
      </c>
      <c r="P2325">
        <v>100000</v>
      </c>
      <c r="Q2325">
        <v>100000</v>
      </c>
      <c r="R2325" t="s">
        <v>3479</v>
      </c>
      <c r="S2325" t="s">
        <v>266</v>
      </c>
      <c r="T2325">
        <v>416.3</v>
      </c>
    </row>
    <row r="2326" spans="1:20" x14ac:dyDescent="0.25">
      <c r="A2326" t="s">
        <v>14</v>
      </c>
      <c r="B2326" t="s">
        <v>265</v>
      </c>
      <c r="C2326" t="s">
        <v>4367</v>
      </c>
      <c r="D2326" t="s">
        <v>4368</v>
      </c>
      <c r="E2326">
        <v>47300025690</v>
      </c>
      <c r="F2326" t="s">
        <v>35</v>
      </c>
      <c r="G2326" t="s">
        <v>36</v>
      </c>
      <c r="H2326" t="s">
        <v>37</v>
      </c>
      <c r="K2326" t="s">
        <v>3294</v>
      </c>
      <c r="L2326" t="s">
        <v>19</v>
      </c>
      <c r="M2326" t="s">
        <v>46</v>
      </c>
      <c r="N2326" s="2">
        <v>45627</v>
      </c>
      <c r="O2326" s="2">
        <v>45657</v>
      </c>
      <c r="P2326">
        <v>500</v>
      </c>
      <c r="Q2326">
        <v>500</v>
      </c>
      <c r="R2326" t="s">
        <v>3479</v>
      </c>
    </row>
    <row r="2327" spans="1:20" x14ac:dyDescent="0.25">
      <c r="A2327" t="s">
        <v>14</v>
      </c>
      <c r="B2327" t="s">
        <v>263</v>
      </c>
      <c r="C2327" t="s">
        <v>4420</v>
      </c>
      <c r="D2327" t="s">
        <v>4394</v>
      </c>
      <c r="E2327">
        <v>47300046720</v>
      </c>
      <c r="F2327" t="s">
        <v>16</v>
      </c>
      <c r="G2327" t="s">
        <v>28</v>
      </c>
      <c r="H2327" t="s">
        <v>143</v>
      </c>
      <c r="K2327" t="s">
        <v>4266</v>
      </c>
      <c r="L2327" t="s">
        <v>19</v>
      </c>
      <c r="M2327" t="s">
        <v>63</v>
      </c>
      <c r="N2327" s="2">
        <v>45627</v>
      </c>
      <c r="O2327" s="2">
        <v>45657</v>
      </c>
      <c r="P2327">
        <v>25000</v>
      </c>
      <c r="Q2327">
        <v>25000</v>
      </c>
      <c r="R2327" t="s">
        <v>4328</v>
      </c>
      <c r="S2327" t="s">
        <v>264</v>
      </c>
      <c r="T2327">
        <v>104.1</v>
      </c>
    </row>
    <row r="2328" spans="1:20" x14ac:dyDescent="0.25">
      <c r="A2328" t="s">
        <v>14</v>
      </c>
      <c r="B2328" t="s">
        <v>262</v>
      </c>
      <c r="C2328" t="s">
        <v>4414</v>
      </c>
      <c r="D2328" t="s">
        <v>4401</v>
      </c>
      <c r="E2328">
        <v>47300046605</v>
      </c>
      <c r="F2328" t="s">
        <v>16</v>
      </c>
      <c r="G2328" t="s">
        <v>17</v>
      </c>
      <c r="H2328" t="s">
        <v>49</v>
      </c>
      <c r="K2328" t="s">
        <v>3518</v>
      </c>
      <c r="L2328" t="s">
        <v>47</v>
      </c>
      <c r="N2328" s="2">
        <v>45631</v>
      </c>
      <c r="O2328" s="2">
        <v>45631</v>
      </c>
      <c r="P2328">
        <v>128025.01</v>
      </c>
      <c r="Q2328">
        <v>128025.01</v>
      </c>
      <c r="R2328" t="s">
        <v>3517</v>
      </c>
    </row>
    <row r="2329" spans="1:20" x14ac:dyDescent="0.25">
      <c r="A2329" t="s">
        <v>14</v>
      </c>
      <c r="B2329" t="s">
        <v>261</v>
      </c>
      <c r="C2329" t="s">
        <v>4384</v>
      </c>
      <c r="D2329" t="s">
        <v>4385</v>
      </c>
      <c r="E2329">
        <v>47300070704</v>
      </c>
      <c r="F2329" t="s">
        <v>16</v>
      </c>
      <c r="G2329" t="s">
        <v>28</v>
      </c>
      <c r="H2329" t="s">
        <v>146</v>
      </c>
      <c r="K2329" t="s">
        <v>3518</v>
      </c>
      <c r="L2329" t="s">
        <v>47</v>
      </c>
      <c r="N2329" s="2">
        <v>45631</v>
      </c>
      <c r="O2329" s="2">
        <v>45631</v>
      </c>
      <c r="P2329">
        <v>128025.01</v>
      </c>
      <c r="Q2329">
        <v>128025.01</v>
      </c>
      <c r="R2329" t="s">
        <v>3166</v>
      </c>
    </row>
    <row r="2330" spans="1:20" x14ac:dyDescent="0.25">
      <c r="A2330" t="s">
        <v>14</v>
      </c>
      <c r="B2330" t="s">
        <v>261</v>
      </c>
      <c r="C2330" t="s">
        <v>4387</v>
      </c>
      <c r="D2330" t="s">
        <v>4388</v>
      </c>
      <c r="E2330">
        <v>47300070704</v>
      </c>
      <c r="F2330" t="s">
        <v>16</v>
      </c>
      <c r="G2330" t="s">
        <v>28</v>
      </c>
      <c r="H2330" t="s">
        <v>146</v>
      </c>
      <c r="K2330" t="s">
        <v>3197</v>
      </c>
      <c r="L2330" t="s">
        <v>19</v>
      </c>
      <c r="M2330" t="s">
        <v>46</v>
      </c>
      <c r="N2330" s="2">
        <v>45627</v>
      </c>
      <c r="O2330" s="2">
        <v>45657</v>
      </c>
      <c r="P2330">
        <v>150650</v>
      </c>
      <c r="Q2330">
        <v>150650</v>
      </c>
      <c r="R2330" t="s">
        <v>3166</v>
      </c>
    </row>
    <row r="2331" spans="1:20" x14ac:dyDescent="0.25">
      <c r="A2331" t="s">
        <v>14</v>
      </c>
      <c r="B2331" t="s">
        <v>261</v>
      </c>
      <c r="C2331" t="s">
        <v>4384</v>
      </c>
      <c r="D2331" t="s">
        <v>4385</v>
      </c>
      <c r="E2331">
        <v>47300070704</v>
      </c>
      <c r="F2331" t="s">
        <v>16</v>
      </c>
      <c r="G2331" t="s">
        <v>28</v>
      </c>
      <c r="H2331" t="s">
        <v>146</v>
      </c>
      <c r="K2331" t="s">
        <v>2892</v>
      </c>
      <c r="L2331" t="s">
        <v>19</v>
      </c>
      <c r="M2331" t="s">
        <v>46</v>
      </c>
      <c r="N2331" s="2">
        <v>45627</v>
      </c>
      <c r="O2331" s="2">
        <v>45657</v>
      </c>
      <c r="P2331">
        <v>10000</v>
      </c>
      <c r="Q2331">
        <v>10000</v>
      </c>
      <c r="R2331" t="s">
        <v>3166</v>
      </c>
    </row>
    <row r="2332" spans="1:20" x14ac:dyDescent="0.25">
      <c r="A2332" t="s">
        <v>14</v>
      </c>
      <c r="B2332" t="s">
        <v>259</v>
      </c>
      <c r="C2332" t="s">
        <v>4400</v>
      </c>
      <c r="D2332" t="s">
        <v>4401</v>
      </c>
      <c r="E2332">
        <v>47300070522</v>
      </c>
      <c r="F2332" t="s">
        <v>16</v>
      </c>
      <c r="G2332" t="s">
        <v>17</v>
      </c>
      <c r="H2332" t="s">
        <v>18</v>
      </c>
      <c r="K2332" t="s">
        <v>3795</v>
      </c>
      <c r="L2332" t="s">
        <v>19</v>
      </c>
      <c r="M2332" t="s">
        <v>20</v>
      </c>
      <c r="P2332">
        <v>10000</v>
      </c>
      <c r="Q2332">
        <v>10000</v>
      </c>
      <c r="R2332" t="s">
        <v>3519</v>
      </c>
      <c r="S2332" t="s">
        <v>260</v>
      </c>
      <c r="T2332">
        <v>41.6</v>
      </c>
    </row>
    <row r="2333" spans="1:20" x14ac:dyDescent="0.25">
      <c r="A2333" t="s">
        <v>14</v>
      </c>
      <c r="B2333" t="s">
        <v>259</v>
      </c>
      <c r="C2333" t="s">
        <v>4398</v>
      </c>
      <c r="D2333" t="s">
        <v>4399</v>
      </c>
      <c r="E2333">
        <v>47300070522</v>
      </c>
      <c r="F2333" t="s">
        <v>16</v>
      </c>
      <c r="G2333" t="s">
        <v>17</v>
      </c>
      <c r="H2333" t="s">
        <v>18</v>
      </c>
      <c r="K2333" t="s">
        <v>3518</v>
      </c>
      <c r="L2333" t="s">
        <v>47</v>
      </c>
      <c r="N2333" s="2">
        <v>45631</v>
      </c>
      <c r="O2333" s="2">
        <v>45631</v>
      </c>
      <c r="P2333">
        <v>128025.01</v>
      </c>
      <c r="Q2333">
        <v>128025.01</v>
      </c>
      <c r="R2333" t="s">
        <v>3519</v>
      </c>
    </row>
    <row r="2334" spans="1:20" x14ac:dyDescent="0.25">
      <c r="A2334" t="s">
        <v>14</v>
      </c>
      <c r="B2334" t="s">
        <v>258</v>
      </c>
      <c r="C2334" t="s">
        <v>4402</v>
      </c>
      <c r="D2334" t="s">
        <v>4403</v>
      </c>
      <c r="E2334">
        <v>47300046399</v>
      </c>
      <c r="F2334" t="s">
        <v>16</v>
      </c>
      <c r="G2334" t="s">
        <v>28</v>
      </c>
      <c r="H2334" t="s">
        <v>122</v>
      </c>
      <c r="K2334" t="s">
        <v>3518</v>
      </c>
      <c r="L2334" t="s">
        <v>47</v>
      </c>
      <c r="N2334" s="2">
        <v>45631</v>
      </c>
      <c r="O2334" s="2">
        <v>45631</v>
      </c>
      <c r="P2334">
        <v>128025.01</v>
      </c>
      <c r="Q2334">
        <v>128025.01</v>
      </c>
      <c r="R2334" t="s">
        <v>3520</v>
      </c>
    </row>
    <row r="2335" spans="1:20" x14ac:dyDescent="0.25">
      <c r="A2335" t="s">
        <v>14</v>
      </c>
      <c r="B2335" t="s">
        <v>257</v>
      </c>
      <c r="C2335" t="s">
        <v>4414</v>
      </c>
      <c r="D2335" t="s">
        <v>4401</v>
      </c>
      <c r="E2335">
        <v>47300046720</v>
      </c>
      <c r="F2335" t="s">
        <v>16</v>
      </c>
      <c r="G2335" t="s">
        <v>28</v>
      </c>
      <c r="H2335" t="s">
        <v>143</v>
      </c>
      <c r="K2335" t="s">
        <v>3518</v>
      </c>
      <c r="L2335" t="s">
        <v>47</v>
      </c>
      <c r="N2335" s="2">
        <v>45631</v>
      </c>
      <c r="O2335" s="2">
        <v>45631</v>
      </c>
      <c r="P2335">
        <v>128025.01</v>
      </c>
      <c r="Q2335">
        <v>128025.01</v>
      </c>
      <c r="R2335" t="s">
        <v>3521</v>
      </c>
    </row>
    <row r="2336" spans="1:20" x14ac:dyDescent="0.25">
      <c r="A2336" t="s">
        <v>14</v>
      </c>
      <c r="B2336" t="s">
        <v>256</v>
      </c>
      <c r="C2336" t="s">
        <v>4387</v>
      </c>
      <c r="D2336" t="s">
        <v>4388</v>
      </c>
      <c r="E2336">
        <v>47300047066</v>
      </c>
      <c r="F2336" t="s">
        <v>16</v>
      </c>
      <c r="G2336" t="s">
        <v>28</v>
      </c>
      <c r="H2336" t="s">
        <v>57</v>
      </c>
      <c r="K2336" t="s">
        <v>3518</v>
      </c>
      <c r="L2336" t="s">
        <v>47</v>
      </c>
      <c r="N2336" s="2">
        <v>45631</v>
      </c>
      <c r="O2336" s="2">
        <v>45631</v>
      </c>
      <c r="P2336">
        <v>125954.01</v>
      </c>
      <c r="Q2336">
        <v>125954.01</v>
      </c>
      <c r="R2336" t="s">
        <v>3522</v>
      </c>
    </row>
    <row r="2337" spans="1:20" x14ac:dyDescent="0.25">
      <c r="A2337" t="s">
        <v>14</v>
      </c>
      <c r="B2337" t="s">
        <v>255</v>
      </c>
      <c r="C2337" t="s">
        <v>4384</v>
      </c>
      <c r="D2337" t="s">
        <v>4385</v>
      </c>
      <c r="E2337">
        <v>47300070753</v>
      </c>
      <c r="F2337" t="s">
        <v>16</v>
      </c>
      <c r="G2337" t="s">
        <v>17</v>
      </c>
      <c r="H2337" t="s">
        <v>82</v>
      </c>
      <c r="K2337" t="s">
        <v>3518</v>
      </c>
      <c r="L2337" t="s">
        <v>47</v>
      </c>
      <c r="N2337" s="2">
        <v>45631</v>
      </c>
      <c r="O2337" s="2">
        <v>45631</v>
      </c>
      <c r="P2337">
        <v>125954.01</v>
      </c>
      <c r="Q2337">
        <v>125954.01</v>
      </c>
      <c r="R2337" t="s">
        <v>3523</v>
      </c>
    </row>
    <row r="2338" spans="1:20" x14ac:dyDescent="0.25">
      <c r="A2338" t="s">
        <v>14</v>
      </c>
      <c r="B2338" t="s">
        <v>254</v>
      </c>
      <c r="C2338" t="s">
        <v>4412</v>
      </c>
      <c r="D2338" t="s">
        <v>4424</v>
      </c>
      <c r="E2338">
        <v>47300046191</v>
      </c>
      <c r="F2338" t="s">
        <v>16</v>
      </c>
      <c r="G2338" t="s">
        <v>28</v>
      </c>
      <c r="H2338" t="s">
        <v>119</v>
      </c>
      <c r="I2338" t="s">
        <v>2799</v>
      </c>
      <c r="J2338">
        <v>8033011626</v>
      </c>
      <c r="K2338" t="s">
        <v>3518</v>
      </c>
      <c r="L2338" t="s">
        <v>47</v>
      </c>
      <c r="N2338" s="2">
        <v>45631</v>
      </c>
      <c r="O2338" s="2">
        <v>45631</v>
      </c>
      <c r="P2338">
        <v>128025.01</v>
      </c>
      <c r="Q2338">
        <v>128025.01</v>
      </c>
      <c r="R2338" t="s">
        <v>3524</v>
      </c>
    </row>
    <row r="2339" spans="1:20" x14ac:dyDescent="0.25">
      <c r="A2339" t="s">
        <v>14</v>
      </c>
      <c r="B2339" t="s">
        <v>253</v>
      </c>
      <c r="C2339" t="s">
        <v>4420</v>
      </c>
      <c r="D2339" t="s">
        <v>4394</v>
      </c>
      <c r="E2339">
        <v>47300046738</v>
      </c>
      <c r="F2339" t="s">
        <v>16</v>
      </c>
      <c r="G2339" t="s">
        <v>28</v>
      </c>
      <c r="H2339" t="s">
        <v>202</v>
      </c>
      <c r="K2339" t="s">
        <v>3518</v>
      </c>
      <c r="L2339" t="s">
        <v>47</v>
      </c>
      <c r="N2339" s="2">
        <v>45631</v>
      </c>
      <c r="O2339" s="2">
        <v>45631</v>
      </c>
      <c r="P2339">
        <v>128025.01</v>
      </c>
      <c r="Q2339">
        <v>128025.01</v>
      </c>
      <c r="R2339" t="s">
        <v>3525</v>
      </c>
    </row>
    <row r="2340" spans="1:20" x14ac:dyDescent="0.25">
      <c r="A2340" t="s">
        <v>14</v>
      </c>
      <c r="B2340" t="s">
        <v>251</v>
      </c>
      <c r="C2340" t="s">
        <v>4408</v>
      </c>
      <c r="D2340" t="s">
        <v>4407</v>
      </c>
      <c r="E2340">
        <v>47300046647</v>
      </c>
      <c r="F2340" t="s">
        <v>16</v>
      </c>
      <c r="G2340" t="s">
        <v>87</v>
      </c>
      <c r="H2340" t="s">
        <v>100</v>
      </c>
      <c r="K2340" t="s">
        <v>4266</v>
      </c>
      <c r="L2340" t="s">
        <v>19</v>
      </c>
      <c r="M2340" t="s">
        <v>63</v>
      </c>
      <c r="N2340" s="2">
        <v>45627</v>
      </c>
      <c r="O2340" s="2">
        <v>45657</v>
      </c>
      <c r="P2340">
        <v>100000</v>
      </c>
      <c r="Q2340">
        <v>100000</v>
      </c>
      <c r="R2340" t="s">
        <v>3480</v>
      </c>
      <c r="S2340" t="s">
        <v>252</v>
      </c>
      <c r="T2340">
        <v>416.3</v>
      </c>
    </row>
    <row r="2341" spans="1:20" x14ac:dyDescent="0.25">
      <c r="A2341" t="s">
        <v>14</v>
      </c>
      <c r="B2341" t="s">
        <v>251</v>
      </c>
      <c r="C2341" t="s">
        <v>4382</v>
      </c>
      <c r="D2341" t="s">
        <v>4383</v>
      </c>
      <c r="E2341">
        <v>47300046647</v>
      </c>
      <c r="F2341" t="s">
        <v>16</v>
      </c>
      <c r="G2341" t="s">
        <v>87</v>
      </c>
      <c r="H2341" t="s">
        <v>100</v>
      </c>
      <c r="K2341" t="s">
        <v>3518</v>
      </c>
      <c r="L2341" t="s">
        <v>47</v>
      </c>
      <c r="N2341" s="2">
        <v>45631</v>
      </c>
      <c r="O2341" s="2">
        <v>45631</v>
      </c>
      <c r="P2341">
        <v>128025.01</v>
      </c>
      <c r="Q2341">
        <v>128025.01</v>
      </c>
      <c r="R2341" t="s">
        <v>3480</v>
      </c>
    </row>
    <row r="2342" spans="1:20" x14ac:dyDescent="0.25">
      <c r="A2342" t="s">
        <v>14</v>
      </c>
      <c r="B2342" t="s">
        <v>251</v>
      </c>
      <c r="C2342" t="s">
        <v>4376</v>
      </c>
      <c r="D2342" t="s">
        <v>4377</v>
      </c>
      <c r="E2342">
        <v>47300046647</v>
      </c>
      <c r="F2342" t="s">
        <v>16</v>
      </c>
      <c r="G2342" t="s">
        <v>87</v>
      </c>
      <c r="H2342" t="s">
        <v>100</v>
      </c>
      <c r="K2342" t="s">
        <v>3294</v>
      </c>
      <c r="L2342" t="s">
        <v>19</v>
      </c>
      <c r="M2342" t="s">
        <v>46</v>
      </c>
      <c r="N2342" s="2">
        <v>45627</v>
      </c>
      <c r="O2342" s="2">
        <v>45657</v>
      </c>
      <c r="P2342">
        <v>500</v>
      </c>
      <c r="Q2342">
        <v>500</v>
      </c>
      <c r="R2342" t="s">
        <v>3480</v>
      </c>
    </row>
    <row r="2343" spans="1:20" x14ac:dyDescent="0.25">
      <c r="A2343" t="s">
        <v>14</v>
      </c>
      <c r="B2343" t="s">
        <v>249</v>
      </c>
      <c r="C2343" t="s">
        <v>4378</v>
      </c>
      <c r="D2343" t="s">
        <v>4379</v>
      </c>
      <c r="E2343">
        <v>47300046761</v>
      </c>
      <c r="F2343" t="s">
        <v>42</v>
      </c>
      <c r="G2343" t="s">
        <v>28</v>
      </c>
      <c r="H2343" t="s">
        <v>43</v>
      </c>
      <c r="K2343" t="s">
        <v>3795</v>
      </c>
      <c r="L2343" t="s">
        <v>19</v>
      </c>
      <c r="M2343" t="s">
        <v>20</v>
      </c>
      <c r="P2343">
        <v>50000</v>
      </c>
      <c r="Q2343">
        <v>50000</v>
      </c>
      <c r="R2343" t="s">
        <v>3526</v>
      </c>
      <c r="S2343" t="s">
        <v>250</v>
      </c>
      <c r="T2343">
        <v>208.2</v>
      </c>
    </row>
    <row r="2344" spans="1:20" x14ac:dyDescent="0.25">
      <c r="A2344" t="s">
        <v>14</v>
      </c>
      <c r="B2344" t="s">
        <v>249</v>
      </c>
      <c r="C2344" t="s">
        <v>4400</v>
      </c>
      <c r="D2344" t="s">
        <v>4401</v>
      </c>
      <c r="E2344">
        <v>47300046761</v>
      </c>
      <c r="F2344" t="s">
        <v>42</v>
      </c>
      <c r="G2344" t="s">
        <v>28</v>
      </c>
      <c r="H2344" t="s">
        <v>43</v>
      </c>
      <c r="K2344" t="s">
        <v>3518</v>
      </c>
      <c r="L2344" t="s">
        <v>47</v>
      </c>
      <c r="N2344" s="2">
        <v>45631</v>
      </c>
      <c r="O2344" s="2">
        <v>45631</v>
      </c>
      <c r="P2344">
        <v>125954.01</v>
      </c>
      <c r="Q2344">
        <v>125954.01</v>
      </c>
      <c r="R2344" t="s">
        <v>3526</v>
      </c>
    </row>
    <row r="2345" spans="1:20" x14ac:dyDescent="0.25">
      <c r="A2345" t="s">
        <v>14</v>
      </c>
      <c r="B2345" t="s">
        <v>248</v>
      </c>
      <c r="C2345" t="s">
        <v>4364</v>
      </c>
      <c r="D2345" t="s">
        <v>4358</v>
      </c>
      <c r="E2345">
        <v>47300046746</v>
      </c>
      <c r="F2345" t="s">
        <v>16</v>
      </c>
      <c r="G2345" t="s">
        <v>28</v>
      </c>
      <c r="H2345" t="s">
        <v>32</v>
      </c>
      <c r="K2345" t="s">
        <v>3518</v>
      </c>
      <c r="L2345" t="s">
        <v>47</v>
      </c>
      <c r="N2345" s="2">
        <v>45631</v>
      </c>
      <c r="O2345" s="2">
        <v>45631</v>
      </c>
      <c r="P2345">
        <v>125954.01</v>
      </c>
      <c r="Q2345">
        <v>125954.01</v>
      </c>
      <c r="R2345" t="s">
        <v>3167</v>
      </c>
    </row>
    <row r="2346" spans="1:20" x14ac:dyDescent="0.25">
      <c r="A2346" t="s">
        <v>14</v>
      </c>
      <c r="B2346" t="s">
        <v>248</v>
      </c>
      <c r="C2346" t="s">
        <v>4380</v>
      </c>
      <c r="D2346" t="s">
        <v>4381</v>
      </c>
      <c r="E2346">
        <v>47300046746</v>
      </c>
      <c r="F2346" t="s">
        <v>16</v>
      </c>
      <c r="G2346" t="s">
        <v>28</v>
      </c>
      <c r="H2346" t="s">
        <v>32</v>
      </c>
      <c r="K2346" t="s">
        <v>3294</v>
      </c>
      <c r="L2346" t="s">
        <v>19</v>
      </c>
      <c r="M2346" t="s">
        <v>46</v>
      </c>
      <c r="N2346" s="2">
        <v>45627</v>
      </c>
      <c r="O2346" s="2">
        <v>45657</v>
      </c>
      <c r="P2346">
        <v>500</v>
      </c>
      <c r="Q2346">
        <v>500</v>
      </c>
      <c r="R2346" t="s">
        <v>3167</v>
      </c>
    </row>
    <row r="2347" spans="1:20" x14ac:dyDescent="0.25">
      <c r="A2347" t="s">
        <v>14</v>
      </c>
      <c r="B2347" t="s">
        <v>248</v>
      </c>
      <c r="C2347" t="s">
        <v>4364</v>
      </c>
      <c r="D2347" t="s">
        <v>4358</v>
      </c>
      <c r="E2347">
        <v>47300046746</v>
      </c>
      <c r="F2347" t="s">
        <v>16</v>
      </c>
      <c r="G2347" t="s">
        <v>28</v>
      </c>
      <c r="H2347" t="s">
        <v>32</v>
      </c>
      <c r="K2347" t="s">
        <v>2892</v>
      </c>
      <c r="L2347" t="s">
        <v>19</v>
      </c>
      <c r="M2347" t="s">
        <v>46</v>
      </c>
      <c r="N2347" s="2">
        <v>45627</v>
      </c>
      <c r="O2347" s="2">
        <v>45657</v>
      </c>
      <c r="P2347">
        <v>10000</v>
      </c>
      <c r="Q2347">
        <v>10000</v>
      </c>
      <c r="R2347" t="s">
        <v>3167</v>
      </c>
    </row>
    <row r="2348" spans="1:20" x14ac:dyDescent="0.25">
      <c r="A2348" t="s">
        <v>14</v>
      </c>
      <c r="B2348" t="s">
        <v>247</v>
      </c>
      <c r="C2348" t="s">
        <v>4402</v>
      </c>
      <c r="D2348" t="s">
        <v>4403</v>
      </c>
      <c r="E2348">
        <v>47300070845</v>
      </c>
      <c r="F2348" t="s">
        <v>16</v>
      </c>
      <c r="G2348" t="s">
        <v>23</v>
      </c>
      <c r="H2348" t="s">
        <v>157</v>
      </c>
      <c r="K2348" t="s">
        <v>3518</v>
      </c>
      <c r="L2348" t="s">
        <v>47</v>
      </c>
      <c r="N2348" s="2">
        <v>45631</v>
      </c>
      <c r="O2348" s="2">
        <v>45631</v>
      </c>
      <c r="P2348">
        <v>128025.01</v>
      </c>
      <c r="Q2348">
        <v>128025.01</v>
      </c>
      <c r="R2348" t="s">
        <v>3168</v>
      </c>
    </row>
    <row r="2349" spans="1:20" x14ac:dyDescent="0.25">
      <c r="A2349" t="s">
        <v>14</v>
      </c>
      <c r="B2349" t="s">
        <v>247</v>
      </c>
      <c r="C2349" t="s">
        <v>4414</v>
      </c>
      <c r="D2349" t="s">
        <v>4401</v>
      </c>
      <c r="E2349">
        <v>47300070845</v>
      </c>
      <c r="F2349" t="s">
        <v>16</v>
      </c>
      <c r="G2349" t="s">
        <v>23</v>
      </c>
      <c r="H2349" t="s">
        <v>157</v>
      </c>
      <c r="K2349" t="s">
        <v>2892</v>
      </c>
      <c r="L2349" t="s">
        <v>19</v>
      </c>
      <c r="M2349" t="s">
        <v>46</v>
      </c>
      <c r="N2349" s="2">
        <v>45627</v>
      </c>
      <c r="O2349" s="2">
        <v>45657</v>
      </c>
      <c r="P2349">
        <v>10000</v>
      </c>
      <c r="Q2349">
        <v>10000</v>
      </c>
      <c r="R2349" t="s">
        <v>3168</v>
      </c>
    </row>
    <row r="2350" spans="1:20" x14ac:dyDescent="0.25">
      <c r="A2350" t="s">
        <v>14</v>
      </c>
      <c r="B2350" t="s">
        <v>246</v>
      </c>
      <c r="C2350" t="s">
        <v>4364</v>
      </c>
      <c r="D2350" t="s">
        <v>4358</v>
      </c>
      <c r="E2350">
        <v>47300046779</v>
      </c>
      <c r="F2350" t="s">
        <v>42</v>
      </c>
      <c r="G2350" t="s">
        <v>28</v>
      </c>
      <c r="H2350" t="s">
        <v>199</v>
      </c>
      <c r="K2350" t="s">
        <v>3518</v>
      </c>
      <c r="L2350" t="s">
        <v>47</v>
      </c>
      <c r="N2350" s="2">
        <v>45631</v>
      </c>
      <c r="O2350" s="2">
        <v>45631</v>
      </c>
      <c r="P2350">
        <v>125954.01</v>
      </c>
      <c r="Q2350">
        <v>125954.01</v>
      </c>
      <c r="R2350" t="s">
        <v>3527</v>
      </c>
    </row>
    <row r="2351" spans="1:20" x14ac:dyDescent="0.25">
      <c r="A2351" t="s">
        <v>14</v>
      </c>
      <c r="B2351" t="s">
        <v>245</v>
      </c>
      <c r="C2351" t="s">
        <v>4398</v>
      </c>
      <c r="D2351" t="s">
        <v>4377</v>
      </c>
      <c r="E2351">
        <v>47300070571</v>
      </c>
      <c r="F2351" t="s">
        <v>42</v>
      </c>
      <c r="G2351" t="s">
        <v>28</v>
      </c>
      <c r="H2351" t="s">
        <v>72</v>
      </c>
      <c r="K2351" t="s">
        <v>3518</v>
      </c>
      <c r="L2351" t="s">
        <v>47</v>
      </c>
      <c r="N2351" s="2">
        <v>45631</v>
      </c>
      <c r="O2351" s="2">
        <v>45631</v>
      </c>
      <c r="P2351">
        <v>128025.01</v>
      </c>
      <c r="Q2351">
        <v>128025.01</v>
      </c>
      <c r="R2351" t="s">
        <v>3169</v>
      </c>
    </row>
    <row r="2352" spans="1:20" x14ac:dyDescent="0.25">
      <c r="A2352" t="s">
        <v>14</v>
      </c>
      <c r="B2352" t="s">
        <v>245</v>
      </c>
      <c r="C2352" t="s">
        <v>4389</v>
      </c>
      <c r="D2352" t="s">
        <v>4390</v>
      </c>
      <c r="E2352">
        <v>47300070571</v>
      </c>
      <c r="F2352" t="s">
        <v>42</v>
      </c>
      <c r="G2352" t="s">
        <v>28</v>
      </c>
      <c r="H2352" t="s">
        <v>72</v>
      </c>
      <c r="K2352" t="s">
        <v>3294</v>
      </c>
      <c r="L2352" t="s">
        <v>19</v>
      </c>
      <c r="M2352" t="s">
        <v>46</v>
      </c>
      <c r="N2352" s="2">
        <v>45627</v>
      </c>
      <c r="O2352" s="2">
        <v>45657</v>
      </c>
      <c r="P2352">
        <v>500</v>
      </c>
      <c r="Q2352">
        <v>500</v>
      </c>
      <c r="R2352" t="s">
        <v>3169</v>
      </c>
    </row>
    <row r="2353" spans="1:20" x14ac:dyDescent="0.25">
      <c r="A2353" t="s">
        <v>14</v>
      </c>
      <c r="B2353" t="s">
        <v>245</v>
      </c>
      <c r="C2353" t="s">
        <v>4389</v>
      </c>
      <c r="D2353" t="s">
        <v>4375</v>
      </c>
      <c r="E2353">
        <v>47300070571</v>
      </c>
      <c r="F2353" t="s">
        <v>42</v>
      </c>
      <c r="G2353" t="s">
        <v>28</v>
      </c>
      <c r="H2353" t="s">
        <v>72</v>
      </c>
      <c r="K2353" t="s">
        <v>3197</v>
      </c>
      <c r="L2353" t="s">
        <v>19</v>
      </c>
      <c r="M2353" t="s">
        <v>46</v>
      </c>
      <c r="N2353" s="2">
        <v>45627</v>
      </c>
      <c r="O2353" s="2">
        <v>45657</v>
      </c>
      <c r="P2353">
        <v>150650</v>
      </c>
      <c r="Q2353">
        <v>150650</v>
      </c>
      <c r="R2353" t="s">
        <v>3169</v>
      </c>
    </row>
    <row r="2354" spans="1:20" x14ac:dyDescent="0.25">
      <c r="A2354" t="s">
        <v>14</v>
      </c>
      <c r="B2354" t="s">
        <v>245</v>
      </c>
      <c r="C2354" t="s">
        <v>2927</v>
      </c>
      <c r="D2354" t="s">
        <v>4375</v>
      </c>
      <c r="E2354">
        <v>47300070571</v>
      </c>
      <c r="F2354" t="s">
        <v>42</v>
      </c>
      <c r="G2354" t="s">
        <v>28</v>
      </c>
      <c r="H2354" t="s">
        <v>72</v>
      </c>
      <c r="K2354" t="s">
        <v>2892</v>
      </c>
      <c r="L2354" t="s">
        <v>19</v>
      </c>
      <c r="M2354" t="s">
        <v>46</v>
      </c>
      <c r="N2354" s="2">
        <v>45627</v>
      </c>
      <c r="O2354" s="2">
        <v>45657</v>
      </c>
      <c r="P2354">
        <v>10000</v>
      </c>
      <c r="Q2354">
        <v>10000</v>
      </c>
      <c r="R2354" t="s">
        <v>3169</v>
      </c>
    </row>
    <row r="2355" spans="1:20" x14ac:dyDescent="0.25">
      <c r="A2355" t="s">
        <v>14</v>
      </c>
      <c r="B2355" t="s">
        <v>244</v>
      </c>
      <c r="C2355" t="s">
        <v>4371</v>
      </c>
      <c r="D2355" t="s">
        <v>4368</v>
      </c>
      <c r="E2355">
        <v>47300046316</v>
      </c>
      <c r="F2355" t="s">
        <v>42</v>
      </c>
      <c r="G2355" t="s">
        <v>28</v>
      </c>
      <c r="H2355" t="s">
        <v>69</v>
      </c>
      <c r="K2355" t="s">
        <v>3518</v>
      </c>
      <c r="L2355" t="s">
        <v>47</v>
      </c>
      <c r="N2355" s="2">
        <v>45631</v>
      </c>
      <c r="O2355" s="2">
        <v>45631</v>
      </c>
      <c r="P2355">
        <v>125954.01</v>
      </c>
      <c r="Q2355">
        <v>125954.01</v>
      </c>
      <c r="R2355" t="s">
        <v>3170</v>
      </c>
    </row>
    <row r="2356" spans="1:20" x14ac:dyDescent="0.25">
      <c r="A2356" t="s">
        <v>14</v>
      </c>
      <c r="B2356" t="s">
        <v>244</v>
      </c>
      <c r="C2356" t="s">
        <v>2927</v>
      </c>
      <c r="D2356" t="s">
        <v>4375</v>
      </c>
      <c r="E2356">
        <v>47300046316</v>
      </c>
      <c r="F2356" t="s">
        <v>42</v>
      </c>
      <c r="G2356" t="s">
        <v>28</v>
      </c>
      <c r="H2356" t="s">
        <v>69</v>
      </c>
      <c r="K2356" t="s">
        <v>3294</v>
      </c>
      <c r="L2356" t="s">
        <v>19</v>
      </c>
      <c r="M2356" t="s">
        <v>46</v>
      </c>
      <c r="N2356" s="2">
        <v>45627</v>
      </c>
      <c r="O2356" s="2">
        <v>45657</v>
      </c>
      <c r="P2356">
        <v>500</v>
      </c>
      <c r="Q2356">
        <v>500</v>
      </c>
      <c r="R2356" t="s">
        <v>3170</v>
      </c>
    </row>
    <row r="2357" spans="1:20" x14ac:dyDescent="0.25">
      <c r="A2357" t="s">
        <v>14</v>
      </c>
      <c r="B2357" t="s">
        <v>244</v>
      </c>
      <c r="C2357" t="s">
        <v>4389</v>
      </c>
      <c r="D2357" t="s">
        <v>4375</v>
      </c>
      <c r="E2357">
        <v>47300046316</v>
      </c>
      <c r="F2357" t="s">
        <v>42</v>
      </c>
      <c r="G2357" t="s">
        <v>28</v>
      </c>
      <c r="H2357" t="s">
        <v>69</v>
      </c>
      <c r="K2357" t="s">
        <v>3197</v>
      </c>
      <c r="L2357" t="s">
        <v>19</v>
      </c>
      <c r="M2357" t="s">
        <v>46</v>
      </c>
      <c r="N2357" s="2">
        <v>45627</v>
      </c>
      <c r="O2357" s="2">
        <v>45657</v>
      </c>
      <c r="P2357">
        <v>150650</v>
      </c>
      <c r="Q2357">
        <v>150650</v>
      </c>
      <c r="R2357" t="s">
        <v>3170</v>
      </c>
    </row>
    <row r="2358" spans="1:20" x14ac:dyDescent="0.25">
      <c r="A2358" t="s">
        <v>14</v>
      </c>
      <c r="B2358" t="s">
        <v>244</v>
      </c>
      <c r="C2358" t="s">
        <v>4405</v>
      </c>
      <c r="D2358" t="s">
        <v>4390</v>
      </c>
      <c r="E2358">
        <v>47300046316</v>
      </c>
      <c r="F2358" t="s">
        <v>42</v>
      </c>
      <c r="G2358" t="s">
        <v>28</v>
      </c>
      <c r="H2358" t="s">
        <v>69</v>
      </c>
      <c r="K2358" t="s">
        <v>2892</v>
      </c>
      <c r="L2358" t="s">
        <v>19</v>
      </c>
      <c r="M2358" t="s">
        <v>46</v>
      </c>
      <c r="N2358" s="2">
        <v>45627</v>
      </c>
      <c r="O2358" s="2">
        <v>45657</v>
      </c>
      <c r="P2358">
        <v>10000</v>
      </c>
      <c r="Q2358">
        <v>10000</v>
      </c>
      <c r="R2358" t="s">
        <v>3170</v>
      </c>
    </row>
    <row r="2359" spans="1:20" x14ac:dyDescent="0.25">
      <c r="A2359" t="s">
        <v>14</v>
      </c>
      <c r="B2359" t="s">
        <v>243</v>
      </c>
      <c r="C2359" t="s">
        <v>4406</v>
      </c>
      <c r="D2359" t="s">
        <v>4394</v>
      </c>
      <c r="E2359">
        <v>47300046688</v>
      </c>
      <c r="F2359" t="s">
        <v>16</v>
      </c>
      <c r="G2359" t="s">
        <v>17</v>
      </c>
      <c r="H2359" t="s">
        <v>154</v>
      </c>
      <c r="K2359" t="s">
        <v>3518</v>
      </c>
      <c r="L2359" t="s">
        <v>47</v>
      </c>
      <c r="N2359" s="2">
        <v>45631</v>
      </c>
      <c r="O2359" s="2">
        <v>45631</v>
      </c>
      <c r="P2359">
        <v>128025.01</v>
      </c>
      <c r="Q2359">
        <v>128025.01</v>
      </c>
      <c r="R2359" t="s">
        <v>3528</v>
      </c>
    </row>
    <row r="2360" spans="1:20" x14ac:dyDescent="0.25">
      <c r="A2360" t="s">
        <v>14</v>
      </c>
      <c r="B2360" t="s">
        <v>241</v>
      </c>
      <c r="C2360" t="s">
        <v>4398</v>
      </c>
      <c r="D2360" t="s">
        <v>4377</v>
      </c>
      <c r="E2360">
        <v>47300025708</v>
      </c>
      <c r="F2360" t="s">
        <v>35</v>
      </c>
      <c r="G2360" t="s">
        <v>36</v>
      </c>
      <c r="H2360" t="s">
        <v>4360</v>
      </c>
      <c r="K2360" t="s">
        <v>3795</v>
      </c>
      <c r="L2360" t="s">
        <v>19</v>
      </c>
      <c r="M2360" t="s">
        <v>20</v>
      </c>
      <c r="P2360">
        <v>100000</v>
      </c>
      <c r="Q2360">
        <v>100000</v>
      </c>
      <c r="R2360" t="s">
        <v>4174</v>
      </c>
      <c r="S2360" t="s">
        <v>242</v>
      </c>
      <c r="T2360">
        <v>416.3</v>
      </c>
    </row>
    <row r="2361" spans="1:20" x14ac:dyDescent="0.25">
      <c r="A2361" t="s">
        <v>14</v>
      </c>
      <c r="B2361" t="s">
        <v>240</v>
      </c>
      <c r="C2361" t="s">
        <v>4389</v>
      </c>
      <c r="D2361" t="s">
        <v>4390</v>
      </c>
      <c r="E2361">
        <v>47300070605</v>
      </c>
      <c r="F2361" t="s">
        <v>16</v>
      </c>
      <c r="G2361" t="s">
        <v>28</v>
      </c>
      <c r="H2361" t="s">
        <v>178</v>
      </c>
      <c r="K2361" t="s">
        <v>3518</v>
      </c>
      <c r="L2361" t="s">
        <v>47</v>
      </c>
      <c r="N2361" s="2">
        <v>45631</v>
      </c>
      <c r="O2361" s="2">
        <v>45631</v>
      </c>
      <c r="P2361">
        <v>125954.01</v>
      </c>
      <c r="Q2361">
        <v>125954.01</v>
      </c>
      <c r="R2361" t="s">
        <v>3529</v>
      </c>
    </row>
    <row r="2362" spans="1:20" x14ac:dyDescent="0.25">
      <c r="A2362" t="s">
        <v>14</v>
      </c>
      <c r="B2362" t="s">
        <v>238</v>
      </c>
      <c r="C2362" t="s">
        <v>4398</v>
      </c>
      <c r="D2362" t="s">
        <v>4377</v>
      </c>
      <c r="E2362">
        <v>47300070837</v>
      </c>
      <c r="F2362" t="s">
        <v>16</v>
      </c>
      <c r="G2362" t="s">
        <v>23</v>
      </c>
      <c r="H2362" t="s">
        <v>165</v>
      </c>
      <c r="K2362" t="s">
        <v>4338</v>
      </c>
      <c r="L2362" t="s">
        <v>47</v>
      </c>
      <c r="N2362" s="2">
        <v>45631</v>
      </c>
      <c r="O2362" s="2">
        <v>45631</v>
      </c>
      <c r="P2362">
        <v>33222.01</v>
      </c>
      <c r="Q2362">
        <v>33222.01</v>
      </c>
      <c r="R2362" t="s">
        <v>4329</v>
      </c>
    </row>
    <row r="2363" spans="1:20" x14ac:dyDescent="0.25">
      <c r="A2363" t="s">
        <v>14</v>
      </c>
      <c r="B2363" t="s">
        <v>238</v>
      </c>
      <c r="C2363" t="s">
        <v>4389</v>
      </c>
      <c r="D2363" t="s">
        <v>4390</v>
      </c>
      <c r="E2363">
        <v>47300070837</v>
      </c>
      <c r="F2363" t="s">
        <v>16</v>
      </c>
      <c r="G2363" t="s">
        <v>23</v>
      </c>
      <c r="H2363" t="s">
        <v>165</v>
      </c>
      <c r="K2363" t="s">
        <v>4266</v>
      </c>
      <c r="L2363" t="s">
        <v>19</v>
      </c>
      <c r="M2363" t="s">
        <v>63</v>
      </c>
      <c r="N2363" s="2">
        <v>45627</v>
      </c>
      <c r="O2363" s="2">
        <v>45657</v>
      </c>
      <c r="P2363">
        <v>69000</v>
      </c>
      <c r="Q2363">
        <v>69000</v>
      </c>
      <c r="R2363" t="s">
        <v>4329</v>
      </c>
      <c r="S2363" t="s">
        <v>239</v>
      </c>
      <c r="T2363">
        <v>287.3</v>
      </c>
    </row>
    <row r="2364" spans="1:20" x14ac:dyDescent="0.25">
      <c r="A2364" t="s">
        <v>14</v>
      </c>
      <c r="B2364" t="s">
        <v>236</v>
      </c>
      <c r="C2364" t="s">
        <v>4398</v>
      </c>
      <c r="D2364" t="s">
        <v>4377</v>
      </c>
      <c r="E2364">
        <v>47300070514</v>
      </c>
      <c r="F2364" t="s">
        <v>27</v>
      </c>
      <c r="G2364" t="s">
        <v>28</v>
      </c>
      <c r="H2364" t="s">
        <v>29</v>
      </c>
      <c r="K2364" t="s">
        <v>4266</v>
      </c>
      <c r="L2364" t="s">
        <v>19</v>
      </c>
      <c r="M2364" t="s">
        <v>63</v>
      </c>
      <c r="N2364" s="2">
        <v>45627</v>
      </c>
      <c r="O2364" s="2">
        <v>45657</v>
      </c>
      <c r="P2364">
        <v>30000</v>
      </c>
      <c r="Q2364">
        <v>30000</v>
      </c>
      <c r="R2364" t="s">
        <v>3530</v>
      </c>
      <c r="S2364" t="s">
        <v>237</v>
      </c>
      <c r="T2364">
        <v>124.9</v>
      </c>
    </row>
    <row r="2365" spans="1:20" x14ac:dyDescent="0.25">
      <c r="A2365" t="s">
        <v>14</v>
      </c>
      <c r="B2365" t="s">
        <v>236</v>
      </c>
      <c r="C2365" t="s">
        <v>4389</v>
      </c>
      <c r="D2365" t="s">
        <v>4390</v>
      </c>
      <c r="E2365">
        <v>47300070514</v>
      </c>
      <c r="F2365" t="s">
        <v>27</v>
      </c>
      <c r="G2365" t="s">
        <v>28</v>
      </c>
      <c r="H2365" t="s">
        <v>29</v>
      </c>
      <c r="K2365" t="s">
        <v>3518</v>
      </c>
      <c r="L2365" t="s">
        <v>47</v>
      </c>
      <c r="N2365" s="2">
        <v>45631</v>
      </c>
      <c r="O2365" s="2">
        <v>45631</v>
      </c>
      <c r="P2365">
        <v>125954.01</v>
      </c>
      <c r="Q2365">
        <v>125954.01</v>
      </c>
      <c r="R2365" t="s">
        <v>3530</v>
      </c>
    </row>
    <row r="2366" spans="1:20" x14ac:dyDescent="0.25">
      <c r="A2366" t="s">
        <v>14</v>
      </c>
      <c r="B2366" t="s">
        <v>234</v>
      </c>
      <c r="C2366" t="s">
        <v>4378</v>
      </c>
      <c r="D2366" t="s">
        <v>4379</v>
      </c>
      <c r="E2366">
        <v>47300026185</v>
      </c>
      <c r="F2366" t="s">
        <v>35</v>
      </c>
      <c r="G2366" t="s">
        <v>36</v>
      </c>
      <c r="H2366" t="s">
        <v>4361</v>
      </c>
      <c r="K2366" t="s">
        <v>4266</v>
      </c>
      <c r="L2366" t="s">
        <v>19</v>
      </c>
      <c r="M2366" t="s">
        <v>63</v>
      </c>
      <c r="N2366" s="2">
        <v>45627</v>
      </c>
      <c r="O2366" s="2">
        <v>45657</v>
      </c>
      <c r="P2366">
        <v>50000</v>
      </c>
      <c r="Q2366">
        <v>50000</v>
      </c>
      <c r="R2366" t="s">
        <v>3481</v>
      </c>
      <c r="S2366" t="s">
        <v>235</v>
      </c>
      <c r="T2366">
        <v>208.2</v>
      </c>
    </row>
    <row r="2367" spans="1:20" x14ac:dyDescent="0.25">
      <c r="A2367" t="s">
        <v>14</v>
      </c>
      <c r="B2367" t="s">
        <v>234</v>
      </c>
      <c r="C2367" t="s">
        <v>4418</v>
      </c>
      <c r="D2367" t="s">
        <v>4368</v>
      </c>
      <c r="E2367">
        <v>47300026185</v>
      </c>
      <c r="F2367" t="s">
        <v>35</v>
      </c>
      <c r="G2367" t="s">
        <v>36</v>
      </c>
      <c r="H2367" t="s">
        <v>4361</v>
      </c>
      <c r="K2367" t="s">
        <v>3294</v>
      </c>
      <c r="L2367" t="s">
        <v>19</v>
      </c>
      <c r="M2367" t="s">
        <v>46</v>
      </c>
      <c r="N2367" s="2">
        <v>45627</v>
      </c>
      <c r="O2367" s="2">
        <v>45657</v>
      </c>
      <c r="P2367">
        <v>500</v>
      </c>
      <c r="Q2367">
        <v>500</v>
      </c>
      <c r="R2367" t="s">
        <v>3481</v>
      </c>
    </row>
    <row r="2368" spans="1:20" x14ac:dyDescent="0.25">
      <c r="A2368" t="s">
        <v>14</v>
      </c>
      <c r="B2368" t="s">
        <v>232</v>
      </c>
      <c r="C2368" t="s">
        <v>4419</v>
      </c>
      <c r="D2368" t="s">
        <v>4368</v>
      </c>
      <c r="E2368">
        <v>47300020147</v>
      </c>
      <c r="F2368" t="s">
        <v>35</v>
      </c>
      <c r="G2368" t="s">
        <v>36</v>
      </c>
      <c r="H2368" t="s">
        <v>4363</v>
      </c>
      <c r="K2368" t="s">
        <v>4266</v>
      </c>
      <c r="L2368" t="s">
        <v>19</v>
      </c>
      <c r="M2368" t="s">
        <v>63</v>
      </c>
      <c r="N2368" s="2">
        <v>45627</v>
      </c>
      <c r="O2368" s="2">
        <v>45657</v>
      </c>
      <c r="P2368">
        <v>50000</v>
      </c>
      <c r="Q2368">
        <v>50000</v>
      </c>
      <c r="R2368" t="s">
        <v>3482</v>
      </c>
      <c r="S2368" t="s">
        <v>233</v>
      </c>
      <c r="T2368">
        <v>208.2</v>
      </c>
    </row>
    <row r="2369" spans="1:20" x14ac:dyDescent="0.25">
      <c r="A2369" t="s">
        <v>14</v>
      </c>
      <c r="B2369" t="s">
        <v>232</v>
      </c>
      <c r="C2369" t="s">
        <v>4409</v>
      </c>
      <c r="D2369" t="s">
        <v>4410</v>
      </c>
      <c r="E2369">
        <v>47300020147</v>
      </c>
      <c r="F2369" t="s">
        <v>35</v>
      </c>
      <c r="G2369" t="s">
        <v>36</v>
      </c>
      <c r="H2369" t="s">
        <v>4363</v>
      </c>
      <c r="K2369" t="s">
        <v>3294</v>
      </c>
      <c r="L2369" t="s">
        <v>19</v>
      </c>
      <c r="M2369" t="s">
        <v>46</v>
      </c>
      <c r="N2369" s="2">
        <v>45627</v>
      </c>
      <c r="O2369" s="2">
        <v>45657</v>
      </c>
      <c r="P2369">
        <v>500</v>
      </c>
      <c r="Q2369">
        <v>500</v>
      </c>
      <c r="R2369" t="s">
        <v>3482</v>
      </c>
    </row>
    <row r="2370" spans="1:20" x14ac:dyDescent="0.25">
      <c r="A2370" t="s">
        <v>14</v>
      </c>
      <c r="B2370" t="s">
        <v>230</v>
      </c>
      <c r="C2370" t="s">
        <v>4378</v>
      </c>
      <c r="D2370" t="s">
        <v>4379</v>
      </c>
      <c r="E2370">
        <v>47300012151</v>
      </c>
      <c r="F2370" t="s">
        <v>35</v>
      </c>
      <c r="G2370" t="s">
        <v>36</v>
      </c>
      <c r="H2370" t="s">
        <v>4362</v>
      </c>
      <c r="K2370" t="s">
        <v>4266</v>
      </c>
      <c r="L2370" t="s">
        <v>19</v>
      </c>
      <c r="M2370" t="s">
        <v>63</v>
      </c>
      <c r="N2370" s="2">
        <v>45627</v>
      </c>
      <c r="O2370" s="2">
        <v>45657</v>
      </c>
      <c r="P2370">
        <v>50000</v>
      </c>
      <c r="Q2370">
        <v>50000</v>
      </c>
      <c r="R2370" t="s">
        <v>3483</v>
      </c>
      <c r="S2370" t="s">
        <v>231</v>
      </c>
      <c r="T2370">
        <v>208.2</v>
      </c>
    </row>
    <row r="2371" spans="1:20" x14ac:dyDescent="0.25">
      <c r="A2371" t="s">
        <v>14</v>
      </c>
      <c r="B2371" t="s">
        <v>230</v>
      </c>
      <c r="C2371" t="s">
        <v>4418</v>
      </c>
      <c r="D2371" t="s">
        <v>4368</v>
      </c>
      <c r="E2371">
        <v>47300012151</v>
      </c>
      <c r="F2371" t="s">
        <v>35</v>
      </c>
      <c r="G2371" t="s">
        <v>36</v>
      </c>
      <c r="H2371" t="s">
        <v>4362</v>
      </c>
      <c r="K2371" t="s">
        <v>3294</v>
      </c>
      <c r="L2371" t="s">
        <v>19</v>
      </c>
      <c r="M2371" t="s">
        <v>46</v>
      </c>
      <c r="N2371" s="2">
        <v>45627</v>
      </c>
      <c r="O2371" s="2">
        <v>45657</v>
      </c>
      <c r="P2371">
        <v>500</v>
      </c>
      <c r="Q2371">
        <v>500</v>
      </c>
      <c r="R2371" t="s">
        <v>3483</v>
      </c>
    </row>
    <row r="2372" spans="1:20" x14ac:dyDescent="0.25">
      <c r="A2372" t="s">
        <v>14</v>
      </c>
      <c r="B2372" t="s">
        <v>228</v>
      </c>
      <c r="C2372" t="s">
        <v>4419</v>
      </c>
      <c r="D2372" t="s">
        <v>4368</v>
      </c>
      <c r="E2372">
        <v>47300046399</v>
      </c>
      <c r="F2372" t="s">
        <v>16</v>
      </c>
      <c r="G2372" t="s">
        <v>28</v>
      </c>
      <c r="H2372" t="s">
        <v>122</v>
      </c>
      <c r="K2372" t="s">
        <v>4266</v>
      </c>
      <c r="L2372" t="s">
        <v>19</v>
      </c>
      <c r="M2372" t="s">
        <v>63</v>
      </c>
      <c r="N2372" s="2">
        <v>45627</v>
      </c>
      <c r="O2372" s="2">
        <v>45657</v>
      </c>
      <c r="P2372">
        <v>61000</v>
      </c>
      <c r="Q2372">
        <v>61000</v>
      </c>
      <c r="R2372" t="s">
        <v>3251</v>
      </c>
      <c r="S2372" t="s">
        <v>229</v>
      </c>
      <c r="T2372">
        <v>254</v>
      </c>
    </row>
    <row r="2373" spans="1:20" x14ac:dyDescent="0.25">
      <c r="A2373" t="s">
        <v>14</v>
      </c>
      <c r="B2373" t="s">
        <v>228</v>
      </c>
      <c r="C2373" t="s">
        <v>4409</v>
      </c>
      <c r="D2373" t="s">
        <v>4410</v>
      </c>
      <c r="E2373">
        <v>47300046399</v>
      </c>
      <c r="F2373" t="s">
        <v>16</v>
      </c>
      <c r="G2373" t="s">
        <v>28</v>
      </c>
      <c r="H2373" t="s">
        <v>122</v>
      </c>
      <c r="K2373" t="s">
        <v>3294</v>
      </c>
      <c r="L2373" t="s">
        <v>19</v>
      </c>
      <c r="M2373" t="s">
        <v>46</v>
      </c>
      <c r="N2373" s="2">
        <v>45627</v>
      </c>
      <c r="O2373" s="2">
        <v>45657</v>
      </c>
      <c r="P2373">
        <v>500</v>
      </c>
      <c r="Q2373">
        <v>500</v>
      </c>
      <c r="R2373" t="s">
        <v>3251</v>
      </c>
    </row>
    <row r="2374" spans="1:20" x14ac:dyDescent="0.25">
      <c r="A2374" t="s">
        <v>14</v>
      </c>
      <c r="B2374" t="s">
        <v>228</v>
      </c>
      <c r="C2374" t="s">
        <v>4378</v>
      </c>
      <c r="D2374" t="s">
        <v>4379</v>
      </c>
      <c r="E2374">
        <v>47300046399</v>
      </c>
      <c r="F2374" t="s">
        <v>16</v>
      </c>
      <c r="G2374" t="s">
        <v>28</v>
      </c>
      <c r="H2374" t="s">
        <v>122</v>
      </c>
      <c r="K2374" t="s">
        <v>3197</v>
      </c>
      <c r="L2374" t="s">
        <v>19</v>
      </c>
      <c r="M2374" t="s">
        <v>46</v>
      </c>
      <c r="N2374" s="2">
        <v>45627</v>
      </c>
      <c r="O2374" s="2">
        <v>45657</v>
      </c>
      <c r="P2374">
        <v>150650</v>
      </c>
      <c r="Q2374">
        <v>150650</v>
      </c>
      <c r="R2374" t="s">
        <v>3251</v>
      </c>
    </row>
    <row r="2375" spans="1:20" x14ac:dyDescent="0.25">
      <c r="A2375" t="s">
        <v>14</v>
      </c>
      <c r="B2375" t="s">
        <v>227</v>
      </c>
      <c r="C2375" t="s">
        <v>4394</v>
      </c>
      <c r="D2375" t="s">
        <v>4395</v>
      </c>
      <c r="E2375">
        <v>47300070795</v>
      </c>
      <c r="F2375" t="s">
        <v>16</v>
      </c>
      <c r="G2375" t="s">
        <v>87</v>
      </c>
      <c r="H2375" t="s">
        <v>88</v>
      </c>
      <c r="K2375" t="s">
        <v>3518</v>
      </c>
      <c r="L2375" t="s">
        <v>47</v>
      </c>
      <c r="N2375" s="2">
        <v>45631</v>
      </c>
      <c r="O2375" s="2">
        <v>45631</v>
      </c>
      <c r="P2375">
        <v>128025.01</v>
      </c>
      <c r="Q2375">
        <v>128025.01</v>
      </c>
      <c r="R2375" t="s">
        <v>3252</v>
      </c>
    </row>
    <row r="2376" spans="1:20" x14ac:dyDescent="0.25">
      <c r="A2376" t="s">
        <v>14</v>
      </c>
      <c r="B2376" t="s">
        <v>227</v>
      </c>
      <c r="C2376" t="s">
        <v>4394</v>
      </c>
      <c r="D2376" t="s">
        <v>4395</v>
      </c>
      <c r="E2376">
        <v>47300070795</v>
      </c>
      <c r="F2376" t="s">
        <v>16</v>
      </c>
      <c r="G2376" t="s">
        <v>87</v>
      </c>
      <c r="H2376" t="s">
        <v>88</v>
      </c>
      <c r="K2376" t="s">
        <v>3197</v>
      </c>
      <c r="L2376" t="s">
        <v>19</v>
      </c>
      <c r="M2376" t="s">
        <v>46</v>
      </c>
      <c r="N2376" s="2">
        <v>45627</v>
      </c>
      <c r="O2376" s="2">
        <v>45688</v>
      </c>
      <c r="P2376">
        <v>150650</v>
      </c>
      <c r="Q2376">
        <v>301300</v>
      </c>
      <c r="R2376" t="s">
        <v>3252</v>
      </c>
    </row>
    <row r="2377" spans="1:20" x14ac:dyDescent="0.25">
      <c r="A2377" t="s">
        <v>14</v>
      </c>
      <c r="B2377" t="s">
        <v>225</v>
      </c>
      <c r="C2377" t="s">
        <v>4374</v>
      </c>
      <c r="D2377" t="s">
        <v>4375</v>
      </c>
      <c r="E2377">
        <v>47300070795</v>
      </c>
      <c r="F2377" t="s">
        <v>16</v>
      </c>
      <c r="G2377" t="s">
        <v>87</v>
      </c>
      <c r="H2377" t="s">
        <v>88</v>
      </c>
      <c r="K2377" t="s">
        <v>3795</v>
      </c>
      <c r="L2377" t="s">
        <v>19</v>
      </c>
      <c r="M2377" t="s">
        <v>20</v>
      </c>
      <c r="P2377">
        <v>50000</v>
      </c>
      <c r="Q2377">
        <v>50000</v>
      </c>
      <c r="R2377" t="s">
        <v>4175</v>
      </c>
      <c r="S2377" t="s">
        <v>226</v>
      </c>
      <c r="T2377">
        <v>208.2</v>
      </c>
    </row>
    <row r="2378" spans="1:20" x14ac:dyDescent="0.25">
      <c r="A2378" t="s">
        <v>14</v>
      </c>
      <c r="B2378" t="s">
        <v>223</v>
      </c>
      <c r="C2378" t="s">
        <v>4374</v>
      </c>
      <c r="D2378" t="s">
        <v>4375</v>
      </c>
      <c r="E2378">
        <v>47300046241</v>
      </c>
      <c r="F2378" t="s">
        <v>16</v>
      </c>
      <c r="G2378" t="s">
        <v>23</v>
      </c>
      <c r="H2378" t="s">
        <v>24</v>
      </c>
      <c r="I2378" t="s">
        <v>2754</v>
      </c>
      <c r="J2378">
        <v>0</v>
      </c>
      <c r="K2378" t="s">
        <v>4266</v>
      </c>
      <c r="L2378" t="s">
        <v>19</v>
      </c>
      <c r="M2378" t="s">
        <v>63</v>
      </c>
      <c r="N2378" s="2">
        <v>45627</v>
      </c>
      <c r="O2378" s="2">
        <v>45657</v>
      </c>
      <c r="P2378">
        <v>25000</v>
      </c>
      <c r="Q2378">
        <v>25000</v>
      </c>
      <c r="R2378" t="s">
        <v>3484</v>
      </c>
      <c r="S2378" t="s">
        <v>224</v>
      </c>
      <c r="T2378">
        <v>104.1</v>
      </c>
    </row>
    <row r="2379" spans="1:20" x14ac:dyDescent="0.25">
      <c r="A2379" t="s">
        <v>14</v>
      </c>
      <c r="B2379" t="s">
        <v>223</v>
      </c>
      <c r="C2379" t="s">
        <v>4374</v>
      </c>
      <c r="D2379" t="s">
        <v>4375</v>
      </c>
      <c r="E2379">
        <v>47300046241</v>
      </c>
      <c r="F2379" t="s">
        <v>16</v>
      </c>
      <c r="G2379" t="s">
        <v>23</v>
      </c>
      <c r="H2379" t="s">
        <v>24</v>
      </c>
      <c r="I2379" t="s">
        <v>2754</v>
      </c>
      <c r="J2379">
        <v>0</v>
      </c>
      <c r="K2379" t="s">
        <v>3294</v>
      </c>
      <c r="L2379" t="s">
        <v>19</v>
      </c>
      <c r="M2379" t="s">
        <v>46</v>
      </c>
      <c r="N2379" s="2">
        <v>45627</v>
      </c>
      <c r="O2379" s="2">
        <v>45657</v>
      </c>
      <c r="P2379">
        <v>500</v>
      </c>
      <c r="Q2379">
        <v>500</v>
      </c>
      <c r="R2379" t="s">
        <v>3484</v>
      </c>
    </row>
    <row r="2380" spans="1:20" x14ac:dyDescent="0.25">
      <c r="A2380" t="s">
        <v>14</v>
      </c>
      <c r="B2380" t="s">
        <v>220</v>
      </c>
      <c r="C2380" t="s">
        <v>4376</v>
      </c>
      <c r="D2380" t="s">
        <v>4407</v>
      </c>
      <c r="E2380">
        <v>47300070589</v>
      </c>
      <c r="F2380" t="s">
        <v>16</v>
      </c>
      <c r="G2380" t="s">
        <v>28</v>
      </c>
      <c r="H2380" t="s">
        <v>221</v>
      </c>
      <c r="K2380" t="s">
        <v>4266</v>
      </c>
      <c r="L2380" t="s">
        <v>19</v>
      </c>
      <c r="M2380" t="s">
        <v>63</v>
      </c>
      <c r="N2380" s="2">
        <v>45627</v>
      </c>
      <c r="O2380" s="2">
        <v>45657</v>
      </c>
      <c r="P2380">
        <v>50000</v>
      </c>
      <c r="Q2380">
        <v>50000</v>
      </c>
      <c r="R2380" t="s">
        <v>3171</v>
      </c>
      <c r="S2380" t="s">
        <v>222</v>
      </c>
      <c r="T2380">
        <v>208.1</v>
      </c>
    </row>
    <row r="2381" spans="1:20" x14ac:dyDescent="0.25">
      <c r="A2381" t="s">
        <v>14</v>
      </c>
      <c r="B2381" t="s">
        <v>220</v>
      </c>
      <c r="C2381" t="s">
        <v>4376</v>
      </c>
      <c r="D2381" t="s">
        <v>4407</v>
      </c>
      <c r="E2381">
        <v>47300070589</v>
      </c>
      <c r="F2381" t="s">
        <v>16</v>
      </c>
      <c r="G2381" t="s">
        <v>28</v>
      </c>
      <c r="H2381" t="s">
        <v>221</v>
      </c>
      <c r="K2381" t="s">
        <v>3518</v>
      </c>
      <c r="L2381" t="s">
        <v>47</v>
      </c>
      <c r="N2381" s="2">
        <v>45631</v>
      </c>
      <c r="O2381" s="2">
        <v>45631</v>
      </c>
      <c r="P2381">
        <v>128025.01</v>
      </c>
      <c r="Q2381">
        <v>128025.01</v>
      </c>
      <c r="R2381" t="s">
        <v>3171</v>
      </c>
    </row>
    <row r="2382" spans="1:20" x14ac:dyDescent="0.25">
      <c r="A2382" t="s">
        <v>14</v>
      </c>
      <c r="B2382" t="s">
        <v>220</v>
      </c>
      <c r="C2382" t="s">
        <v>4376</v>
      </c>
      <c r="D2382" t="s">
        <v>4407</v>
      </c>
      <c r="E2382">
        <v>47300070589</v>
      </c>
      <c r="F2382" t="s">
        <v>16</v>
      </c>
      <c r="G2382" t="s">
        <v>28</v>
      </c>
      <c r="H2382" t="s">
        <v>221</v>
      </c>
      <c r="K2382" t="s">
        <v>3294</v>
      </c>
      <c r="L2382" t="s">
        <v>19</v>
      </c>
      <c r="M2382" t="s">
        <v>46</v>
      </c>
      <c r="N2382" s="2">
        <v>45627</v>
      </c>
      <c r="O2382" s="2">
        <v>45657</v>
      </c>
      <c r="P2382">
        <v>500</v>
      </c>
      <c r="Q2382">
        <v>500</v>
      </c>
      <c r="R2382" t="s">
        <v>3171</v>
      </c>
    </row>
    <row r="2383" spans="1:20" x14ac:dyDescent="0.25">
      <c r="A2383" t="s">
        <v>14</v>
      </c>
      <c r="B2383" t="s">
        <v>220</v>
      </c>
      <c r="C2383" t="s">
        <v>4376</v>
      </c>
      <c r="D2383" t="s">
        <v>4407</v>
      </c>
      <c r="E2383">
        <v>47300070589</v>
      </c>
      <c r="F2383" t="s">
        <v>16</v>
      </c>
      <c r="G2383" t="s">
        <v>28</v>
      </c>
      <c r="H2383" t="s">
        <v>221</v>
      </c>
      <c r="K2383" t="s">
        <v>3197</v>
      </c>
      <c r="L2383" t="s">
        <v>19</v>
      </c>
      <c r="M2383" t="s">
        <v>46</v>
      </c>
      <c r="N2383" s="2">
        <v>45627</v>
      </c>
      <c r="O2383" s="2">
        <v>45657</v>
      </c>
      <c r="P2383">
        <v>150650</v>
      </c>
      <c r="Q2383">
        <v>150650</v>
      </c>
      <c r="R2383" t="s">
        <v>3171</v>
      </c>
    </row>
    <row r="2384" spans="1:20" x14ac:dyDescent="0.25">
      <c r="A2384" t="s">
        <v>14</v>
      </c>
      <c r="B2384" t="s">
        <v>220</v>
      </c>
      <c r="C2384" t="s">
        <v>4376</v>
      </c>
      <c r="D2384" t="s">
        <v>4407</v>
      </c>
      <c r="E2384">
        <v>47300070589</v>
      </c>
      <c r="F2384" t="s">
        <v>16</v>
      </c>
      <c r="G2384" t="s">
        <v>28</v>
      </c>
      <c r="H2384" t="s">
        <v>221</v>
      </c>
      <c r="K2384" t="s">
        <v>2892</v>
      </c>
      <c r="L2384" t="s">
        <v>19</v>
      </c>
      <c r="M2384" t="s">
        <v>46</v>
      </c>
      <c r="N2384" s="2">
        <v>45627</v>
      </c>
      <c r="O2384" s="2">
        <v>45657</v>
      </c>
      <c r="P2384">
        <v>10000</v>
      </c>
      <c r="Q2384">
        <v>10000</v>
      </c>
      <c r="R2384" t="s">
        <v>3171</v>
      </c>
    </row>
    <row r="2385" spans="1:20" x14ac:dyDescent="0.25">
      <c r="A2385" t="s">
        <v>14</v>
      </c>
      <c r="B2385" t="s">
        <v>219</v>
      </c>
      <c r="C2385" t="s">
        <v>4365</v>
      </c>
      <c r="D2385" t="s">
        <v>4403</v>
      </c>
      <c r="E2385">
        <v>47300046365</v>
      </c>
      <c r="F2385" t="s">
        <v>16</v>
      </c>
      <c r="G2385" t="s">
        <v>28</v>
      </c>
      <c r="H2385" t="s">
        <v>62</v>
      </c>
      <c r="K2385" t="s">
        <v>3518</v>
      </c>
      <c r="L2385" t="s">
        <v>47</v>
      </c>
      <c r="N2385" s="2">
        <v>45631</v>
      </c>
      <c r="O2385" s="2">
        <v>45631</v>
      </c>
      <c r="P2385">
        <v>125954.01</v>
      </c>
      <c r="Q2385">
        <v>125954.01</v>
      </c>
      <c r="R2385" t="s">
        <v>3531</v>
      </c>
    </row>
    <row r="2386" spans="1:20" x14ac:dyDescent="0.25">
      <c r="A2386" t="s">
        <v>14</v>
      </c>
      <c r="B2386" t="s">
        <v>216</v>
      </c>
      <c r="C2386" t="s">
        <v>4376</v>
      </c>
      <c r="D2386" t="s">
        <v>4377</v>
      </c>
      <c r="E2386">
        <v>47300070654</v>
      </c>
      <c r="F2386" t="s">
        <v>16</v>
      </c>
      <c r="G2386" t="s">
        <v>28</v>
      </c>
      <c r="H2386" t="s">
        <v>217</v>
      </c>
      <c r="K2386" t="s">
        <v>4266</v>
      </c>
      <c r="L2386" t="s">
        <v>19</v>
      </c>
      <c r="M2386" t="s">
        <v>63</v>
      </c>
      <c r="N2386" s="2">
        <v>45627</v>
      </c>
      <c r="O2386" s="2">
        <v>45657</v>
      </c>
      <c r="P2386">
        <v>40000</v>
      </c>
      <c r="Q2386">
        <v>40000</v>
      </c>
      <c r="R2386" t="s">
        <v>3172</v>
      </c>
      <c r="S2386" t="s">
        <v>218</v>
      </c>
      <c r="T2386">
        <v>166.5</v>
      </c>
    </row>
    <row r="2387" spans="1:20" x14ac:dyDescent="0.25">
      <c r="A2387" t="s">
        <v>14</v>
      </c>
      <c r="B2387" t="s">
        <v>216</v>
      </c>
      <c r="C2387" t="s">
        <v>4367</v>
      </c>
      <c r="D2387" t="s">
        <v>4368</v>
      </c>
      <c r="E2387">
        <v>47300070654</v>
      </c>
      <c r="F2387" t="s">
        <v>16</v>
      </c>
      <c r="G2387" t="s">
        <v>28</v>
      </c>
      <c r="H2387" t="s">
        <v>217</v>
      </c>
      <c r="K2387" t="s">
        <v>3518</v>
      </c>
      <c r="L2387" t="s">
        <v>47</v>
      </c>
      <c r="N2387" s="2">
        <v>45631</v>
      </c>
      <c r="O2387" s="2">
        <v>45631</v>
      </c>
      <c r="P2387">
        <v>125954.01</v>
      </c>
      <c r="Q2387">
        <v>125954.01</v>
      </c>
      <c r="R2387" t="s">
        <v>3172</v>
      </c>
    </row>
    <row r="2388" spans="1:20" x14ac:dyDescent="0.25">
      <c r="A2388" t="s">
        <v>14</v>
      </c>
      <c r="B2388" t="s">
        <v>216</v>
      </c>
      <c r="C2388" t="s">
        <v>4371</v>
      </c>
      <c r="D2388" t="s">
        <v>4368</v>
      </c>
      <c r="E2388">
        <v>47300070654</v>
      </c>
      <c r="F2388" t="s">
        <v>16</v>
      </c>
      <c r="G2388" t="s">
        <v>28</v>
      </c>
      <c r="H2388" t="s">
        <v>217</v>
      </c>
      <c r="K2388" t="s">
        <v>3294</v>
      </c>
      <c r="L2388" t="s">
        <v>19</v>
      </c>
      <c r="M2388" t="s">
        <v>46</v>
      </c>
      <c r="N2388" s="2">
        <v>45627</v>
      </c>
      <c r="O2388" s="2">
        <v>45657</v>
      </c>
      <c r="P2388">
        <v>500</v>
      </c>
      <c r="Q2388">
        <v>500</v>
      </c>
      <c r="R2388" t="s">
        <v>3172</v>
      </c>
    </row>
    <row r="2389" spans="1:20" x14ac:dyDescent="0.25">
      <c r="A2389" t="s">
        <v>14</v>
      </c>
      <c r="B2389" t="s">
        <v>216</v>
      </c>
      <c r="C2389" t="s">
        <v>4365</v>
      </c>
      <c r="D2389" t="s">
        <v>4403</v>
      </c>
      <c r="E2389">
        <v>47300070654</v>
      </c>
      <c r="F2389" t="s">
        <v>16</v>
      </c>
      <c r="G2389" t="s">
        <v>28</v>
      </c>
      <c r="H2389" t="s">
        <v>217</v>
      </c>
      <c r="K2389" t="s">
        <v>3197</v>
      </c>
      <c r="L2389" t="s">
        <v>19</v>
      </c>
      <c r="M2389" t="s">
        <v>46</v>
      </c>
      <c r="N2389" s="2">
        <v>45627</v>
      </c>
      <c r="O2389" s="2">
        <v>45657</v>
      </c>
      <c r="P2389">
        <v>150650</v>
      </c>
      <c r="Q2389">
        <v>150650</v>
      </c>
      <c r="R2389" t="s">
        <v>3172</v>
      </c>
    </row>
    <row r="2390" spans="1:20" x14ac:dyDescent="0.25">
      <c r="A2390" t="s">
        <v>14</v>
      </c>
      <c r="B2390" t="s">
        <v>216</v>
      </c>
      <c r="C2390" t="s">
        <v>4384</v>
      </c>
      <c r="D2390" t="s">
        <v>4379</v>
      </c>
      <c r="E2390">
        <v>47300070654</v>
      </c>
      <c r="F2390" t="s">
        <v>16</v>
      </c>
      <c r="G2390" t="s">
        <v>28</v>
      </c>
      <c r="H2390" t="s">
        <v>217</v>
      </c>
      <c r="K2390" t="s">
        <v>2892</v>
      </c>
      <c r="L2390" t="s">
        <v>19</v>
      </c>
      <c r="M2390" t="s">
        <v>46</v>
      </c>
      <c r="N2390" s="2">
        <v>45627</v>
      </c>
      <c r="O2390" s="2">
        <v>45657</v>
      </c>
      <c r="P2390">
        <v>10000</v>
      </c>
      <c r="Q2390">
        <v>10000</v>
      </c>
      <c r="R2390" t="s">
        <v>3172</v>
      </c>
    </row>
    <row r="2391" spans="1:20" x14ac:dyDescent="0.25">
      <c r="A2391" t="s">
        <v>14</v>
      </c>
      <c r="B2391" t="s">
        <v>215</v>
      </c>
      <c r="C2391" t="s">
        <v>4402</v>
      </c>
      <c r="D2391" t="s">
        <v>4379</v>
      </c>
      <c r="E2391">
        <v>47300070597</v>
      </c>
      <c r="F2391" t="s">
        <v>16</v>
      </c>
      <c r="G2391" t="s">
        <v>28</v>
      </c>
      <c r="H2391" t="s">
        <v>77</v>
      </c>
      <c r="K2391" t="s">
        <v>3518</v>
      </c>
      <c r="L2391" t="s">
        <v>47</v>
      </c>
      <c r="N2391" s="2">
        <v>45631</v>
      </c>
      <c r="O2391" s="2">
        <v>45631</v>
      </c>
      <c r="P2391">
        <v>128025.01</v>
      </c>
      <c r="Q2391">
        <v>128025.01</v>
      </c>
      <c r="R2391" t="s">
        <v>3532</v>
      </c>
    </row>
    <row r="2392" spans="1:20" x14ac:dyDescent="0.25">
      <c r="A2392" t="s">
        <v>14</v>
      </c>
      <c r="B2392" t="s">
        <v>213</v>
      </c>
      <c r="C2392" t="s">
        <v>4365</v>
      </c>
      <c r="D2392" t="s">
        <v>4403</v>
      </c>
      <c r="E2392">
        <v>47300025708</v>
      </c>
      <c r="F2392" t="s">
        <v>35</v>
      </c>
      <c r="G2392" t="s">
        <v>36</v>
      </c>
      <c r="H2392" t="s">
        <v>4360</v>
      </c>
      <c r="K2392" t="s">
        <v>3795</v>
      </c>
      <c r="L2392" t="s">
        <v>19</v>
      </c>
      <c r="M2392" t="s">
        <v>20</v>
      </c>
      <c r="P2392">
        <v>100000</v>
      </c>
      <c r="Q2392">
        <v>100000</v>
      </c>
      <c r="R2392" t="s">
        <v>4176</v>
      </c>
      <c r="S2392" t="s">
        <v>214</v>
      </c>
      <c r="T2392">
        <v>416.3</v>
      </c>
    </row>
    <row r="2393" spans="1:20" x14ac:dyDescent="0.25">
      <c r="A2393" t="s">
        <v>14</v>
      </c>
      <c r="B2393" t="s">
        <v>211</v>
      </c>
      <c r="C2393" t="s">
        <v>2927</v>
      </c>
      <c r="D2393" t="s">
        <v>4385</v>
      </c>
      <c r="E2393">
        <v>47300026094</v>
      </c>
      <c r="F2393" t="s">
        <v>35</v>
      </c>
      <c r="G2393" t="s">
        <v>36</v>
      </c>
      <c r="H2393" t="s">
        <v>4359</v>
      </c>
      <c r="K2393" t="s">
        <v>3795</v>
      </c>
      <c r="L2393" t="s">
        <v>19</v>
      </c>
      <c r="M2393" t="s">
        <v>20</v>
      </c>
      <c r="P2393">
        <v>100000</v>
      </c>
      <c r="Q2393">
        <v>100000</v>
      </c>
      <c r="R2393" t="s">
        <v>4177</v>
      </c>
      <c r="S2393" t="s">
        <v>212</v>
      </c>
      <c r="T2393">
        <v>416.3</v>
      </c>
    </row>
    <row r="2394" spans="1:20" x14ac:dyDescent="0.25">
      <c r="A2394" t="s">
        <v>14</v>
      </c>
      <c r="B2394" t="s">
        <v>210</v>
      </c>
      <c r="C2394" t="s">
        <v>4365</v>
      </c>
      <c r="D2394" t="s">
        <v>4403</v>
      </c>
      <c r="E2394">
        <v>47300070480</v>
      </c>
      <c r="F2394" t="s">
        <v>16</v>
      </c>
      <c r="G2394" t="s">
        <v>28</v>
      </c>
      <c r="H2394" t="s">
        <v>184</v>
      </c>
      <c r="K2394" t="s">
        <v>3518</v>
      </c>
      <c r="L2394" t="s">
        <v>47</v>
      </c>
      <c r="N2394" s="2">
        <v>45631</v>
      </c>
      <c r="O2394" s="2">
        <v>45631</v>
      </c>
      <c r="P2394">
        <v>128025.01</v>
      </c>
      <c r="Q2394">
        <v>128025.01</v>
      </c>
      <c r="R2394" t="s">
        <v>3533</v>
      </c>
    </row>
    <row r="2395" spans="1:20" x14ac:dyDescent="0.25">
      <c r="A2395" t="s">
        <v>14</v>
      </c>
      <c r="B2395" t="s">
        <v>208</v>
      </c>
      <c r="C2395" t="s">
        <v>4365</v>
      </c>
      <c r="D2395" t="s">
        <v>4403</v>
      </c>
      <c r="E2395">
        <v>47300046720</v>
      </c>
      <c r="F2395" t="s">
        <v>16</v>
      </c>
      <c r="G2395" t="s">
        <v>28</v>
      </c>
      <c r="H2395" t="s">
        <v>143</v>
      </c>
      <c r="K2395" t="s">
        <v>3795</v>
      </c>
      <c r="L2395" t="s">
        <v>19</v>
      </c>
      <c r="M2395" t="s">
        <v>20</v>
      </c>
      <c r="P2395">
        <v>50000</v>
      </c>
      <c r="Q2395">
        <v>50000</v>
      </c>
      <c r="R2395" t="s">
        <v>4178</v>
      </c>
      <c r="S2395" t="s">
        <v>209</v>
      </c>
      <c r="T2395">
        <v>208.2</v>
      </c>
    </row>
    <row r="2396" spans="1:20" x14ac:dyDescent="0.25">
      <c r="A2396" t="s">
        <v>14</v>
      </c>
      <c r="B2396" t="s">
        <v>206</v>
      </c>
      <c r="C2396" t="s">
        <v>4412</v>
      </c>
      <c r="D2396" t="s">
        <v>4424</v>
      </c>
      <c r="E2396">
        <v>47300070548</v>
      </c>
      <c r="F2396" t="s">
        <v>27</v>
      </c>
      <c r="G2396" t="s">
        <v>17</v>
      </c>
      <c r="H2396" t="s">
        <v>51</v>
      </c>
      <c r="K2396" t="s">
        <v>3795</v>
      </c>
      <c r="L2396" t="s">
        <v>19</v>
      </c>
      <c r="M2396" t="s">
        <v>20</v>
      </c>
      <c r="P2396">
        <v>100000</v>
      </c>
      <c r="Q2396">
        <v>100000</v>
      </c>
      <c r="R2396" t="s">
        <v>4179</v>
      </c>
      <c r="S2396" t="s">
        <v>207</v>
      </c>
      <c r="T2396">
        <v>416.3</v>
      </c>
    </row>
    <row r="2397" spans="1:20" x14ac:dyDescent="0.25">
      <c r="A2397" t="s">
        <v>14</v>
      </c>
      <c r="B2397" t="s">
        <v>204</v>
      </c>
      <c r="C2397" t="s">
        <v>4387</v>
      </c>
      <c r="D2397" t="s">
        <v>4388</v>
      </c>
      <c r="E2397">
        <v>47300046761</v>
      </c>
      <c r="F2397" t="s">
        <v>42</v>
      </c>
      <c r="G2397" t="s">
        <v>28</v>
      </c>
      <c r="H2397" t="s">
        <v>43</v>
      </c>
      <c r="K2397" t="s">
        <v>3795</v>
      </c>
      <c r="L2397" t="s">
        <v>19</v>
      </c>
      <c r="M2397" t="s">
        <v>20</v>
      </c>
      <c r="P2397">
        <v>50000</v>
      </c>
      <c r="Q2397">
        <v>50000</v>
      </c>
      <c r="R2397" t="s">
        <v>4180</v>
      </c>
      <c r="S2397" t="s">
        <v>205</v>
      </c>
      <c r="T2397">
        <v>208.1</v>
      </c>
    </row>
    <row r="2398" spans="1:20" x14ac:dyDescent="0.25">
      <c r="A2398" t="s">
        <v>14</v>
      </c>
      <c r="B2398" t="s">
        <v>201</v>
      </c>
      <c r="C2398" t="s">
        <v>4413</v>
      </c>
      <c r="D2398" t="s">
        <v>4395</v>
      </c>
      <c r="E2398">
        <v>47300046738</v>
      </c>
      <c r="F2398" t="s">
        <v>16</v>
      </c>
      <c r="G2398" t="s">
        <v>28</v>
      </c>
      <c r="H2398" t="s">
        <v>202</v>
      </c>
      <c r="K2398" t="s">
        <v>3795</v>
      </c>
      <c r="L2398" t="s">
        <v>19</v>
      </c>
      <c r="M2398" t="s">
        <v>20</v>
      </c>
      <c r="P2398">
        <v>150000</v>
      </c>
      <c r="Q2398">
        <v>150000</v>
      </c>
      <c r="R2398" t="s">
        <v>4181</v>
      </c>
      <c r="S2398" t="s">
        <v>203</v>
      </c>
      <c r="T2398">
        <v>624.5</v>
      </c>
    </row>
    <row r="2399" spans="1:20" x14ac:dyDescent="0.25">
      <c r="A2399" t="s">
        <v>14</v>
      </c>
      <c r="B2399" t="s">
        <v>198</v>
      </c>
      <c r="C2399" t="s">
        <v>4389</v>
      </c>
      <c r="D2399" t="s">
        <v>4390</v>
      </c>
      <c r="E2399">
        <v>47300046779</v>
      </c>
      <c r="F2399" t="s">
        <v>42</v>
      </c>
      <c r="G2399" t="s">
        <v>28</v>
      </c>
      <c r="H2399" t="s">
        <v>199</v>
      </c>
      <c r="K2399" t="s">
        <v>3795</v>
      </c>
      <c r="L2399" t="s">
        <v>19</v>
      </c>
      <c r="M2399" t="s">
        <v>20</v>
      </c>
      <c r="P2399">
        <v>80000</v>
      </c>
      <c r="Q2399">
        <v>80000</v>
      </c>
      <c r="R2399" t="s">
        <v>4182</v>
      </c>
      <c r="S2399" t="s">
        <v>200</v>
      </c>
      <c r="T2399">
        <v>333.1</v>
      </c>
    </row>
    <row r="2400" spans="1:20" x14ac:dyDescent="0.25">
      <c r="A2400" t="s">
        <v>14</v>
      </c>
      <c r="B2400" t="s">
        <v>196</v>
      </c>
      <c r="C2400" t="s">
        <v>4398</v>
      </c>
      <c r="D2400" t="s">
        <v>4399</v>
      </c>
      <c r="E2400">
        <v>47300070571</v>
      </c>
      <c r="F2400" t="s">
        <v>42</v>
      </c>
      <c r="G2400" t="s">
        <v>28</v>
      </c>
      <c r="H2400" t="s">
        <v>72</v>
      </c>
      <c r="K2400" t="s">
        <v>4266</v>
      </c>
      <c r="L2400" t="s">
        <v>19</v>
      </c>
      <c r="M2400" t="s">
        <v>63</v>
      </c>
      <c r="N2400" s="2">
        <v>45627</v>
      </c>
      <c r="O2400" s="2">
        <v>45657</v>
      </c>
      <c r="P2400">
        <v>150000</v>
      </c>
      <c r="Q2400">
        <v>150000</v>
      </c>
      <c r="R2400" t="s">
        <v>4330</v>
      </c>
      <c r="S2400" t="s">
        <v>197</v>
      </c>
      <c r="T2400">
        <v>624.5</v>
      </c>
    </row>
    <row r="2401" spans="1:20" x14ac:dyDescent="0.25">
      <c r="A2401" t="s">
        <v>14</v>
      </c>
      <c r="B2401" t="s">
        <v>194</v>
      </c>
      <c r="C2401" t="s">
        <v>4394</v>
      </c>
      <c r="D2401" t="s">
        <v>4395</v>
      </c>
      <c r="E2401">
        <v>47300025708</v>
      </c>
      <c r="F2401" t="s">
        <v>35</v>
      </c>
      <c r="G2401" t="s">
        <v>36</v>
      </c>
      <c r="H2401" t="s">
        <v>4360</v>
      </c>
      <c r="K2401" t="s">
        <v>3795</v>
      </c>
      <c r="L2401" t="s">
        <v>19</v>
      </c>
      <c r="M2401" t="s">
        <v>20</v>
      </c>
      <c r="P2401">
        <v>100000</v>
      </c>
      <c r="Q2401">
        <v>100000</v>
      </c>
      <c r="R2401" t="s">
        <v>4183</v>
      </c>
      <c r="S2401" t="s">
        <v>195</v>
      </c>
      <c r="T2401">
        <v>416.3</v>
      </c>
    </row>
    <row r="2402" spans="1:20" x14ac:dyDescent="0.25">
      <c r="A2402" t="s">
        <v>14</v>
      </c>
      <c r="B2402" t="s">
        <v>192</v>
      </c>
      <c r="C2402" t="s">
        <v>4414</v>
      </c>
      <c r="D2402" t="s">
        <v>4401</v>
      </c>
      <c r="E2402">
        <v>47300026094</v>
      </c>
      <c r="F2402" t="s">
        <v>35</v>
      </c>
      <c r="G2402" t="s">
        <v>36</v>
      </c>
      <c r="H2402" t="s">
        <v>4359</v>
      </c>
      <c r="K2402" t="s">
        <v>3795</v>
      </c>
      <c r="L2402" t="s">
        <v>19</v>
      </c>
      <c r="M2402" t="s">
        <v>20</v>
      </c>
      <c r="P2402">
        <v>100000</v>
      </c>
      <c r="Q2402">
        <v>100000</v>
      </c>
      <c r="R2402" t="s">
        <v>4184</v>
      </c>
      <c r="S2402" t="s">
        <v>193</v>
      </c>
      <c r="T2402">
        <v>416.3</v>
      </c>
    </row>
    <row r="2403" spans="1:20" x14ac:dyDescent="0.25">
      <c r="A2403" t="s">
        <v>14</v>
      </c>
      <c r="B2403" t="s">
        <v>190</v>
      </c>
      <c r="C2403" t="s">
        <v>4367</v>
      </c>
      <c r="D2403" t="s">
        <v>4368</v>
      </c>
      <c r="E2403">
        <v>47300046746</v>
      </c>
      <c r="F2403" t="s">
        <v>16</v>
      </c>
      <c r="G2403" t="s">
        <v>28</v>
      </c>
      <c r="H2403" t="s">
        <v>32</v>
      </c>
      <c r="K2403" t="s">
        <v>4266</v>
      </c>
      <c r="L2403" t="s">
        <v>19</v>
      </c>
      <c r="M2403" t="s">
        <v>63</v>
      </c>
      <c r="N2403" s="2">
        <v>45627</v>
      </c>
      <c r="O2403" s="2">
        <v>45657</v>
      </c>
      <c r="P2403">
        <v>20000</v>
      </c>
      <c r="Q2403">
        <v>20000</v>
      </c>
      <c r="R2403" t="s">
        <v>3253</v>
      </c>
      <c r="S2403" t="s">
        <v>191</v>
      </c>
      <c r="T2403">
        <v>83.3</v>
      </c>
    </row>
    <row r="2404" spans="1:20" x14ac:dyDescent="0.25">
      <c r="A2404" t="s">
        <v>14</v>
      </c>
      <c r="B2404" t="s">
        <v>190</v>
      </c>
      <c r="C2404" t="s">
        <v>4371</v>
      </c>
      <c r="D2404" t="s">
        <v>4368</v>
      </c>
      <c r="E2404">
        <v>47300046746</v>
      </c>
      <c r="F2404" t="s">
        <v>16</v>
      </c>
      <c r="G2404" t="s">
        <v>28</v>
      </c>
      <c r="H2404" t="s">
        <v>32</v>
      </c>
      <c r="K2404" t="s">
        <v>3197</v>
      </c>
      <c r="L2404" t="s">
        <v>19</v>
      </c>
      <c r="M2404" t="s">
        <v>46</v>
      </c>
      <c r="N2404" s="2">
        <v>45627</v>
      </c>
      <c r="O2404" s="2">
        <v>45657</v>
      </c>
      <c r="P2404">
        <v>150650</v>
      </c>
      <c r="Q2404">
        <v>150650</v>
      </c>
      <c r="R2404" t="s">
        <v>3253</v>
      </c>
    </row>
    <row r="2405" spans="1:20" x14ac:dyDescent="0.25">
      <c r="A2405" t="s">
        <v>14</v>
      </c>
      <c r="B2405" t="s">
        <v>188</v>
      </c>
      <c r="C2405" t="s">
        <v>4414</v>
      </c>
      <c r="D2405" t="s">
        <v>4401</v>
      </c>
      <c r="E2405">
        <v>47300046241</v>
      </c>
      <c r="F2405" t="s">
        <v>16</v>
      </c>
      <c r="G2405" t="s">
        <v>23</v>
      </c>
      <c r="H2405" t="s">
        <v>24</v>
      </c>
      <c r="I2405" t="s">
        <v>2754</v>
      </c>
      <c r="J2405">
        <v>0</v>
      </c>
      <c r="K2405" t="s">
        <v>3795</v>
      </c>
      <c r="L2405" t="s">
        <v>19</v>
      </c>
      <c r="M2405" t="s">
        <v>20</v>
      </c>
      <c r="P2405">
        <v>20000</v>
      </c>
      <c r="Q2405">
        <v>20000</v>
      </c>
      <c r="R2405" t="s">
        <v>4185</v>
      </c>
      <c r="S2405" t="s">
        <v>189</v>
      </c>
      <c r="T2405">
        <v>83.2</v>
      </c>
    </row>
    <row r="2406" spans="1:20" x14ac:dyDescent="0.25">
      <c r="A2406" t="s">
        <v>14</v>
      </c>
      <c r="B2406" t="s">
        <v>186</v>
      </c>
      <c r="C2406" t="s">
        <v>2927</v>
      </c>
      <c r="D2406" t="s">
        <v>4385</v>
      </c>
      <c r="E2406">
        <v>47300086445</v>
      </c>
      <c r="F2406" t="s">
        <v>16</v>
      </c>
      <c r="G2406" t="s">
        <v>28</v>
      </c>
      <c r="H2406" t="s">
        <v>187</v>
      </c>
      <c r="I2406" t="s">
        <v>2777</v>
      </c>
      <c r="J2406" t="s">
        <v>2776</v>
      </c>
      <c r="K2406" t="s">
        <v>3518</v>
      </c>
      <c r="L2406" t="s">
        <v>47</v>
      </c>
      <c r="N2406" s="2">
        <v>45631</v>
      </c>
      <c r="O2406" s="2">
        <v>45631</v>
      </c>
      <c r="P2406">
        <v>125954.01</v>
      </c>
      <c r="Q2406">
        <v>125954.01</v>
      </c>
      <c r="R2406" t="s">
        <v>3254</v>
      </c>
    </row>
    <row r="2407" spans="1:20" x14ac:dyDescent="0.25">
      <c r="A2407" t="s">
        <v>14</v>
      </c>
      <c r="B2407" t="s">
        <v>186</v>
      </c>
      <c r="C2407" t="s">
        <v>4384</v>
      </c>
      <c r="D2407" t="s">
        <v>4379</v>
      </c>
      <c r="E2407">
        <v>47300086445</v>
      </c>
      <c r="F2407" t="s">
        <v>16</v>
      </c>
      <c r="G2407" t="s">
        <v>28</v>
      </c>
      <c r="H2407" t="s">
        <v>187</v>
      </c>
      <c r="I2407" t="s">
        <v>2777</v>
      </c>
      <c r="J2407" t="s">
        <v>2776</v>
      </c>
      <c r="K2407" t="s">
        <v>3294</v>
      </c>
      <c r="L2407" t="s">
        <v>19</v>
      </c>
      <c r="M2407" t="s">
        <v>46</v>
      </c>
      <c r="N2407" s="2">
        <v>45627</v>
      </c>
      <c r="O2407" s="2">
        <v>45657</v>
      </c>
      <c r="P2407">
        <v>500</v>
      </c>
      <c r="Q2407">
        <v>500</v>
      </c>
      <c r="R2407" t="s">
        <v>3254</v>
      </c>
    </row>
    <row r="2408" spans="1:20" x14ac:dyDescent="0.25">
      <c r="A2408" t="s">
        <v>14</v>
      </c>
      <c r="B2408" t="s">
        <v>186</v>
      </c>
      <c r="C2408" t="s">
        <v>4369</v>
      </c>
      <c r="D2408" t="s">
        <v>4370</v>
      </c>
      <c r="E2408">
        <v>47300086445</v>
      </c>
      <c r="F2408" t="s">
        <v>16</v>
      </c>
      <c r="G2408" t="s">
        <v>28</v>
      </c>
      <c r="H2408" t="s">
        <v>187</v>
      </c>
      <c r="I2408" t="s">
        <v>2777</v>
      </c>
      <c r="J2408" t="s">
        <v>2776</v>
      </c>
      <c r="K2408" t="s">
        <v>3197</v>
      </c>
      <c r="L2408" t="s">
        <v>19</v>
      </c>
      <c r="M2408" t="s">
        <v>46</v>
      </c>
      <c r="N2408" s="2">
        <v>45627</v>
      </c>
      <c r="O2408" s="2">
        <v>45657</v>
      </c>
      <c r="P2408">
        <v>150650</v>
      </c>
      <c r="Q2408">
        <v>150650</v>
      </c>
      <c r="R2408" t="s">
        <v>3254</v>
      </c>
    </row>
    <row r="2409" spans="1:20" x14ac:dyDescent="0.25">
      <c r="A2409" t="s">
        <v>14</v>
      </c>
      <c r="B2409" t="s">
        <v>183</v>
      </c>
      <c r="C2409" t="s">
        <v>4384</v>
      </c>
      <c r="D2409" t="s">
        <v>4379</v>
      </c>
      <c r="E2409">
        <v>47300070480</v>
      </c>
      <c r="F2409" t="s">
        <v>16</v>
      </c>
      <c r="G2409" t="s">
        <v>28</v>
      </c>
      <c r="H2409" t="s">
        <v>184</v>
      </c>
      <c r="K2409" t="s">
        <v>4266</v>
      </c>
      <c r="L2409" t="s">
        <v>19</v>
      </c>
      <c r="M2409" t="s">
        <v>63</v>
      </c>
      <c r="N2409" s="2">
        <v>45627</v>
      </c>
      <c r="O2409" s="2">
        <v>45657</v>
      </c>
      <c r="P2409">
        <v>100000</v>
      </c>
      <c r="Q2409">
        <v>100000</v>
      </c>
      <c r="R2409" t="s">
        <v>3255</v>
      </c>
      <c r="S2409" t="s">
        <v>185</v>
      </c>
      <c r="T2409">
        <v>416.3</v>
      </c>
    </row>
    <row r="2410" spans="1:20" x14ac:dyDescent="0.25">
      <c r="A2410" t="s">
        <v>14</v>
      </c>
      <c r="B2410" t="s">
        <v>183</v>
      </c>
      <c r="C2410" t="s">
        <v>4369</v>
      </c>
      <c r="D2410" t="s">
        <v>4370</v>
      </c>
      <c r="E2410">
        <v>47300070480</v>
      </c>
      <c r="F2410" t="s">
        <v>16</v>
      </c>
      <c r="G2410" t="s">
        <v>28</v>
      </c>
      <c r="H2410" t="s">
        <v>184</v>
      </c>
      <c r="K2410" t="s">
        <v>3294</v>
      </c>
      <c r="L2410" t="s">
        <v>19</v>
      </c>
      <c r="M2410" t="s">
        <v>46</v>
      </c>
      <c r="N2410" s="2">
        <v>45627</v>
      </c>
      <c r="O2410" s="2">
        <v>45657</v>
      </c>
      <c r="P2410">
        <v>500</v>
      </c>
      <c r="Q2410">
        <v>500</v>
      </c>
      <c r="R2410" t="s">
        <v>3255</v>
      </c>
    </row>
    <row r="2411" spans="1:20" x14ac:dyDescent="0.25">
      <c r="A2411" t="s">
        <v>14</v>
      </c>
      <c r="B2411" t="s">
        <v>183</v>
      </c>
      <c r="C2411" t="s">
        <v>2927</v>
      </c>
      <c r="D2411" t="s">
        <v>4385</v>
      </c>
      <c r="E2411">
        <v>47300070480</v>
      </c>
      <c r="F2411" t="s">
        <v>16</v>
      </c>
      <c r="G2411" t="s">
        <v>28</v>
      </c>
      <c r="H2411" t="s">
        <v>184</v>
      </c>
      <c r="K2411" t="s">
        <v>3197</v>
      </c>
      <c r="L2411" t="s">
        <v>19</v>
      </c>
      <c r="M2411" t="s">
        <v>46</v>
      </c>
      <c r="N2411" s="2">
        <v>45627</v>
      </c>
      <c r="O2411" s="2">
        <v>45657</v>
      </c>
      <c r="P2411">
        <v>150650</v>
      </c>
      <c r="Q2411">
        <v>150650</v>
      </c>
      <c r="R2411" t="s">
        <v>3255</v>
      </c>
    </row>
    <row r="2412" spans="1:20" x14ac:dyDescent="0.25">
      <c r="A2412" t="s">
        <v>14</v>
      </c>
      <c r="B2412" t="s">
        <v>182</v>
      </c>
      <c r="C2412" t="s">
        <v>4384</v>
      </c>
      <c r="D2412" t="s">
        <v>4379</v>
      </c>
      <c r="E2412">
        <v>47300046365</v>
      </c>
      <c r="F2412" t="s">
        <v>16</v>
      </c>
      <c r="G2412" t="s">
        <v>28</v>
      </c>
      <c r="H2412" t="s">
        <v>62</v>
      </c>
      <c r="K2412" t="s">
        <v>3294</v>
      </c>
      <c r="L2412" t="s">
        <v>19</v>
      </c>
      <c r="M2412" t="s">
        <v>46</v>
      </c>
      <c r="N2412" s="2">
        <v>45627</v>
      </c>
      <c r="O2412" s="2">
        <v>45657</v>
      </c>
      <c r="P2412">
        <v>500</v>
      </c>
      <c r="Q2412">
        <v>500</v>
      </c>
      <c r="R2412" t="s">
        <v>3256</v>
      </c>
    </row>
    <row r="2413" spans="1:20" x14ac:dyDescent="0.25">
      <c r="A2413" t="s">
        <v>14</v>
      </c>
      <c r="B2413" t="s">
        <v>182</v>
      </c>
      <c r="C2413" t="s">
        <v>4369</v>
      </c>
      <c r="D2413" t="s">
        <v>4370</v>
      </c>
      <c r="E2413">
        <v>47300046365</v>
      </c>
      <c r="F2413" t="s">
        <v>16</v>
      </c>
      <c r="G2413" t="s">
        <v>28</v>
      </c>
      <c r="H2413" t="s">
        <v>62</v>
      </c>
      <c r="K2413" t="s">
        <v>3197</v>
      </c>
      <c r="L2413" t="s">
        <v>19</v>
      </c>
      <c r="M2413" t="s">
        <v>46</v>
      </c>
      <c r="N2413" s="2">
        <v>45627</v>
      </c>
      <c r="O2413" s="2">
        <v>45657</v>
      </c>
      <c r="P2413">
        <v>150650</v>
      </c>
      <c r="Q2413">
        <v>150650</v>
      </c>
      <c r="R2413" t="s">
        <v>3256</v>
      </c>
    </row>
    <row r="2414" spans="1:20" x14ac:dyDescent="0.25">
      <c r="A2414" t="s">
        <v>14</v>
      </c>
      <c r="B2414" t="s">
        <v>180</v>
      </c>
      <c r="C2414" t="s">
        <v>4406</v>
      </c>
      <c r="D2414" t="s">
        <v>4394</v>
      </c>
      <c r="E2414">
        <v>47300046688</v>
      </c>
      <c r="F2414" t="s">
        <v>16</v>
      </c>
      <c r="G2414" t="s">
        <v>17</v>
      </c>
      <c r="H2414" t="s">
        <v>154</v>
      </c>
      <c r="K2414" t="s">
        <v>3795</v>
      </c>
      <c r="L2414" t="s">
        <v>19</v>
      </c>
      <c r="M2414" t="s">
        <v>20</v>
      </c>
      <c r="P2414">
        <v>20000</v>
      </c>
      <c r="Q2414">
        <v>20000</v>
      </c>
      <c r="R2414" t="s">
        <v>4186</v>
      </c>
      <c r="S2414" t="s">
        <v>181</v>
      </c>
      <c r="T2414">
        <v>83.3</v>
      </c>
    </row>
    <row r="2415" spans="1:20" x14ac:dyDescent="0.25">
      <c r="A2415" t="s">
        <v>14</v>
      </c>
      <c r="B2415" t="s">
        <v>177</v>
      </c>
      <c r="C2415" t="s">
        <v>4384</v>
      </c>
      <c r="D2415" t="s">
        <v>4391</v>
      </c>
      <c r="E2415">
        <v>47300070605</v>
      </c>
      <c r="F2415" t="s">
        <v>16</v>
      </c>
      <c r="G2415" t="s">
        <v>28</v>
      </c>
      <c r="H2415" t="s">
        <v>178</v>
      </c>
      <c r="K2415" t="s">
        <v>4266</v>
      </c>
      <c r="L2415" t="s">
        <v>19</v>
      </c>
      <c r="M2415" t="s">
        <v>63</v>
      </c>
      <c r="N2415" s="2">
        <v>45627</v>
      </c>
      <c r="O2415" s="2">
        <v>45657</v>
      </c>
      <c r="P2415">
        <v>40000</v>
      </c>
      <c r="Q2415">
        <v>40000</v>
      </c>
      <c r="R2415" t="s">
        <v>3173</v>
      </c>
      <c r="S2415" t="s">
        <v>179</v>
      </c>
      <c r="T2415">
        <v>166.5</v>
      </c>
    </row>
    <row r="2416" spans="1:20" x14ac:dyDescent="0.25">
      <c r="A2416" t="s">
        <v>14</v>
      </c>
      <c r="B2416" t="s">
        <v>177</v>
      </c>
      <c r="C2416" t="s">
        <v>4405</v>
      </c>
      <c r="D2416" t="s">
        <v>4390</v>
      </c>
      <c r="E2416">
        <v>47300070605</v>
      </c>
      <c r="F2416" t="s">
        <v>16</v>
      </c>
      <c r="G2416" t="s">
        <v>28</v>
      </c>
      <c r="H2416" t="s">
        <v>178</v>
      </c>
      <c r="K2416" t="s">
        <v>3294</v>
      </c>
      <c r="L2416" t="s">
        <v>19</v>
      </c>
      <c r="M2416" t="s">
        <v>46</v>
      </c>
      <c r="N2416" s="2">
        <v>45627</v>
      </c>
      <c r="O2416" s="2">
        <v>45657</v>
      </c>
      <c r="P2416">
        <v>500</v>
      </c>
      <c r="Q2416">
        <v>500</v>
      </c>
      <c r="R2416" t="s">
        <v>3173</v>
      </c>
    </row>
    <row r="2417" spans="1:20" x14ac:dyDescent="0.25">
      <c r="A2417" t="s">
        <v>14</v>
      </c>
      <c r="B2417" t="s">
        <v>177</v>
      </c>
      <c r="C2417" t="s">
        <v>4384</v>
      </c>
      <c r="D2417" t="s">
        <v>4391</v>
      </c>
      <c r="E2417">
        <v>47300070605</v>
      </c>
      <c r="F2417" t="s">
        <v>16</v>
      </c>
      <c r="G2417" t="s">
        <v>28</v>
      </c>
      <c r="H2417" t="s">
        <v>178</v>
      </c>
      <c r="K2417" t="s">
        <v>3197</v>
      </c>
      <c r="L2417" t="s">
        <v>19</v>
      </c>
      <c r="M2417" t="s">
        <v>46</v>
      </c>
      <c r="N2417" s="2">
        <v>45627</v>
      </c>
      <c r="O2417" s="2">
        <v>45657</v>
      </c>
      <c r="P2417">
        <v>150650</v>
      </c>
      <c r="Q2417">
        <v>150650</v>
      </c>
      <c r="R2417" t="s">
        <v>3173</v>
      </c>
    </row>
    <row r="2418" spans="1:20" x14ac:dyDescent="0.25">
      <c r="A2418" t="s">
        <v>14</v>
      </c>
      <c r="B2418" t="s">
        <v>177</v>
      </c>
      <c r="C2418" t="s">
        <v>4405</v>
      </c>
      <c r="D2418" t="s">
        <v>4390</v>
      </c>
      <c r="E2418">
        <v>47300070605</v>
      </c>
      <c r="F2418" t="s">
        <v>16</v>
      </c>
      <c r="G2418" t="s">
        <v>28</v>
      </c>
      <c r="H2418" t="s">
        <v>178</v>
      </c>
      <c r="K2418" t="s">
        <v>2892</v>
      </c>
      <c r="L2418" t="s">
        <v>19</v>
      </c>
      <c r="M2418" t="s">
        <v>46</v>
      </c>
      <c r="N2418" s="2">
        <v>45627</v>
      </c>
      <c r="O2418" s="2">
        <v>45657</v>
      </c>
      <c r="P2418">
        <v>10000</v>
      </c>
      <c r="Q2418">
        <v>10000</v>
      </c>
      <c r="R2418" t="s">
        <v>3173</v>
      </c>
    </row>
    <row r="2419" spans="1:20" x14ac:dyDescent="0.25">
      <c r="A2419" t="s">
        <v>14</v>
      </c>
      <c r="B2419" t="s">
        <v>174</v>
      </c>
      <c r="C2419" t="s">
        <v>4384</v>
      </c>
      <c r="D2419" t="s">
        <v>4391</v>
      </c>
      <c r="E2419">
        <v>47300046977</v>
      </c>
      <c r="F2419" t="s">
        <v>16</v>
      </c>
      <c r="G2419" t="s">
        <v>17</v>
      </c>
      <c r="H2419" t="s">
        <v>175</v>
      </c>
      <c r="K2419" t="s">
        <v>4266</v>
      </c>
      <c r="L2419" t="s">
        <v>19</v>
      </c>
      <c r="M2419" t="s">
        <v>63</v>
      </c>
      <c r="N2419" s="2">
        <v>45627</v>
      </c>
      <c r="O2419" s="2">
        <v>45657</v>
      </c>
      <c r="P2419">
        <v>20000</v>
      </c>
      <c r="Q2419">
        <v>20000</v>
      </c>
      <c r="R2419" t="s">
        <v>3257</v>
      </c>
      <c r="S2419" t="s">
        <v>176</v>
      </c>
      <c r="T2419">
        <v>83.3</v>
      </c>
    </row>
    <row r="2420" spans="1:20" x14ac:dyDescent="0.25">
      <c r="A2420" t="s">
        <v>14</v>
      </c>
      <c r="B2420" t="s">
        <v>174</v>
      </c>
      <c r="C2420" t="s">
        <v>4384</v>
      </c>
      <c r="D2420" t="s">
        <v>4391</v>
      </c>
      <c r="E2420">
        <v>47300046977</v>
      </c>
      <c r="F2420" t="s">
        <v>16</v>
      </c>
      <c r="G2420" t="s">
        <v>17</v>
      </c>
      <c r="H2420" t="s">
        <v>175</v>
      </c>
      <c r="K2420" t="s">
        <v>3518</v>
      </c>
      <c r="L2420" t="s">
        <v>47</v>
      </c>
      <c r="N2420" s="2">
        <v>45631</v>
      </c>
      <c r="O2420" s="2">
        <v>45631</v>
      </c>
      <c r="P2420">
        <v>128025.01</v>
      </c>
      <c r="Q2420">
        <v>128025.01</v>
      </c>
      <c r="R2420" t="s">
        <v>3257</v>
      </c>
    </row>
    <row r="2421" spans="1:20" x14ac:dyDescent="0.25">
      <c r="A2421" t="s">
        <v>14</v>
      </c>
      <c r="B2421" t="s">
        <v>174</v>
      </c>
      <c r="C2421" t="s">
        <v>4405</v>
      </c>
      <c r="D2421" t="s">
        <v>4390</v>
      </c>
      <c r="E2421">
        <v>47300046977</v>
      </c>
      <c r="F2421" t="s">
        <v>16</v>
      </c>
      <c r="G2421" t="s">
        <v>17</v>
      </c>
      <c r="H2421" t="s">
        <v>175</v>
      </c>
      <c r="K2421" t="s">
        <v>3294</v>
      </c>
      <c r="L2421" t="s">
        <v>19</v>
      </c>
      <c r="M2421" t="s">
        <v>46</v>
      </c>
      <c r="N2421" s="2">
        <v>45627</v>
      </c>
      <c r="O2421" s="2">
        <v>45657</v>
      </c>
      <c r="P2421">
        <v>500</v>
      </c>
      <c r="Q2421">
        <v>500</v>
      </c>
      <c r="R2421" t="s">
        <v>3257</v>
      </c>
    </row>
    <row r="2422" spans="1:20" x14ac:dyDescent="0.25">
      <c r="A2422" t="s">
        <v>14</v>
      </c>
      <c r="B2422" t="s">
        <v>174</v>
      </c>
      <c r="C2422" t="s">
        <v>4405</v>
      </c>
      <c r="D2422" t="s">
        <v>4390</v>
      </c>
      <c r="E2422">
        <v>47300046977</v>
      </c>
      <c r="F2422" t="s">
        <v>16</v>
      </c>
      <c r="G2422" t="s">
        <v>17</v>
      </c>
      <c r="H2422" t="s">
        <v>175</v>
      </c>
      <c r="K2422" t="s">
        <v>3197</v>
      </c>
      <c r="L2422" t="s">
        <v>19</v>
      </c>
      <c r="M2422" t="s">
        <v>46</v>
      </c>
      <c r="N2422" s="2">
        <v>45627</v>
      </c>
      <c r="O2422" s="2">
        <v>45657</v>
      </c>
      <c r="P2422">
        <v>150650</v>
      </c>
      <c r="Q2422">
        <v>150650</v>
      </c>
      <c r="R2422" t="s">
        <v>3257</v>
      </c>
    </row>
    <row r="2423" spans="1:20" x14ac:dyDescent="0.25">
      <c r="A2423" t="s">
        <v>14</v>
      </c>
      <c r="B2423" t="s">
        <v>173</v>
      </c>
      <c r="C2423" t="s">
        <v>4396</v>
      </c>
      <c r="D2423" t="s">
        <v>4397</v>
      </c>
      <c r="E2423">
        <v>47300046662</v>
      </c>
      <c r="F2423" t="s">
        <v>16</v>
      </c>
      <c r="G2423" t="s">
        <v>28</v>
      </c>
      <c r="H2423" t="s">
        <v>129</v>
      </c>
      <c r="K2423" t="s">
        <v>3518</v>
      </c>
      <c r="L2423" t="s">
        <v>47</v>
      </c>
      <c r="N2423" s="2">
        <v>45631</v>
      </c>
      <c r="O2423" s="2">
        <v>45631</v>
      </c>
      <c r="P2423">
        <v>125954.01</v>
      </c>
      <c r="Q2423">
        <v>125954.01</v>
      </c>
      <c r="R2423" t="s">
        <v>3174</v>
      </c>
    </row>
    <row r="2424" spans="1:20" x14ac:dyDescent="0.25">
      <c r="A2424" t="s">
        <v>14</v>
      </c>
      <c r="B2424" t="s">
        <v>173</v>
      </c>
      <c r="C2424" t="s">
        <v>4374</v>
      </c>
      <c r="D2424" t="s">
        <v>4375</v>
      </c>
      <c r="E2424">
        <v>47300046662</v>
      </c>
      <c r="F2424" t="s">
        <v>16</v>
      </c>
      <c r="G2424" t="s">
        <v>28</v>
      </c>
      <c r="H2424" t="s">
        <v>129</v>
      </c>
      <c r="K2424" t="s">
        <v>3294</v>
      </c>
      <c r="L2424" t="s">
        <v>19</v>
      </c>
      <c r="M2424" t="s">
        <v>46</v>
      </c>
      <c r="N2424" s="2">
        <v>45627</v>
      </c>
      <c r="O2424" s="2">
        <v>45657</v>
      </c>
      <c r="P2424">
        <v>500</v>
      </c>
      <c r="Q2424">
        <v>500</v>
      </c>
      <c r="R2424" t="s">
        <v>3174</v>
      </c>
    </row>
    <row r="2425" spans="1:20" x14ac:dyDescent="0.25">
      <c r="A2425" t="s">
        <v>14</v>
      </c>
      <c r="B2425" t="s">
        <v>173</v>
      </c>
      <c r="C2425" t="s">
        <v>4414</v>
      </c>
      <c r="D2425" t="s">
        <v>4401</v>
      </c>
      <c r="E2425">
        <v>47300046662</v>
      </c>
      <c r="F2425" t="s">
        <v>16</v>
      </c>
      <c r="G2425" t="s">
        <v>28</v>
      </c>
      <c r="H2425" t="s">
        <v>129</v>
      </c>
      <c r="K2425" t="s">
        <v>3197</v>
      </c>
      <c r="L2425" t="s">
        <v>19</v>
      </c>
      <c r="M2425" t="s">
        <v>46</v>
      </c>
      <c r="N2425" s="2">
        <v>45627</v>
      </c>
      <c r="O2425" s="2">
        <v>45657</v>
      </c>
      <c r="P2425">
        <v>150650</v>
      </c>
      <c r="Q2425">
        <v>150650</v>
      </c>
      <c r="R2425" t="s">
        <v>3174</v>
      </c>
    </row>
    <row r="2426" spans="1:20" x14ac:dyDescent="0.25">
      <c r="A2426" t="s">
        <v>14</v>
      </c>
      <c r="B2426" t="s">
        <v>173</v>
      </c>
      <c r="C2426" t="s">
        <v>4387</v>
      </c>
      <c r="D2426" t="s">
        <v>4388</v>
      </c>
      <c r="E2426">
        <v>47300046662</v>
      </c>
      <c r="F2426" t="s">
        <v>16</v>
      </c>
      <c r="G2426" t="s">
        <v>28</v>
      </c>
      <c r="H2426" t="s">
        <v>129</v>
      </c>
      <c r="K2426" t="s">
        <v>2892</v>
      </c>
      <c r="L2426" t="s">
        <v>19</v>
      </c>
      <c r="M2426" t="s">
        <v>46</v>
      </c>
      <c r="N2426" s="2">
        <v>45627</v>
      </c>
      <c r="O2426" s="2">
        <v>45657</v>
      </c>
      <c r="P2426">
        <v>10000</v>
      </c>
      <c r="Q2426">
        <v>10000</v>
      </c>
      <c r="R2426" t="s">
        <v>3174</v>
      </c>
    </row>
    <row r="2427" spans="1:20" x14ac:dyDescent="0.25">
      <c r="A2427" t="s">
        <v>14</v>
      </c>
      <c r="B2427" t="s">
        <v>171</v>
      </c>
      <c r="C2427" t="s">
        <v>4396</v>
      </c>
      <c r="D2427" t="s">
        <v>4397</v>
      </c>
      <c r="E2427">
        <v>47300046761</v>
      </c>
      <c r="F2427" t="s">
        <v>42</v>
      </c>
      <c r="G2427" t="s">
        <v>28</v>
      </c>
      <c r="H2427" t="s">
        <v>43</v>
      </c>
      <c r="K2427" t="s">
        <v>3795</v>
      </c>
      <c r="L2427" t="s">
        <v>19</v>
      </c>
      <c r="M2427" t="s">
        <v>20</v>
      </c>
      <c r="P2427">
        <v>50000</v>
      </c>
      <c r="Q2427">
        <v>50000</v>
      </c>
      <c r="R2427" t="s">
        <v>4187</v>
      </c>
      <c r="S2427" t="s">
        <v>172</v>
      </c>
      <c r="T2427">
        <v>208.2</v>
      </c>
    </row>
    <row r="2428" spans="1:20" x14ac:dyDescent="0.25">
      <c r="A2428" t="s">
        <v>14</v>
      </c>
      <c r="B2428" t="s">
        <v>169</v>
      </c>
      <c r="C2428" t="s">
        <v>4396</v>
      </c>
      <c r="D2428" t="s">
        <v>4397</v>
      </c>
      <c r="E2428">
        <v>47300046746</v>
      </c>
      <c r="F2428" t="s">
        <v>16</v>
      </c>
      <c r="G2428" t="s">
        <v>28</v>
      </c>
      <c r="H2428" t="s">
        <v>32</v>
      </c>
      <c r="K2428" t="s">
        <v>3795</v>
      </c>
      <c r="L2428" t="s">
        <v>19</v>
      </c>
      <c r="M2428" t="s">
        <v>20</v>
      </c>
      <c r="P2428">
        <v>10000</v>
      </c>
      <c r="Q2428">
        <v>10000</v>
      </c>
      <c r="R2428" t="s">
        <v>4188</v>
      </c>
      <c r="S2428" t="s">
        <v>170</v>
      </c>
      <c r="T2428">
        <v>41.6</v>
      </c>
    </row>
    <row r="2429" spans="1:20" x14ac:dyDescent="0.25">
      <c r="A2429" t="s">
        <v>14</v>
      </c>
      <c r="B2429" t="s">
        <v>167</v>
      </c>
      <c r="C2429" t="s">
        <v>4396</v>
      </c>
      <c r="D2429" t="s">
        <v>4397</v>
      </c>
      <c r="E2429">
        <v>47300070795</v>
      </c>
      <c r="F2429" t="s">
        <v>16</v>
      </c>
      <c r="G2429" t="s">
        <v>87</v>
      </c>
      <c r="H2429" t="s">
        <v>88</v>
      </c>
      <c r="K2429" t="s">
        <v>3795</v>
      </c>
      <c r="L2429" t="s">
        <v>19</v>
      </c>
      <c r="M2429" t="s">
        <v>20</v>
      </c>
      <c r="P2429">
        <v>25000</v>
      </c>
      <c r="Q2429">
        <v>25000</v>
      </c>
      <c r="R2429" t="s">
        <v>4189</v>
      </c>
      <c r="S2429" t="s">
        <v>168</v>
      </c>
      <c r="T2429">
        <v>104.1</v>
      </c>
    </row>
    <row r="2430" spans="1:20" x14ac:dyDescent="0.25">
      <c r="A2430" t="s">
        <v>14</v>
      </c>
      <c r="B2430" t="s">
        <v>164</v>
      </c>
      <c r="C2430" t="s">
        <v>4402</v>
      </c>
      <c r="D2430" t="s">
        <v>4403</v>
      </c>
      <c r="E2430">
        <v>47300070837</v>
      </c>
      <c r="F2430" t="s">
        <v>16</v>
      </c>
      <c r="G2430" t="s">
        <v>23</v>
      </c>
      <c r="H2430" t="s">
        <v>165</v>
      </c>
      <c r="K2430" t="s">
        <v>3795</v>
      </c>
      <c r="L2430" t="s">
        <v>19</v>
      </c>
      <c r="M2430" t="s">
        <v>20</v>
      </c>
      <c r="P2430">
        <v>100000</v>
      </c>
      <c r="Q2430">
        <v>100000</v>
      </c>
      <c r="R2430" t="s">
        <v>4190</v>
      </c>
      <c r="S2430" t="s">
        <v>166</v>
      </c>
      <c r="T2430">
        <v>416.3</v>
      </c>
    </row>
    <row r="2431" spans="1:20" x14ac:dyDescent="0.25">
      <c r="A2431" t="s">
        <v>14</v>
      </c>
      <c r="B2431" t="s">
        <v>162</v>
      </c>
      <c r="C2431" t="s">
        <v>4412</v>
      </c>
      <c r="D2431" t="s">
        <v>4377</v>
      </c>
      <c r="E2431">
        <v>47300026094</v>
      </c>
      <c r="F2431" t="s">
        <v>35</v>
      </c>
      <c r="G2431" t="s">
        <v>36</v>
      </c>
      <c r="H2431" t="s">
        <v>4359</v>
      </c>
      <c r="K2431" t="s">
        <v>3795</v>
      </c>
      <c r="L2431" t="s">
        <v>19</v>
      </c>
      <c r="M2431" t="s">
        <v>20</v>
      </c>
      <c r="P2431">
        <v>100000</v>
      </c>
      <c r="Q2431">
        <v>100000</v>
      </c>
      <c r="R2431" t="s">
        <v>4191</v>
      </c>
      <c r="S2431" t="s">
        <v>163</v>
      </c>
      <c r="T2431">
        <v>416.3</v>
      </c>
    </row>
    <row r="2432" spans="1:20" x14ac:dyDescent="0.25">
      <c r="A2432" t="s">
        <v>14</v>
      </c>
      <c r="B2432" t="s">
        <v>159</v>
      </c>
      <c r="C2432" t="s">
        <v>4367</v>
      </c>
      <c r="D2432" t="s">
        <v>4368</v>
      </c>
      <c r="E2432">
        <v>47300046258</v>
      </c>
      <c r="F2432" t="s">
        <v>16</v>
      </c>
      <c r="G2432" t="s">
        <v>28</v>
      </c>
      <c r="H2432" t="s">
        <v>160</v>
      </c>
      <c r="K2432" t="s">
        <v>3795</v>
      </c>
      <c r="L2432" t="s">
        <v>19</v>
      </c>
      <c r="M2432" t="s">
        <v>20</v>
      </c>
      <c r="P2432">
        <v>50000</v>
      </c>
      <c r="Q2432">
        <v>50000</v>
      </c>
      <c r="R2432" t="s">
        <v>3534</v>
      </c>
      <c r="S2432" t="s">
        <v>161</v>
      </c>
      <c r="T2432">
        <v>208.1</v>
      </c>
    </row>
    <row r="2433" spans="1:20" x14ac:dyDescent="0.25">
      <c r="A2433" t="s">
        <v>14</v>
      </c>
      <c r="B2433" t="s">
        <v>159</v>
      </c>
      <c r="C2433" t="s">
        <v>2927</v>
      </c>
      <c r="D2433" t="s">
        <v>4375</v>
      </c>
      <c r="E2433">
        <v>47300046258</v>
      </c>
      <c r="F2433" t="s">
        <v>16</v>
      </c>
      <c r="G2433" t="s">
        <v>28</v>
      </c>
      <c r="H2433" t="s">
        <v>160</v>
      </c>
      <c r="K2433" t="s">
        <v>3518</v>
      </c>
      <c r="L2433" t="s">
        <v>47</v>
      </c>
      <c r="N2433" s="2">
        <v>45631</v>
      </c>
      <c r="O2433" s="2">
        <v>45631</v>
      </c>
      <c r="P2433">
        <v>125954.01</v>
      </c>
      <c r="Q2433">
        <v>125954.01</v>
      </c>
      <c r="R2433" t="s">
        <v>3534</v>
      </c>
    </row>
    <row r="2434" spans="1:20" x14ac:dyDescent="0.25">
      <c r="A2434" t="s">
        <v>14</v>
      </c>
      <c r="B2434" t="s">
        <v>156</v>
      </c>
      <c r="C2434" t="s">
        <v>4412</v>
      </c>
      <c r="D2434" t="s">
        <v>4377</v>
      </c>
      <c r="E2434">
        <v>47300070845</v>
      </c>
      <c r="F2434" t="s">
        <v>16</v>
      </c>
      <c r="G2434" t="s">
        <v>23</v>
      </c>
      <c r="H2434" t="s">
        <v>157</v>
      </c>
      <c r="K2434" t="s">
        <v>4266</v>
      </c>
      <c r="L2434" t="s">
        <v>19</v>
      </c>
      <c r="M2434" t="s">
        <v>63</v>
      </c>
      <c r="N2434" s="2">
        <v>45627</v>
      </c>
      <c r="O2434" s="2">
        <v>45657</v>
      </c>
      <c r="P2434">
        <v>100000</v>
      </c>
      <c r="Q2434">
        <v>100000</v>
      </c>
      <c r="R2434" t="s">
        <v>4331</v>
      </c>
      <c r="S2434" t="s">
        <v>158</v>
      </c>
      <c r="T2434">
        <v>416.3</v>
      </c>
    </row>
    <row r="2435" spans="1:20" x14ac:dyDescent="0.25">
      <c r="A2435" t="s">
        <v>14</v>
      </c>
      <c r="B2435" t="s">
        <v>153</v>
      </c>
      <c r="C2435" t="s">
        <v>4414</v>
      </c>
      <c r="D2435" t="s">
        <v>4401</v>
      </c>
      <c r="E2435">
        <v>47300046688</v>
      </c>
      <c r="F2435" t="s">
        <v>16</v>
      </c>
      <c r="G2435" t="s">
        <v>17</v>
      </c>
      <c r="H2435" t="s">
        <v>154</v>
      </c>
      <c r="K2435" t="s">
        <v>3795</v>
      </c>
      <c r="L2435" t="s">
        <v>19</v>
      </c>
      <c r="M2435" t="s">
        <v>20</v>
      </c>
      <c r="P2435">
        <v>100000</v>
      </c>
      <c r="Q2435">
        <v>100000</v>
      </c>
      <c r="R2435" t="s">
        <v>4192</v>
      </c>
      <c r="S2435" t="s">
        <v>155</v>
      </c>
      <c r="T2435">
        <v>416.3</v>
      </c>
    </row>
    <row r="2436" spans="1:20" x14ac:dyDescent="0.25">
      <c r="A2436" t="s">
        <v>14</v>
      </c>
      <c r="B2436" t="s">
        <v>151</v>
      </c>
      <c r="C2436" t="s">
        <v>4406</v>
      </c>
      <c r="D2436" t="s">
        <v>4394</v>
      </c>
      <c r="E2436">
        <v>47300046746</v>
      </c>
      <c r="F2436" t="s">
        <v>16</v>
      </c>
      <c r="G2436" t="s">
        <v>28</v>
      </c>
      <c r="H2436" t="s">
        <v>32</v>
      </c>
      <c r="K2436" t="s">
        <v>3795</v>
      </c>
      <c r="L2436" t="s">
        <v>19</v>
      </c>
      <c r="M2436" t="s">
        <v>20</v>
      </c>
      <c r="P2436">
        <v>20000</v>
      </c>
      <c r="Q2436">
        <v>20000</v>
      </c>
      <c r="R2436" t="s">
        <v>4193</v>
      </c>
      <c r="S2436" t="s">
        <v>152</v>
      </c>
      <c r="T2436">
        <v>83.2</v>
      </c>
    </row>
    <row r="2437" spans="1:20" x14ac:dyDescent="0.25">
      <c r="A2437" t="s">
        <v>14</v>
      </c>
      <c r="B2437" t="s">
        <v>148</v>
      </c>
      <c r="C2437" t="s">
        <v>4392</v>
      </c>
      <c r="D2437" t="s">
        <v>4393</v>
      </c>
      <c r="E2437">
        <v>47300070688</v>
      </c>
      <c r="F2437" t="s">
        <v>16</v>
      </c>
      <c r="G2437" t="s">
        <v>17</v>
      </c>
      <c r="H2437" t="s">
        <v>149</v>
      </c>
      <c r="K2437" t="s">
        <v>4266</v>
      </c>
      <c r="L2437" t="s">
        <v>19</v>
      </c>
      <c r="M2437" t="s">
        <v>63</v>
      </c>
      <c r="N2437" s="2">
        <v>45627</v>
      </c>
      <c r="O2437" s="2">
        <v>45657</v>
      </c>
      <c r="P2437">
        <v>200000</v>
      </c>
      <c r="Q2437">
        <v>200000</v>
      </c>
      <c r="R2437" t="s">
        <v>3189</v>
      </c>
      <c r="S2437" t="s">
        <v>150</v>
      </c>
      <c r="T2437">
        <v>832.6</v>
      </c>
    </row>
    <row r="2438" spans="1:20" x14ac:dyDescent="0.25">
      <c r="A2438" t="s">
        <v>14</v>
      </c>
      <c r="B2438" t="s">
        <v>148</v>
      </c>
      <c r="C2438" t="s">
        <v>4364</v>
      </c>
      <c r="D2438" t="s">
        <v>4358</v>
      </c>
      <c r="E2438">
        <v>47300070688</v>
      </c>
      <c r="F2438" t="s">
        <v>16</v>
      </c>
      <c r="G2438" t="s">
        <v>17</v>
      </c>
      <c r="H2438" t="s">
        <v>149</v>
      </c>
      <c r="K2438" t="s">
        <v>3518</v>
      </c>
      <c r="L2438" t="s">
        <v>47</v>
      </c>
      <c r="N2438" s="2">
        <v>45631</v>
      </c>
      <c r="O2438" s="2">
        <v>45631</v>
      </c>
      <c r="P2438">
        <v>125954.01</v>
      </c>
      <c r="Q2438">
        <v>125954.01</v>
      </c>
      <c r="R2438" t="s">
        <v>3189</v>
      </c>
    </row>
    <row r="2439" spans="1:20" x14ac:dyDescent="0.25">
      <c r="A2439" t="s">
        <v>14</v>
      </c>
      <c r="B2439" t="s">
        <v>148</v>
      </c>
      <c r="C2439" t="s">
        <v>4392</v>
      </c>
      <c r="D2439" t="s">
        <v>4393</v>
      </c>
      <c r="E2439">
        <v>47300070688</v>
      </c>
      <c r="F2439" t="s">
        <v>16</v>
      </c>
      <c r="G2439" t="s">
        <v>17</v>
      </c>
      <c r="H2439" t="s">
        <v>149</v>
      </c>
      <c r="K2439" t="s">
        <v>3294</v>
      </c>
      <c r="L2439" t="s">
        <v>19</v>
      </c>
      <c r="M2439" t="s">
        <v>46</v>
      </c>
      <c r="N2439" s="2">
        <v>45627</v>
      </c>
      <c r="O2439" s="2">
        <v>45657</v>
      </c>
      <c r="P2439">
        <v>500</v>
      </c>
      <c r="Q2439">
        <v>500</v>
      </c>
      <c r="R2439" t="s">
        <v>3189</v>
      </c>
    </row>
    <row r="2440" spans="1:20" x14ac:dyDescent="0.25">
      <c r="A2440" t="s">
        <v>14</v>
      </c>
      <c r="B2440" t="s">
        <v>148</v>
      </c>
      <c r="C2440" t="s">
        <v>4392</v>
      </c>
      <c r="D2440" t="s">
        <v>4393</v>
      </c>
      <c r="E2440">
        <v>47300070688</v>
      </c>
      <c r="F2440" t="s">
        <v>16</v>
      </c>
      <c r="G2440" t="s">
        <v>17</v>
      </c>
      <c r="H2440" t="s">
        <v>149</v>
      </c>
      <c r="K2440" t="s">
        <v>3197</v>
      </c>
      <c r="L2440" t="s">
        <v>19</v>
      </c>
      <c r="M2440" t="s">
        <v>46</v>
      </c>
      <c r="N2440" s="2">
        <v>45627</v>
      </c>
      <c r="O2440" s="2">
        <v>45657</v>
      </c>
      <c r="P2440">
        <v>150650</v>
      </c>
      <c r="Q2440">
        <v>150650</v>
      </c>
      <c r="R2440" t="s">
        <v>3189</v>
      </c>
    </row>
    <row r="2441" spans="1:20" x14ac:dyDescent="0.25">
      <c r="A2441" t="s">
        <v>14</v>
      </c>
      <c r="B2441" t="s">
        <v>148</v>
      </c>
      <c r="C2441" t="s">
        <v>4392</v>
      </c>
      <c r="D2441" t="s">
        <v>4393</v>
      </c>
      <c r="E2441">
        <v>47300070688</v>
      </c>
      <c r="F2441" t="s">
        <v>16</v>
      </c>
      <c r="G2441" t="s">
        <v>17</v>
      </c>
      <c r="H2441" t="s">
        <v>149</v>
      </c>
      <c r="K2441" t="s">
        <v>3188</v>
      </c>
      <c r="L2441" t="s">
        <v>47</v>
      </c>
      <c r="N2441" s="2">
        <v>45597</v>
      </c>
      <c r="O2441" s="2">
        <v>45626</v>
      </c>
      <c r="P2441">
        <v>150650</v>
      </c>
      <c r="Q2441">
        <v>150650</v>
      </c>
      <c r="R2441" t="s">
        <v>3189</v>
      </c>
    </row>
    <row r="2442" spans="1:20" x14ac:dyDescent="0.25">
      <c r="A2442" t="s">
        <v>14</v>
      </c>
      <c r="B2442" t="s">
        <v>145</v>
      </c>
      <c r="C2442" t="s">
        <v>4392</v>
      </c>
      <c r="D2442" t="s">
        <v>4393</v>
      </c>
      <c r="E2442">
        <v>47300070704</v>
      </c>
      <c r="F2442" t="s">
        <v>16</v>
      </c>
      <c r="G2442" t="s">
        <v>28</v>
      </c>
      <c r="H2442" t="s">
        <v>146</v>
      </c>
      <c r="K2442" t="s">
        <v>4266</v>
      </c>
      <c r="L2442" t="s">
        <v>19</v>
      </c>
      <c r="M2442" t="s">
        <v>63</v>
      </c>
      <c r="N2442" s="2">
        <v>45627</v>
      </c>
      <c r="O2442" s="2">
        <v>45657</v>
      </c>
      <c r="P2442">
        <v>250000</v>
      </c>
      <c r="Q2442">
        <v>250000</v>
      </c>
      <c r="R2442" t="s">
        <v>4332</v>
      </c>
      <c r="S2442" t="s">
        <v>147</v>
      </c>
      <c r="T2442">
        <v>1040.8</v>
      </c>
    </row>
    <row r="2443" spans="1:20" x14ac:dyDescent="0.25">
      <c r="A2443" t="s">
        <v>14</v>
      </c>
      <c r="B2443" t="s">
        <v>142</v>
      </c>
      <c r="C2443" t="s">
        <v>4382</v>
      </c>
      <c r="D2443" t="s">
        <v>4383</v>
      </c>
      <c r="E2443">
        <v>47300046720</v>
      </c>
      <c r="F2443" t="s">
        <v>16</v>
      </c>
      <c r="G2443" t="s">
        <v>28</v>
      </c>
      <c r="H2443" t="s">
        <v>143</v>
      </c>
      <c r="K2443" t="s">
        <v>3795</v>
      </c>
      <c r="L2443" t="s">
        <v>19</v>
      </c>
      <c r="M2443" t="s">
        <v>20</v>
      </c>
      <c r="P2443">
        <v>104000</v>
      </c>
      <c r="Q2443">
        <v>104000</v>
      </c>
      <c r="R2443" t="s">
        <v>4194</v>
      </c>
      <c r="S2443" t="s">
        <v>144</v>
      </c>
      <c r="T2443">
        <v>432.9</v>
      </c>
    </row>
    <row r="2444" spans="1:20" x14ac:dyDescent="0.25">
      <c r="A2444" t="s">
        <v>14</v>
      </c>
      <c r="B2444" t="s">
        <v>140</v>
      </c>
      <c r="C2444" t="s">
        <v>4382</v>
      </c>
      <c r="D2444" t="s">
        <v>4383</v>
      </c>
      <c r="E2444">
        <v>47300026094</v>
      </c>
      <c r="F2444" t="s">
        <v>35</v>
      </c>
      <c r="G2444" t="s">
        <v>36</v>
      </c>
      <c r="H2444" t="s">
        <v>4359</v>
      </c>
      <c r="K2444" t="s">
        <v>3795</v>
      </c>
      <c r="L2444" t="s">
        <v>19</v>
      </c>
      <c r="M2444" t="s">
        <v>20</v>
      </c>
      <c r="P2444">
        <v>100000</v>
      </c>
      <c r="Q2444">
        <v>100000</v>
      </c>
      <c r="R2444" t="s">
        <v>4195</v>
      </c>
      <c r="S2444" t="s">
        <v>141</v>
      </c>
      <c r="T2444">
        <v>416.3</v>
      </c>
    </row>
    <row r="2445" spans="1:20" x14ac:dyDescent="0.25">
      <c r="A2445" t="s">
        <v>14</v>
      </c>
      <c r="B2445" t="s">
        <v>138</v>
      </c>
      <c r="C2445" t="s">
        <v>4382</v>
      </c>
      <c r="D2445" t="s">
        <v>4383</v>
      </c>
      <c r="E2445">
        <v>47300025708</v>
      </c>
      <c r="F2445" t="s">
        <v>35</v>
      </c>
      <c r="G2445" t="s">
        <v>36</v>
      </c>
      <c r="H2445" t="s">
        <v>4360</v>
      </c>
      <c r="K2445" t="s">
        <v>3795</v>
      </c>
      <c r="L2445" t="s">
        <v>19</v>
      </c>
      <c r="M2445" t="s">
        <v>20</v>
      </c>
      <c r="P2445">
        <v>100000</v>
      </c>
      <c r="Q2445">
        <v>100000</v>
      </c>
      <c r="R2445" t="s">
        <v>4196</v>
      </c>
      <c r="S2445" t="s">
        <v>139</v>
      </c>
      <c r="T2445">
        <v>416.3</v>
      </c>
    </row>
    <row r="2446" spans="1:20" x14ac:dyDescent="0.25">
      <c r="A2446" t="s">
        <v>14</v>
      </c>
      <c r="B2446" t="s">
        <v>135</v>
      </c>
      <c r="C2446" t="s">
        <v>4396</v>
      </c>
      <c r="D2446" t="s">
        <v>4397</v>
      </c>
      <c r="E2446">
        <v>47300026185</v>
      </c>
      <c r="F2446" t="s">
        <v>35</v>
      </c>
      <c r="G2446" t="s">
        <v>36</v>
      </c>
      <c r="H2446" t="s">
        <v>4361</v>
      </c>
      <c r="K2446" t="s">
        <v>3795</v>
      </c>
      <c r="L2446" t="s">
        <v>19</v>
      </c>
      <c r="M2446" t="s">
        <v>20</v>
      </c>
      <c r="P2446">
        <v>50000</v>
      </c>
      <c r="Q2446">
        <v>50000</v>
      </c>
      <c r="R2446" t="s">
        <v>4197</v>
      </c>
      <c r="S2446" t="s">
        <v>137</v>
      </c>
      <c r="T2446">
        <v>208.1</v>
      </c>
    </row>
    <row r="2447" spans="1:20" x14ac:dyDescent="0.25">
      <c r="A2447" t="s">
        <v>14</v>
      </c>
      <c r="B2447" t="s">
        <v>132</v>
      </c>
      <c r="C2447" t="s">
        <v>4418</v>
      </c>
      <c r="D2447" t="s">
        <v>4368</v>
      </c>
      <c r="E2447">
        <v>47300012151</v>
      </c>
      <c r="F2447" t="s">
        <v>35</v>
      </c>
      <c r="G2447" t="s">
        <v>36</v>
      </c>
      <c r="H2447" t="s">
        <v>4362</v>
      </c>
      <c r="K2447" t="s">
        <v>3795</v>
      </c>
      <c r="L2447" t="s">
        <v>19</v>
      </c>
      <c r="M2447" t="s">
        <v>20</v>
      </c>
      <c r="P2447">
        <v>50000</v>
      </c>
      <c r="Q2447">
        <v>50000</v>
      </c>
      <c r="R2447" t="s">
        <v>4198</v>
      </c>
      <c r="S2447" t="s">
        <v>134</v>
      </c>
      <c r="T2447">
        <v>208.1</v>
      </c>
    </row>
    <row r="2448" spans="1:20" x14ac:dyDescent="0.25">
      <c r="A2448" t="s">
        <v>14</v>
      </c>
      <c r="B2448" t="s">
        <v>131</v>
      </c>
      <c r="C2448" t="s">
        <v>4409</v>
      </c>
      <c r="D2448" t="s">
        <v>4410</v>
      </c>
      <c r="E2448">
        <v>47300047066</v>
      </c>
      <c r="F2448" t="s">
        <v>16</v>
      </c>
      <c r="G2448" t="s">
        <v>28</v>
      </c>
      <c r="H2448" t="s">
        <v>57</v>
      </c>
      <c r="K2448" t="s">
        <v>3294</v>
      </c>
      <c r="L2448" t="s">
        <v>19</v>
      </c>
      <c r="M2448" t="s">
        <v>46</v>
      </c>
      <c r="N2448" s="2">
        <v>45627</v>
      </c>
      <c r="O2448" s="2">
        <v>45657</v>
      </c>
      <c r="P2448">
        <v>500</v>
      </c>
      <c r="Q2448">
        <v>500</v>
      </c>
      <c r="R2448" t="s">
        <v>3258</v>
      </c>
    </row>
    <row r="2449" spans="1:20" x14ac:dyDescent="0.25">
      <c r="A2449" t="s">
        <v>14</v>
      </c>
      <c r="B2449" t="s">
        <v>131</v>
      </c>
      <c r="C2449" t="s">
        <v>4371</v>
      </c>
      <c r="D2449" t="s">
        <v>4368</v>
      </c>
      <c r="E2449">
        <v>47300047066</v>
      </c>
      <c r="F2449" t="s">
        <v>16</v>
      </c>
      <c r="G2449" t="s">
        <v>28</v>
      </c>
      <c r="H2449" t="s">
        <v>57</v>
      </c>
      <c r="K2449" t="s">
        <v>3197</v>
      </c>
      <c r="L2449" t="s">
        <v>19</v>
      </c>
      <c r="M2449" t="s">
        <v>46</v>
      </c>
      <c r="N2449" s="2">
        <v>45627</v>
      </c>
      <c r="O2449" s="2">
        <v>45657</v>
      </c>
      <c r="P2449">
        <v>150650</v>
      </c>
      <c r="Q2449">
        <v>150650</v>
      </c>
      <c r="R2449" t="s">
        <v>3258</v>
      </c>
    </row>
    <row r="2450" spans="1:20" x14ac:dyDescent="0.25">
      <c r="A2450" t="s">
        <v>14</v>
      </c>
      <c r="B2450" t="s">
        <v>128</v>
      </c>
      <c r="C2450" t="s">
        <v>4367</v>
      </c>
      <c r="D2450" t="s">
        <v>4368</v>
      </c>
      <c r="E2450">
        <v>47300046662</v>
      </c>
      <c r="F2450" t="s">
        <v>16</v>
      </c>
      <c r="G2450" t="s">
        <v>28</v>
      </c>
      <c r="H2450" t="s">
        <v>129</v>
      </c>
      <c r="K2450" t="s">
        <v>4266</v>
      </c>
      <c r="L2450" t="s">
        <v>19</v>
      </c>
      <c r="M2450" t="s">
        <v>63</v>
      </c>
      <c r="N2450" s="2">
        <v>45627</v>
      </c>
      <c r="O2450" s="2">
        <v>45657</v>
      </c>
      <c r="P2450">
        <v>50000</v>
      </c>
      <c r="Q2450">
        <v>50000</v>
      </c>
      <c r="R2450" t="s">
        <v>4333</v>
      </c>
      <c r="S2450" t="s">
        <v>130</v>
      </c>
      <c r="T2450">
        <v>208.1</v>
      </c>
    </row>
    <row r="2451" spans="1:20" x14ac:dyDescent="0.25">
      <c r="A2451" t="s">
        <v>14</v>
      </c>
      <c r="B2451" t="s">
        <v>126</v>
      </c>
      <c r="C2451" t="s">
        <v>4376</v>
      </c>
      <c r="D2451" t="s">
        <v>4377</v>
      </c>
      <c r="E2451">
        <v>47300047066</v>
      </c>
      <c r="F2451" t="s">
        <v>16</v>
      </c>
      <c r="G2451" t="s">
        <v>28</v>
      </c>
      <c r="H2451" t="s">
        <v>57</v>
      </c>
      <c r="K2451" t="s">
        <v>4266</v>
      </c>
      <c r="L2451" t="s">
        <v>19</v>
      </c>
      <c r="M2451" t="s">
        <v>63</v>
      </c>
      <c r="N2451" s="2">
        <v>45627</v>
      </c>
      <c r="O2451" s="2">
        <v>45657</v>
      </c>
      <c r="P2451">
        <v>100000</v>
      </c>
      <c r="Q2451">
        <v>100000</v>
      </c>
      <c r="R2451" t="s">
        <v>4334</v>
      </c>
      <c r="S2451" t="s">
        <v>127</v>
      </c>
      <c r="T2451">
        <v>416.3</v>
      </c>
    </row>
    <row r="2452" spans="1:20" x14ac:dyDescent="0.25">
      <c r="A2452" t="s">
        <v>14</v>
      </c>
      <c r="B2452" t="s">
        <v>124</v>
      </c>
      <c r="C2452" t="s">
        <v>4382</v>
      </c>
      <c r="D2452" t="s">
        <v>4383</v>
      </c>
      <c r="E2452">
        <v>47300047066</v>
      </c>
      <c r="F2452" t="s">
        <v>16</v>
      </c>
      <c r="G2452" t="s">
        <v>28</v>
      </c>
      <c r="H2452" t="s">
        <v>57</v>
      </c>
      <c r="K2452" t="s">
        <v>3795</v>
      </c>
      <c r="L2452" t="s">
        <v>19</v>
      </c>
      <c r="M2452" t="s">
        <v>20</v>
      </c>
      <c r="P2452">
        <v>99000</v>
      </c>
      <c r="Q2452">
        <v>99000</v>
      </c>
      <c r="R2452" t="s">
        <v>4199</v>
      </c>
      <c r="S2452" t="s">
        <v>125</v>
      </c>
      <c r="T2452">
        <v>412.1</v>
      </c>
    </row>
    <row r="2453" spans="1:20" x14ac:dyDescent="0.25">
      <c r="A2453" t="s">
        <v>14</v>
      </c>
      <c r="B2453" t="s">
        <v>121</v>
      </c>
      <c r="C2453" t="s">
        <v>4415</v>
      </c>
      <c r="D2453" t="s">
        <v>4416</v>
      </c>
      <c r="E2453">
        <v>47300046399</v>
      </c>
      <c r="F2453" t="s">
        <v>16</v>
      </c>
      <c r="G2453" t="s">
        <v>28</v>
      </c>
      <c r="H2453" t="s">
        <v>122</v>
      </c>
      <c r="K2453" t="s">
        <v>3795</v>
      </c>
      <c r="L2453" t="s">
        <v>19</v>
      </c>
      <c r="M2453" t="s">
        <v>20</v>
      </c>
      <c r="P2453">
        <v>51000</v>
      </c>
      <c r="Q2453">
        <v>51000</v>
      </c>
      <c r="R2453" t="s">
        <v>4200</v>
      </c>
      <c r="S2453" t="s">
        <v>123</v>
      </c>
      <c r="T2453">
        <v>212.3</v>
      </c>
    </row>
    <row r="2454" spans="1:20" x14ac:dyDescent="0.25">
      <c r="A2454" t="s">
        <v>14</v>
      </c>
      <c r="B2454" t="s">
        <v>118</v>
      </c>
      <c r="C2454" t="s">
        <v>4415</v>
      </c>
      <c r="D2454" t="s">
        <v>4416</v>
      </c>
      <c r="E2454">
        <v>47300046191</v>
      </c>
      <c r="F2454" t="s">
        <v>16</v>
      </c>
      <c r="G2454" t="s">
        <v>28</v>
      </c>
      <c r="H2454" t="s">
        <v>119</v>
      </c>
      <c r="I2454" t="s">
        <v>2799</v>
      </c>
      <c r="J2454">
        <v>8033011626</v>
      </c>
      <c r="K2454" t="s">
        <v>3795</v>
      </c>
      <c r="L2454" t="s">
        <v>19</v>
      </c>
      <c r="M2454" t="s">
        <v>20</v>
      </c>
      <c r="P2454">
        <v>20000</v>
      </c>
      <c r="Q2454">
        <v>20000</v>
      </c>
      <c r="R2454" t="s">
        <v>4201</v>
      </c>
      <c r="S2454" t="s">
        <v>120</v>
      </c>
      <c r="T2454">
        <v>83.3</v>
      </c>
    </row>
    <row r="2455" spans="1:20" x14ac:dyDescent="0.25">
      <c r="A2455" t="s">
        <v>14</v>
      </c>
      <c r="B2455" t="s">
        <v>115</v>
      </c>
      <c r="C2455" t="s">
        <v>4415</v>
      </c>
      <c r="D2455" t="s">
        <v>4416</v>
      </c>
      <c r="E2455">
        <v>47300070555</v>
      </c>
      <c r="F2455" t="s">
        <v>35</v>
      </c>
      <c r="G2455" t="s">
        <v>35</v>
      </c>
      <c r="H2455" t="s">
        <v>116</v>
      </c>
      <c r="K2455" t="s">
        <v>3795</v>
      </c>
      <c r="L2455" t="s">
        <v>19</v>
      </c>
      <c r="M2455" t="s">
        <v>20</v>
      </c>
      <c r="P2455">
        <v>50000</v>
      </c>
      <c r="Q2455">
        <v>50000</v>
      </c>
      <c r="R2455" t="s">
        <v>4202</v>
      </c>
      <c r="S2455" t="s">
        <v>117</v>
      </c>
      <c r="T2455">
        <v>208.2</v>
      </c>
    </row>
    <row r="2456" spans="1:20" x14ac:dyDescent="0.25">
      <c r="A2456" t="s">
        <v>14</v>
      </c>
      <c r="B2456" t="s">
        <v>114</v>
      </c>
      <c r="C2456" t="s">
        <v>4414</v>
      </c>
      <c r="D2456" t="s">
        <v>4401</v>
      </c>
      <c r="E2456">
        <v>47300046217</v>
      </c>
      <c r="F2456" t="s">
        <v>16</v>
      </c>
      <c r="G2456" t="s">
        <v>28</v>
      </c>
      <c r="H2456" t="s">
        <v>108</v>
      </c>
      <c r="K2456" t="s">
        <v>3536</v>
      </c>
      <c r="L2456" t="s">
        <v>47</v>
      </c>
      <c r="N2456" s="2">
        <v>45541</v>
      </c>
      <c r="O2456" s="2">
        <v>45539</v>
      </c>
      <c r="P2456">
        <v>64912.4</v>
      </c>
      <c r="Q2456">
        <v>64912.4</v>
      </c>
      <c r="R2456" t="s">
        <v>2789</v>
      </c>
    </row>
    <row r="2457" spans="1:20" x14ac:dyDescent="0.25">
      <c r="A2457" t="s">
        <v>14</v>
      </c>
      <c r="B2457" t="s">
        <v>114</v>
      </c>
      <c r="C2457" t="s">
        <v>4414</v>
      </c>
      <c r="D2457" t="s">
        <v>4401</v>
      </c>
      <c r="E2457">
        <v>47300046217</v>
      </c>
      <c r="F2457" t="s">
        <v>16</v>
      </c>
      <c r="G2457" t="s">
        <v>28</v>
      </c>
      <c r="H2457" t="s">
        <v>108</v>
      </c>
      <c r="K2457" t="s">
        <v>3518</v>
      </c>
      <c r="L2457" t="s">
        <v>47</v>
      </c>
      <c r="N2457" s="2">
        <v>45631</v>
      </c>
      <c r="O2457" s="2">
        <v>45631</v>
      </c>
      <c r="P2457">
        <v>125954.01</v>
      </c>
      <c r="Q2457">
        <v>125954.01</v>
      </c>
      <c r="R2457" t="s">
        <v>2789</v>
      </c>
    </row>
    <row r="2458" spans="1:20" x14ac:dyDescent="0.25">
      <c r="A2458" t="s">
        <v>14</v>
      </c>
      <c r="B2458" t="s">
        <v>114</v>
      </c>
      <c r="C2458" t="s">
        <v>4387</v>
      </c>
      <c r="D2458" t="s">
        <v>4388</v>
      </c>
      <c r="E2458">
        <v>47300046217</v>
      </c>
      <c r="F2458" t="s">
        <v>16</v>
      </c>
      <c r="G2458" t="s">
        <v>28</v>
      </c>
      <c r="H2458" t="s">
        <v>108</v>
      </c>
      <c r="K2458" t="s">
        <v>3504</v>
      </c>
      <c r="L2458" t="s">
        <v>47</v>
      </c>
      <c r="N2458" s="2">
        <v>45602</v>
      </c>
      <c r="O2458" s="2">
        <v>45602</v>
      </c>
      <c r="P2458">
        <v>92732</v>
      </c>
      <c r="Q2458">
        <v>92732</v>
      </c>
      <c r="R2458" t="s">
        <v>2789</v>
      </c>
    </row>
    <row r="2459" spans="1:20" x14ac:dyDescent="0.25">
      <c r="A2459" t="s">
        <v>14</v>
      </c>
      <c r="B2459" t="s">
        <v>114</v>
      </c>
      <c r="C2459" t="s">
        <v>4415</v>
      </c>
      <c r="D2459" t="s">
        <v>4416</v>
      </c>
      <c r="E2459">
        <v>47300046217</v>
      </c>
      <c r="F2459" t="s">
        <v>16</v>
      </c>
      <c r="G2459" t="s">
        <v>28</v>
      </c>
      <c r="H2459" t="s">
        <v>108</v>
      </c>
      <c r="K2459" t="s">
        <v>3501</v>
      </c>
      <c r="L2459" t="s">
        <v>47</v>
      </c>
      <c r="N2459" s="2">
        <v>45540</v>
      </c>
      <c r="O2459" s="2">
        <v>45540</v>
      </c>
      <c r="P2459">
        <v>92732</v>
      </c>
      <c r="Q2459">
        <v>92732</v>
      </c>
      <c r="R2459" t="s">
        <v>2789</v>
      </c>
    </row>
    <row r="2460" spans="1:20" x14ac:dyDescent="0.25">
      <c r="A2460" t="s">
        <v>14</v>
      </c>
      <c r="B2460" t="s">
        <v>114</v>
      </c>
      <c r="C2460" t="s">
        <v>4415</v>
      </c>
      <c r="D2460" t="s">
        <v>4416</v>
      </c>
      <c r="E2460">
        <v>47300046217</v>
      </c>
      <c r="F2460" t="s">
        <v>16</v>
      </c>
      <c r="G2460" t="s">
        <v>28</v>
      </c>
      <c r="H2460" t="s">
        <v>108</v>
      </c>
      <c r="K2460" t="s">
        <v>3293</v>
      </c>
      <c r="L2460" t="s">
        <v>47</v>
      </c>
      <c r="N2460" s="2">
        <v>45383</v>
      </c>
      <c r="O2460" s="2">
        <v>45412</v>
      </c>
      <c r="P2460">
        <v>500</v>
      </c>
      <c r="Q2460">
        <v>500</v>
      </c>
      <c r="R2460" t="s">
        <v>2789</v>
      </c>
    </row>
    <row r="2461" spans="1:20" x14ac:dyDescent="0.25">
      <c r="A2461" t="s">
        <v>14</v>
      </c>
      <c r="B2461" t="s">
        <v>114</v>
      </c>
      <c r="C2461" t="s">
        <v>4415</v>
      </c>
      <c r="D2461" t="s">
        <v>4416</v>
      </c>
      <c r="E2461">
        <v>47300046217</v>
      </c>
      <c r="F2461" t="s">
        <v>16</v>
      </c>
      <c r="G2461" t="s">
        <v>28</v>
      </c>
      <c r="H2461" t="s">
        <v>108</v>
      </c>
      <c r="K2461" t="s">
        <v>3277</v>
      </c>
      <c r="L2461" t="s">
        <v>47</v>
      </c>
      <c r="N2461" s="2">
        <v>45597</v>
      </c>
      <c r="O2461" s="2">
        <v>45626</v>
      </c>
      <c r="P2461">
        <v>500</v>
      </c>
      <c r="Q2461">
        <v>500</v>
      </c>
      <c r="R2461" t="s">
        <v>2789</v>
      </c>
    </row>
    <row r="2462" spans="1:20" x14ac:dyDescent="0.25">
      <c r="A2462" t="s">
        <v>14</v>
      </c>
      <c r="B2462" t="s">
        <v>114</v>
      </c>
      <c r="C2462" t="s">
        <v>3300</v>
      </c>
      <c r="D2462" t="s">
        <v>3299</v>
      </c>
      <c r="E2462">
        <v>47300046217</v>
      </c>
      <c r="F2462" t="s">
        <v>16</v>
      </c>
      <c r="G2462" t="s">
        <v>28</v>
      </c>
      <c r="H2462" t="s">
        <v>108</v>
      </c>
      <c r="K2462" t="s">
        <v>3188</v>
      </c>
      <c r="L2462" t="s">
        <v>47</v>
      </c>
      <c r="N2462" s="2">
        <v>45597</v>
      </c>
      <c r="O2462" s="2">
        <v>45626</v>
      </c>
      <c r="P2462">
        <v>150650</v>
      </c>
      <c r="Q2462">
        <v>150650</v>
      </c>
      <c r="R2462" t="s">
        <v>2789</v>
      </c>
    </row>
    <row r="2463" spans="1:20" x14ac:dyDescent="0.25">
      <c r="A2463" t="s">
        <v>14</v>
      </c>
      <c r="B2463" t="s">
        <v>114</v>
      </c>
      <c r="C2463" t="s">
        <v>4420</v>
      </c>
      <c r="D2463" t="s">
        <v>4394</v>
      </c>
      <c r="E2463">
        <v>47300046217</v>
      </c>
      <c r="F2463" t="s">
        <v>16</v>
      </c>
      <c r="G2463" t="s">
        <v>28</v>
      </c>
      <c r="H2463" t="s">
        <v>108</v>
      </c>
      <c r="K2463" t="s">
        <v>2876</v>
      </c>
      <c r="L2463" t="s">
        <v>47</v>
      </c>
      <c r="N2463" s="2">
        <v>45597</v>
      </c>
      <c r="O2463" s="2">
        <v>45626</v>
      </c>
      <c r="P2463">
        <v>10000</v>
      </c>
      <c r="Q2463">
        <v>10000</v>
      </c>
      <c r="R2463" t="s">
        <v>2789</v>
      </c>
    </row>
    <row r="2464" spans="1:20" x14ac:dyDescent="0.25">
      <c r="A2464" t="s">
        <v>14</v>
      </c>
      <c r="B2464" t="s">
        <v>114</v>
      </c>
      <c r="C2464" t="s">
        <v>4378</v>
      </c>
      <c r="D2464" t="s">
        <v>4379</v>
      </c>
      <c r="E2464">
        <v>47300046217</v>
      </c>
      <c r="F2464" t="s">
        <v>16</v>
      </c>
      <c r="G2464" t="s">
        <v>28</v>
      </c>
      <c r="H2464" t="s">
        <v>108</v>
      </c>
      <c r="K2464" t="s">
        <v>2790</v>
      </c>
      <c r="L2464" t="s">
        <v>47</v>
      </c>
      <c r="N2464" s="2">
        <v>45627</v>
      </c>
      <c r="O2464" s="2">
        <v>45657</v>
      </c>
      <c r="P2464">
        <v>200000</v>
      </c>
      <c r="Q2464">
        <v>200000</v>
      </c>
      <c r="R2464" t="s">
        <v>2789</v>
      </c>
    </row>
    <row r="2465" spans="1:20" x14ac:dyDescent="0.25">
      <c r="A2465" t="s">
        <v>14</v>
      </c>
      <c r="B2465" t="s">
        <v>113</v>
      </c>
      <c r="C2465" t="s">
        <v>4415</v>
      </c>
      <c r="D2465" t="s">
        <v>4416</v>
      </c>
      <c r="E2465">
        <v>47300046217</v>
      </c>
      <c r="F2465" t="s">
        <v>16</v>
      </c>
      <c r="G2465" t="s">
        <v>28</v>
      </c>
      <c r="H2465" t="s">
        <v>108</v>
      </c>
      <c r="K2465" t="s">
        <v>3493</v>
      </c>
      <c r="L2465" t="s">
        <v>47</v>
      </c>
      <c r="N2465" s="2">
        <v>45627</v>
      </c>
      <c r="O2465" s="2">
        <v>45657</v>
      </c>
      <c r="P2465">
        <v>91511.23</v>
      </c>
      <c r="Q2465">
        <v>91511.23</v>
      </c>
      <c r="R2465" t="s">
        <v>3185</v>
      </c>
    </row>
    <row r="2466" spans="1:20" x14ac:dyDescent="0.25">
      <c r="A2466" t="s">
        <v>14</v>
      </c>
      <c r="B2466" t="s">
        <v>113</v>
      </c>
      <c r="C2466" t="s">
        <v>4415</v>
      </c>
      <c r="D2466" t="s">
        <v>4416</v>
      </c>
      <c r="E2466">
        <v>47300046217</v>
      </c>
      <c r="F2466" t="s">
        <v>16</v>
      </c>
      <c r="G2466" t="s">
        <v>28</v>
      </c>
      <c r="H2466" t="s">
        <v>108</v>
      </c>
      <c r="K2466" t="s">
        <v>3491</v>
      </c>
      <c r="L2466" t="s">
        <v>47</v>
      </c>
      <c r="N2466" s="2">
        <v>45627</v>
      </c>
      <c r="O2466" s="2">
        <v>45657</v>
      </c>
      <c r="P2466">
        <v>9151.1200000000008</v>
      </c>
      <c r="Q2466">
        <v>9151.1200000000008</v>
      </c>
      <c r="R2466" t="s">
        <v>3185</v>
      </c>
    </row>
    <row r="2467" spans="1:20" x14ac:dyDescent="0.25">
      <c r="A2467" t="s">
        <v>14</v>
      </c>
      <c r="B2467" t="s">
        <v>113</v>
      </c>
      <c r="C2467" t="s">
        <v>4415</v>
      </c>
      <c r="D2467" t="s">
        <v>4416</v>
      </c>
      <c r="E2467">
        <v>47300046217</v>
      </c>
      <c r="F2467" t="s">
        <v>16</v>
      </c>
      <c r="G2467" t="s">
        <v>28</v>
      </c>
      <c r="H2467" t="s">
        <v>108</v>
      </c>
      <c r="K2467" t="s">
        <v>3186</v>
      </c>
      <c r="L2467" t="s">
        <v>47</v>
      </c>
      <c r="N2467" s="2">
        <v>45566</v>
      </c>
      <c r="O2467" s="2">
        <v>45596</v>
      </c>
      <c r="P2467">
        <v>150650</v>
      </c>
      <c r="Q2467">
        <v>150650</v>
      </c>
      <c r="R2467" t="s">
        <v>3185</v>
      </c>
    </row>
    <row r="2468" spans="1:20" x14ac:dyDescent="0.25">
      <c r="A2468" t="s">
        <v>14</v>
      </c>
      <c r="B2468" t="s">
        <v>113</v>
      </c>
      <c r="C2468" t="s">
        <v>4415</v>
      </c>
      <c r="D2468" t="s">
        <v>4416</v>
      </c>
      <c r="E2468">
        <v>47300046217</v>
      </c>
      <c r="F2468" t="s">
        <v>16</v>
      </c>
      <c r="G2468" t="s">
        <v>28</v>
      </c>
      <c r="H2468" t="s">
        <v>108</v>
      </c>
      <c r="K2468" t="s">
        <v>3184</v>
      </c>
      <c r="L2468" t="s">
        <v>47</v>
      </c>
      <c r="N2468" s="2">
        <v>45536</v>
      </c>
      <c r="O2468" s="2">
        <v>45565</v>
      </c>
      <c r="P2468">
        <v>150650</v>
      </c>
      <c r="Q2468">
        <v>150650</v>
      </c>
      <c r="R2468" t="s">
        <v>3185</v>
      </c>
    </row>
    <row r="2469" spans="1:20" x14ac:dyDescent="0.25">
      <c r="A2469" t="s">
        <v>14</v>
      </c>
      <c r="B2469" t="s">
        <v>111</v>
      </c>
      <c r="C2469" t="s">
        <v>4415</v>
      </c>
      <c r="D2469" t="s">
        <v>4416</v>
      </c>
      <c r="E2469">
        <v>47300046217</v>
      </c>
      <c r="F2469" t="s">
        <v>16</v>
      </c>
      <c r="G2469" t="s">
        <v>28</v>
      </c>
      <c r="H2469" t="s">
        <v>108</v>
      </c>
      <c r="K2469" t="s">
        <v>4266</v>
      </c>
      <c r="L2469" t="s">
        <v>19</v>
      </c>
      <c r="M2469" t="s">
        <v>63</v>
      </c>
      <c r="N2469" s="2">
        <v>45627</v>
      </c>
      <c r="O2469" s="2">
        <v>45657</v>
      </c>
      <c r="P2469">
        <v>250000</v>
      </c>
      <c r="Q2469">
        <v>250000</v>
      </c>
      <c r="R2469" t="s">
        <v>3175</v>
      </c>
      <c r="S2469" t="s">
        <v>112</v>
      </c>
      <c r="T2469">
        <v>1040.8</v>
      </c>
    </row>
    <row r="2470" spans="1:20" x14ac:dyDescent="0.25">
      <c r="A2470" t="s">
        <v>14</v>
      </c>
      <c r="B2470" t="s">
        <v>111</v>
      </c>
      <c r="C2470" t="s">
        <v>4415</v>
      </c>
      <c r="D2470" t="s">
        <v>4416</v>
      </c>
      <c r="E2470">
        <v>47300046217</v>
      </c>
      <c r="F2470" t="s">
        <v>16</v>
      </c>
      <c r="G2470" t="s">
        <v>28</v>
      </c>
      <c r="H2470" t="s">
        <v>108</v>
      </c>
      <c r="K2470" t="s">
        <v>3294</v>
      </c>
      <c r="L2470" t="s">
        <v>19</v>
      </c>
      <c r="M2470" t="s">
        <v>46</v>
      </c>
      <c r="N2470" s="2">
        <v>45627</v>
      </c>
      <c r="O2470" s="2">
        <v>45657</v>
      </c>
      <c r="P2470">
        <v>500</v>
      </c>
      <c r="Q2470">
        <v>500</v>
      </c>
      <c r="R2470" t="s">
        <v>3175</v>
      </c>
    </row>
    <row r="2471" spans="1:20" x14ac:dyDescent="0.25">
      <c r="A2471" t="s">
        <v>14</v>
      </c>
      <c r="B2471" t="s">
        <v>111</v>
      </c>
      <c r="C2471" t="s">
        <v>4415</v>
      </c>
      <c r="D2471" t="s">
        <v>4416</v>
      </c>
      <c r="E2471">
        <v>47300046217</v>
      </c>
      <c r="F2471" t="s">
        <v>16</v>
      </c>
      <c r="G2471" t="s">
        <v>28</v>
      </c>
      <c r="H2471" t="s">
        <v>108</v>
      </c>
      <c r="K2471" t="s">
        <v>3197</v>
      </c>
      <c r="L2471" t="s">
        <v>19</v>
      </c>
      <c r="M2471" t="s">
        <v>46</v>
      </c>
      <c r="N2471" s="2">
        <v>45627</v>
      </c>
      <c r="O2471" s="2">
        <v>45657</v>
      </c>
      <c r="P2471">
        <v>150650</v>
      </c>
      <c r="Q2471">
        <v>150650</v>
      </c>
      <c r="R2471" t="s">
        <v>3175</v>
      </c>
    </row>
    <row r="2472" spans="1:20" x14ac:dyDescent="0.25">
      <c r="A2472" t="s">
        <v>14</v>
      </c>
      <c r="B2472" t="s">
        <v>111</v>
      </c>
      <c r="C2472" t="s">
        <v>4415</v>
      </c>
      <c r="D2472" t="s">
        <v>4416</v>
      </c>
      <c r="E2472">
        <v>47300046217</v>
      </c>
      <c r="F2472" t="s">
        <v>16</v>
      </c>
      <c r="G2472" t="s">
        <v>28</v>
      </c>
      <c r="H2472" t="s">
        <v>108</v>
      </c>
      <c r="K2472" t="s">
        <v>2892</v>
      </c>
      <c r="L2472" t="s">
        <v>19</v>
      </c>
      <c r="M2472" t="s">
        <v>46</v>
      </c>
      <c r="N2472" s="2">
        <v>45627</v>
      </c>
      <c r="O2472" s="2">
        <v>45657</v>
      </c>
      <c r="P2472">
        <v>10000</v>
      </c>
      <c r="Q2472">
        <v>10000</v>
      </c>
      <c r="R2472" t="s">
        <v>3175</v>
      </c>
    </row>
    <row r="2473" spans="1:20" x14ac:dyDescent="0.25">
      <c r="A2473" t="s">
        <v>14</v>
      </c>
      <c r="B2473" t="s">
        <v>107</v>
      </c>
      <c r="C2473" t="s">
        <v>4415</v>
      </c>
      <c r="D2473" t="s">
        <v>4416</v>
      </c>
      <c r="E2473">
        <v>47300046217</v>
      </c>
      <c r="F2473" t="s">
        <v>16</v>
      </c>
      <c r="G2473" t="s">
        <v>28</v>
      </c>
      <c r="H2473" t="s">
        <v>108</v>
      </c>
      <c r="K2473" t="s">
        <v>3795</v>
      </c>
      <c r="L2473" t="s">
        <v>19</v>
      </c>
      <c r="M2473" t="s">
        <v>20</v>
      </c>
      <c r="P2473">
        <v>250000</v>
      </c>
      <c r="Q2473">
        <v>250000</v>
      </c>
      <c r="R2473" t="s">
        <v>4203</v>
      </c>
      <c r="S2473" t="s">
        <v>109</v>
      </c>
      <c r="T2473">
        <v>1040.7</v>
      </c>
    </row>
    <row r="2474" spans="1:20" x14ac:dyDescent="0.25">
      <c r="A2474" t="s">
        <v>14</v>
      </c>
      <c r="B2474" t="s">
        <v>107</v>
      </c>
      <c r="C2474" t="s">
        <v>4415</v>
      </c>
      <c r="D2474" t="s">
        <v>4416</v>
      </c>
      <c r="E2474">
        <v>47300046217</v>
      </c>
      <c r="F2474" t="s">
        <v>16</v>
      </c>
      <c r="G2474" t="s">
        <v>28</v>
      </c>
      <c r="H2474" t="s">
        <v>108</v>
      </c>
      <c r="K2474" t="s">
        <v>3795</v>
      </c>
      <c r="L2474" t="s">
        <v>19</v>
      </c>
      <c r="M2474" t="s">
        <v>20</v>
      </c>
      <c r="P2474">
        <v>250000</v>
      </c>
      <c r="Q2474">
        <v>250000</v>
      </c>
      <c r="R2474" t="s">
        <v>4203</v>
      </c>
      <c r="S2474" t="s">
        <v>110</v>
      </c>
      <c r="T2474">
        <v>1040.8</v>
      </c>
    </row>
    <row r="2475" spans="1:20" x14ac:dyDescent="0.25">
      <c r="A2475" t="s">
        <v>14</v>
      </c>
      <c r="B2475" t="s">
        <v>105</v>
      </c>
      <c r="C2475" t="s">
        <v>4415</v>
      </c>
      <c r="D2475" t="s">
        <v>4416</v>
      </c>
      <c r="E2475">
        <v>47300046761</v>
      </c>
      <c r="F2475" t="s">
        <v>42</v>
      </c>
      <c r="G2475" t="s">
        <v>28</v>
      </c>
      <c r="H2475" t="s">
        <v>43</v>
      </c>
      <c r="K2475" t="s">
        <v>3795</v>
      </c>
      <c r="L2475" t="s">
        <v>19</v>
      </c>
      <c r="M2475" t="s">
        <v>20</v>
      </c>
      <c r="P2475">
        <v>25000</v>
      </c>
      <c r="Q2475">
        <v>25000</v>
      </c>
      <c r="R2475" t="s">
        <v>4204</v>
      </c>
      <c r="S2475" t="s">
        <v>106</v>
      </c>
      <c r="T2475">
        <v>104.1</v>
      </c>
    </row>
    <row r="2476" spans="1:20" x14ac:dyDescent="0.25">
      <c r="A2476" t="s">
        <v>14</v>
      </c>
      <c r="B2476" t="s">
        <v>102</v>
      </c>
      <c r="C2476" t="s">
        <v>4415</v>
      </c>
      <c r="D2476" t="s">
        <v>4416</v>
      </c>
      <c r="E2476">
        <v>47300046746</v>
      </c>
      <c r="F2476" t="s">
        <v>16</v>
      </c>
      <c r="G2476" t="s">
        <v>28</v>
      </c>
      <c r="H2476" t="s">
        <v>32</v>
      </c>
      <c r="K2476" t="s">
        <v>3795</v>
      </c>
      <c r="L2476" t="s">
        <v>19</v>
      </c>
      <c r="M2476" t="s">
        <v>20</v>
      </c>
      <c r="P2476">
        <v>15000</v>
      </c>
      <c r="Q2476">
        <v>15000</v>
      </c>
      <c r="R2476" t="s">
        <v>4205</v>
      </c>
      <c r="S2476" t="s">
        <v>103</v>
      </c>
      <c r="T2476">
        <v>62.4</v>
      </c>
    </row>
    <row r="2477" spans="1:20" x14ac:dyDescent="0.25">
      <c r="A2477" t="s">
        <v>14</v>
      </c>
      <c r="B2477" t="s">
        <v>102</v>
      </c>
      <c r="C2477" t="s">
        <v>4415</v>
      </c>
      <c r="D2477" t="s">
        <v>4416</v>
      </c>
      <c r="E2477">
        <v>47300046746</v>
      </c>
      <c r="F2477" t="s">
        <v>16</v>
      </c>
      <c r="G2477" t="s">
        <v>28</v>
      </c>
      <c r="H2477" t="s">
        <v>32</v>
      </c>
      <c r="K2477" t="s">
        <v>3795</v>
      </c>
      <c r="L2477" t="s">
        <v>19</v>
      </c>
      <c r="M2477" t="s">
        <v>20</v>
      </c>
      <c r="P2477">
        <v>15000</v>
      </c>
      <c r="Q2477">
        <v>15000</v>
      </c>
      <c r="R2477" t="s">
        <v>4205</v>
      </c>
      <c r="S2477" t="s">
        <v>104</v>
      </c>
      <c r="T2477">
        <v>62.5</v>
      </c>
    </row>
    <row r="2478" spans="1:20" x14ac:dyDescent="0.25">
      <c r="A2478" t="s">
        <v>14</v>
      </c>
      <c r="B2478" t="s">
        <v>99</v>
      </c>
      <c r="C2478" t="s">
        <v>4419</v>
      </c>
      <c r="D2478" t="s">
        <v>4368</v>
      </c>
      <c r="E2478">
        <v>47300046647</v>
      </c>
      <c r="F2478" t="s">
        <v>16</v>
      </c>
      <c r="G2478" t="s">
        <v>87</v>
      </c>
      <c r="H2478" t="s">
        <v>100</v>
      </c>
      <c r="K2478" t="s">
        <v>3795</v>
      </c>
      <c r="L2478" t="s">
        <v>19</v>
      </c>
      <c r="M2478" t="s">
        <v>20</v>
      </c>
      <c r="P2478">
        <v>100000</v>
      </c>
      <c r="Q2478">
        <v>100000</v>
      </c>
      <c r="R2478" t="s">
        <v>4206</v>
      </c>
      <c r="S2478" t="s">
        <v>101</v>
      </c>
      <c r="T2478">
        <v>416.3</v>
      </c>
    </row>
    <row r="2479" spans="1:20" x14ac:dyDescent="0.25">
      <c r="A2479" t="s">
        <v>14</v>
      </c>
      <c r="B2479" t="s">
        <v>97</v>
      </c>
      <c r="C2479" t="s">
        <v>4371</v>
      </c>
      <c r="D2479" t="s">
        <v>4368</v>
      </c>
      <c r="E2479">
        <v>47300026094</v>
      </c>
      <c r="F2479" t="s">
        <v>35</v>
      </c>
      <c r="G2479" t="s">
        <v>36</v>
      </c>
      <c r="H2479" t="s">
        <v>4359</v>
      </c>
      <c r="K2479" t="s">
        <v>3795</v>
      </c>
      <c r="L2479" t="s">
        <v>19</v>
      </c>
      <c r="M2479" t="s">
        <v>20</v>
      </c>
      <c r="P2479">
        <v>60000</v>
      </c>
      <c r="Q2479">
        <v>60000</v>
      </c>
      <c r="R2479" t="s">
        <v>4207</v>
      </c>
      <c r="S2479" t="s">
        <v>98</v>
      </c>
      <c r="T2479">
        <v>249.8</v>
      </c>
    </row>
    <row r="2480" spans="1:20" x14ac:dyDescent="0.25">
      <c r="A2480" t="s">
        <v>14</v>
      </c>
      <c r="B2480" t="s">
        <v>95</v>
      </c>
      <c r="C2480" t="s">
        <v>4367</v>
      </c>
      <c r="D2480" t="s">
        <v>4368</v>
      </c>
      <c r="E2480">
        <v>47300025708</v>
      </c>
      <c r="F2480" t="s">
        <v>35</v>
      </c>
      <c r="G2480" t="s">
        <v>36</v>
      </c>
      <c r="H2480" t="s">
        <v>4360</v>
      </c>
      <c r="K2480" t="s">
        <v>3795</v>
      </c>
      <c r="L2480" t="s">
        <v>19</v>
      </c>
      <c r="M2480" t="s">
        <v>20</v>
      </c>
      <c r="P2480">
        <v>40000</v>
      </c>
      <c r="Q2480">
        <v>40000</v>
      </c>
      <c r="R2480" t="s">
        <v>4208</v>
      </c>
      <c r="S2480" t="s">
        <v>96</v>
      </c>
      <c r="T2480">
        <v>166.5</v>
      </c>
    </row>
    <row r="2481" spans="1:20" x14ac:dyDescent="0.25">
      <c r="A2481" t="s">
        <v>14</v>
      </c>
      <c r="B2481" t="s">
        <v>92</v>
      </c>
      <c r="C2481" t="s">
        <v>4384</v>
      </c>
      <c r="D2481" t="s">
        <v>4385</v>
      </c>
      <c r="E2481">
        <v>47300020147</v>
      </c>
      <c r="F2481" t="s">
        <v>35</v>
      </c>
      <c r="G2481" t="s">
        <v>36</v>
      </c>
      <c r="H2481" t="s">
        <v>4363</v>
      </c>
      <c r="K2481" t="s">
        <v>3795</v>
      </c>
      <c r="L2481" t="s">
        <v>19</v>
      </c>
      <c r="M2481" t="s">
        <v>20</v>
      </c>
      <c r="P2481">
        <v>40000</v>
      </c>
      <c r="Q2481">
        <v>40000</v>
      </c>
      <c r="R2481" t="s">
        <v>4209</v>
      </c>
      <c r="S2481" t="s">
        <v>94</v>
      </c>
      <c r="T2481">
        <v>166.5</v>
      </c>
    </row>
    <row r="2482" spans="1:20" x14ac:dyDescent="0.25">
      <c r="A2482" t="s">
        <v>14</v>
      </c>
      <c r="B2482" t="s">
        <v>90</v>
      </c>
      <c r="C2482" t="s">
        <v>4408</v>
      </c>
      <c r="D2482" t="s">
        <v>4407</v>
      </c>
      <c r="E2482">
        <v>47300070514</v>
      </c>
      <c r="F2482" t="s">
        <v>27</v>
      </c>
      <c r="G2482" t="s">
        <v>28</v>
      </c>
      <c r="H2482" t="s">
        <v>29</v>
      </c>
      <c r="K2482" t="s">
        <v>3795</v>
      </c>
      <c r="L2482" t="s">
        <v>19</v>
      </c>
      <c r="M2482" t="s">
        <v>20</v>
      </c>
      <c r="P2482">
        <v>100000</v>
      </c>
      <c r="Q2482">
        <v>100000</v>
      </c>
      <c r="R2482" t="s">
        <v>4210</v>
      </c>
      <c r="S2482" t="s">
        <v>91</v>
      </c>
      <c r="T2482">
        <v>416.3</v>
      </c>
    </row>
    <row r="2483" spans="1:20" x14ac:dyDescent="0.25">
      <c r="A2483" t="s">
        <v>14</v>
      </c>
      <c r="B2483" t="s">
        <v>86</v>
      </c>
      <c r="C2483" t="s">
        <v>4408</v>
      </c>
      <c r="D2483" t="s">
        <v>4407</v>
      </c>
      <c r="E2483">
        <v>47300070795</v>
      </c>
      <c r="F2483" t="s">
        <v>16</v>
      </c>
      <c r="G2483" t="s">
        <v>87</v>
      </c>
      <c r="H2483" t="s">
        <v>88</v>
      </c>
      <c r="K2483" t="s">
        <v>3795</v>
      </c>
      <c r="L2483" t="s">
        <v>19</v>
      </c>
      <c r="M2483" t="s">
        <v>20</v>
      </c>
      <c r="P2483">
        <v>50000</v>
      </c>
      <c r="Q2483">
        <v>50000</v>
      </c>
      <c r="R2483" t="s">
        <v>4211</v>
      </c>
      <c r="S2483" t="s">
        <v>89</v>
      </c>
      <c r="T2483">
        <v>208.1</v>
      </c>
    </row>
    <row r="2484" spans="1:20" x14ac:dyDescent="0.25">
      <c r="A2484" t="s">
        <v>14</v>
      </c>
      <c r="B2484" t="s">
        <v>84</v>
      </c>
      <c r="C2484" t="s">
        <v>4374</v>
      </c>
      <c r="D2484" t="s">
        <v>4375</v>
      </c>
      <c r="E2484">
        <v>47300070753</v>
      </c>
      <c r="F2484" t="s">
        <v>16</v>
      </c>
      <c r="G2484" t="s">
        <v>17</v>
      </c>
      <c r="H2484" t="s">
        <v>82</v>
      </c>
      <c r="K2484" t="s">
        <v>4266</v>
      </c>
      <c r="L2484" t="s">
        <v>19</v>
      </c>
      <c r="M2484" t="s">
        <v>63</v>
      </c>
      <c r="N2484" s="2">
        <v>45627</v>
      </c>
      <c r="O2484" s="2">
        <v>45657</v>
      </c>
      <c r="P2484">
        <v>10000</v>
      </c>
      <c r="Q2484">
        <v>10000</v>
      </c>
      <c r="R2484" t="s">
        <v>4335</v>
      </c>
      <c r="S2484" t="s">
        <v>85</v>
      </c>
      <c r="T2484">
        <v>41.7</v>
      </c>
    </row>
    <row r="2485" spans="1:20" x14ac:dyDescent="0.25">
      <c r="A2485" t="s">
        <v>14</v>
      </c>
      <c r="B2485" t="s">
        <v>81</v>
      </c>
      <c r="C2485" t="s">
        <v>4389</v>
      </c>
      <c r="D2485" t="s">
        <v>4375</v>
      </c>
      <c r="E2485">
        <v>47300070753</v>
      </c>
      <c r="F2485" t="s">
        <v>16</v>
      </c>
      <c r="G2485" t="s">
        <v>17</v>
      </c>
      <c r="H2485" t="s">
        <v>82</v>
      </c>
      <c r="K2485" t="s">
        <v>3795</v>
      </c>
      <c r="L2485" t="s">
        <v>19</v>
      </c>
      <c r="M2485" t="s">
        <v>20</v>
      </c>
      <c r="P2485">
        <v>90000</v>
      </c>
      <c r="Q2485">
        <v>90000</v>
      </c>
      <c r="R2485" t="s">
        <v>4212</v>
      </c>
      <c r="S2485" t="s">
        <v>83</v>
      </c>
      <c r="T2485">
        <v>374.6</v>
      </c>
    </row>
    <row r="2486" spans="1:20" x14ac:dyDescent="0.25">
      <c r="A2486" t="s">
        <v>14</v>
      </c>
      <c r="B2486" t="s">
        <v>79</v>
      </c>
      <c r="C2486" t="s">
        <v>4402</v>
      </c>
      <c r="D2486" t="s">
        <v>4379</v>
      </c>
      <c r="E2486">
        <v>47300046761</v>
      </c>
      <c r="F2486" t="s">
        <v>42</v>
      </c>
      <c r="G2486" t="s">
        <v>28</v>
      </c>
      <c r="H2486" t="s">
        <v>43</v>
      </c>
      <c r="K2486" t="s">
        <v>3795</v>
      </c>
      <c r="L2486" t="s">
        <v>19</v>
      </c>
      <c r="M2486" t="s">
        <v>20</v>
      </c>
      <c r="P2486">
        <v>25000</v>
      </c>
      <c r="Q2486">
        <v>25000</v>
      </c>
      <c r="R2486" t="s">
        <v>4213</v>
      </c>
      <c r="S2486" t="s">
        <v>80</v>
      </c>
      <c r="T2486">
        <v>104.1</v>
      </c>
    </row>
    <row r="2487" spans="1:20" x14ac:dyDescent="0.25">
      <c r="A2487" t="s">
        <v>14</v>
      </c>
      <c r="B2487" t="s">
        <v>76</v>
      </c>
      <c r="C2487" t="s">
        <v>4402</v>
      </c>
      <c r="D2487" t="s">
        <v>4379</v>
      </c>
      <c r="E2487">
        <v>47300070597</v>
      </c>
      <c r="F2487" t="s">
        <v>16</v>
      </c>
      <c r="G2487" t="s">
        <v>28</v>
      </c>
      <c r="H2487" t="s">
        <v>77</v>
      </c>
      <c r="K2487" t="s">
        <v>4266</v>
      </c>
      <c r="L2487" t="s">
        <v>19</v>
      </c>
      <c r="M2487" t="s">
        <v>63</v>
      </c>
      <c r="N2487" s="2">
        <v>45627</v>
      </c>
      <c r="O2487" s="2">
        <v>45657</v>
      </c>
      <c r="P2487">
        <v>40000</v>
      </c>
      <c r="Q2487">
        <v>40000</v>
      </c>
      <c r="R2487" t="s">
        <v>3176</v>
      </c>
      <c r="S2487" t="s">
        <v>78</v>
      </c>
      <c r="T2487">
        <v>166.5</v>
      </c>
    </row>
    <row r="2488" spans="1:20" x14ac:dyDescent="0.25">
      <c r="A2488" t="s">
        <v>14</v>
      </c>
      <c r="B2488" t="s">
        <v>76</v>
      </c>
      <c r="C2488" t="s">
        <v>4387</v>
      </c>
      <c r="D2488" t="s">
        <v>4388</v>
      </c>
      <c r="E2488">
        <v>47300070597</v>
      </c>
      <c r="F2488" t="s">
        <v>16</v>
      </c>
      <c r="G2488" t="s">
        <v>28</v>
      </c>
      <c r="H2488" t="s">
        <v>77</v>
      </c>
      <c r="K2488" t="s">
        <v>3294</v>
      </c>
      <c r="L2488" t="s">
        <v>19</v>
      </c>
      <c r="M2488" t="s">
        <v>46</v>
      </c>
      <c r="N2488" s="2">
        <v>45627</v>
      </c>
      <c r="O2488" s="2">
        <v>45657</v>
      </c>
      <c r="P2488">
        <v>500</v>
      </c>
      <c r="Q2488">
        <v>500</v>
      </c>
      <c r="R2488" t="s">
        <v>3176</v>
      </c>
    </row>
    <row r="2489" spans="1:20" x14ac:dyDescent="0.25">
      <c r="A2489" t="s">
        <v>14</v>
      </c>
      <c r="B2489" t="s">
        <v>76</v>
      </c>
      <c r="C2489" t="s">
        <v>4402</v>
      </c>
      <c r="D2489" t="s">
        <v>4379</v>
      </c>
      <c r="E2489">
        <v>47300070597</v>
      </c>
      <c r="F2489" t="s">
        <v>16</v>
      </c>
      <c r="G2489" t="s">
        <v>28</v>
      </c>
      <c r="H2489" t="s">
        <v>77</v>
      </c>
      <c r="K2489" t="s">
        <v>3197</v>
      </c>
      <c r="L2489" t="s">
        <v>19</v>
      </c>
      <c r="M2489" t="s">
        <v>46</v>
      </c>
      <c r="N2489" s="2">
        <v>45627</v>
      </c>
      <c r="O2489" s="2">
        <v>45657</v>
      </c>
      <c r="P2489">
        <v>150650</v>
      </c>
      <c r="Q2489">
        <v>150650</v>
      </c>
      <c r="R2489" t="s">
        <v>3176</v>
      </c>
    </row>
    <row r="2490" spans="1:20" x14ac:dyDescent="0.25">
      <c r="A2490" t="s">
        <v>14</v>
      </c>
      <c r="B2490" t="s">
        <v>76</v>
      </c>
      <c r="C2490" t="s">
        <v>4402</v>
      </c>
      <c r="D2490" t="s">
        <v>4379</v>
      </c>
      <c r="E2490">
        <v>47300070597</v>
      </c>
      <c r="F2490" t="s">
        <v>16</v>
      </c>
      <c r="G2490" t="s">
        <v>28</v>
      </c>
      <c r="H2490" t="s">
        <v>77</v>
      </c>
      <c r="K2490" t="s">
        <v>2892</v>
      </c>
      <c r="L2490" t="s">
        <v>19</v>
      </c>
      <c r="M2490" t="s">
        <v>46</v>
      </c>
      <c r="N2490" s="2">
        <v>45627</v>
      </c>
      <c r="O2490" s="2">
        <v>45657</v>
      </c>
      <c r="P2490">
        <v>10000</v>
      </c>
      <c r="Q2490">
        <v>10000</v>
      </c>
      <c r="R2490" t="s">
        <v>3176</v>
      </c>
    </row>
    <row r="2491" spans="1:20" x14ac:dyDescent="0.25">
      <c r="A2491" t="s">
        <v>14</v>
      </c>
      <c r="B2491" t="s">
        <v>74</v>
      </c>
      <c r="C2491" t="s">
        <v>4398</v>
      </c>
      <c r="D2491" t="s">
        <v>4377</v>
      </c>
      <c r="E2491">
        <v>47300026094</v>
      </c>
      <c r="F2491" t="s">
        <v>35</v>
      </c>
      <c r="G2491" t="s">
        <v>36</v>
      </c>
      <c r="H2491" t="s">
        <v>4359</v>
      </c>
      <c r="K2491" t="s">
        <v>3795</v>
      </c>
      <c r="L2491" t="s">
        <v>19</v>
      </c>
      <c r="M2491" t="s">
        <v>20</v>
      </c>
      <c r="P2491">
        <v>100000</v>
      </c>
      <c r="Q2491">
        <v>100000</v>
      </c>
      <c r="R2491" t="s">
        <v>4214</v>
      </c>
      <c r="S2491" t="s">
        <v>75</v>
      </c>
      <c r="T2491">
        <v>416.3</v>
      </c>
    </row>
    <row r="2492" spans="1:20" x14ac:dyDescent="0.25">
      <c r="A2492" t="s">
        <v>14</v>
      </c>
      <c r="B2492" t="s">
        <v>71</v>
      </c>
      <c r="C2492" t="s">
        <v>4389</v>
      </c>
      <c r="D2492" t="s">
        <v>4390</v>
      </c>
      <c r="E2492">
        <v>47300070571</v>
      </c>
      <c r="F2492" t="s">
        <v>42</v>
      </c>
      <c r="G2492" t="s">
        <v>28</v>
      </c>
      <c r="H2492" t="s">
        <v>72</v>
      </c>
      <c r="K2492" t="s">
        <v>3795</v>
      </c>
      <c r="L2492" t="s">
        <v>19</v>
      </c>
      <c r="M2492" t="s">
        <v>20</v>
      </c>
      <c r="P2492">
        <v>100000</v>
      </c>
      <c r="Q2492">
        <v>100000</v>
      </c>
      <c r="R2492" t="s">
        <v>4215</v>
      </c>
      <c r="S2492" t="s">
        <v>73</v>
      </c>
      <c r="T2492">
        <v>416.3</v>
      </c>
    </row>
    <row r="2493" spans="1:20" x14ac:dyDescent="0.25">
      <c r="A2493" t="s">
        <v>14</v>
      </c>
      <c r="B2493" t="s">
        <v>68</v>
      </c>
      <c r="C2493" t="s">
        <v>4367</v>
      </c>
      <c r="D2493" t="s">
        <v>4368</v>
      </c>
      <c r="E2493">
        <v>47300046316</v>
      </c>
      <c r="F2493" t="s">
        <v>42</v>
      </c>
      <c r="G2493" t="s">
        <v>28</v>
      </c>
      <c r="H2493" t="s">
        <v>69</v>
      </c>
      <c r="K2493" t="s">
        <v>4266</v>
      </c>
      <c r="L2493" t="s">
        <v>19</v>
      </c>
      <c r="M2493" t="s">
        <v>63</v>
      </c>
      <c r="N2493" s="2">
        <v>45627</v>
      </c>
      <c r="O2493" s="2">
        <v>45657</v>
      </c>
      <c r="P2493">
        <v>100000</v>
      </c>
      <c r="Q2493">
        <v>100000</v>
      </c>
      <c r="R2493" t="s">
        <v>4336</v>
      </c>
      <c r="S2493" t="s">
        <v>70</v>
      </c>
      <c r="T2493">
        <v>416.3</v>
      </c>
    </row>
    <row r="2494" spans="1:20" x14ac:dyDescent="0.25">
      <c r="A2494" t="s">
        <v>14</v>
      </c>
      <c r="B2494" t="s">
        <v>65</v>
      </c>
      <c r="C2494" t="s">
        <v>2927</v>
      </c>
      <c r="D2494" t="s">
        <v>4385</v>
      </c>
      <c r="E2494">
        <v>47300025708</v>
      </c>
      <c r="F2494" t="s">
        <v>35</v>
      </c>
      <c r="G2494" t="s">
        <v>36</v>
      </c>
      <c r="H2494" t="s">
        <v>4360</v>
      </c>
      <c r="K2494" t="s">
        <v>3795</v>
      </c>
      <c r="L2494" t="s">
        <v>19</v>
      </c>
      <c r="M2494" t="s">
        <v>20</v>
      </c>
      <c r="P2494">
        <v>100000</v>
      </c>
      <c r="Q2494">
        <v>100000</v>
      </c>
      <c r="R2494" t="s">
        <v>4216</v>
      </c>
      <c r="S2494" t="s">
        <v>67</v>
      </c>
      <c r="T2494">
        <v>416.3</v>
      </c>
    </row>
    <row r="2495" spans="1:20" x14ac:dyDescent="0.25">
      <c r="A2495" t="s">
        <v>14</v>
      </c>
      <c r="B2495" t="s">
        <v>61</v>
      </c>
      <c r="C2495" t="s">
        <v>4371</v>
      </c>
      <c r="D2495" t="s">
        <v>4368</v>
      </c>
      <c r="E2495">
        <v>47300046365</v>
      </c>
      <c r="F2495" t="s">
        <v>16</v>
      </c>
      <c r="G2495" t="s">
        <v>28</v>
      </c>
      <c r="H2495" t="s">
        <v>62</v>
      </c>
      <c r="K2495" t="s">
        <v>4266</v>
      </c>
      <c r="L2495" t="s">
        <v>19</v>
      </c>
      <c r="M2495" t="s">
        <v>63</v>
      </c>
      <c r="N2495" s="2">
        <v>45627</v>
      </c>
      <c r="O2495" s="2">
        <v>45657</v>
      </c>
      <c r="P2495">
        <v>50000</v>
      </c>
      <c r="Q2495">
        <v>50000</v>
      </c>
      <c r="R2495" t="s">
        <v>4337</v>
      </c>
      <c r="S2495" t="s">
        <v>64</v>
      </c>
      <c r="T2495">
        <v>208.1</v>
      </c>
    </row>
    <row r="2496" spans="1:20" x14ac:dyDescent="0.25">
      <c r="A2496" t="s">
        <v>14</v>
      </c>
      <c r="B2496" t="s">
        <v>59</v>
      </c>
      <c r="C2496" t="s">
        <v>4414</v>
      </c>
      <c r="D2496" t="s">
        <v>4401</v>
      </c>
      <c r="E2496">
        <v>47300046761</v>
      </c>
      <c r="F2496" t="s">
        <v>42</v>
      </c>
      <c r="G2496" t="s">
        <v>28</v>
      </c>
      <c r="H2496" t="s">
        <v>43</v>
      </c>
      <c r="K2496" t="s">
        <v>3795</v>
      </c>
      <c r="L2496" t="s">
        <v>19</v>
      </c>
      <c r="M2496" t="s">
        <v>20</v>
      </c>
      <c r="P2496">
        <v>25000</v>
      </c>
      <c r="Q2496">
        <v>25000</v>
      </c>
      <c r="R2496" t="s">
        <v>4217</v>
      </c>
      <c r="S2496" t="s">
        <v>60</v>
      </c>
      <c r="T2496">
        <v>104</v>
      </c>
    </row>
    <row r="2497" spans="1:20" x14ac:dyDescent="0.25">
      <c r="A2497" t="s">
        <v>14</v>
      </c>
      <c r="B2497" t="s">
        <v>56</v>
      </c>
      <c r="C2497" t="s">
        <v>4414</v>
      </c>
      <c r="D2497" t="s">
        <v>4401</v>
      </c>
      <c r="E2497">
        <v>47300047066</v>
      </c>
      <c r="F2497" t="s">
        <v>16</v>
      </c>
      <c r="G2497" t="s">
        <v>28</v>
      </c>
      <c r="H2497" t="s">
        <v>57</v>
      </c>
      <c r="K2497" t="s">
        <v>3795</v>
      </c>
      <c r="L2497" t="s">
        <v>19</v>
      </c>
      <c r="M2497" t="s">
        <v>20</v>
      </c>
      <c r="P2497">
        <v>50000</v>
      </c>
      <c r="Q2497">
        <v>50000</v>
      </c>
      <c r="R2497" t="s">
        <v>4218</v>
      </c>
      <c r="S2497" t="s">
        <v>58</v>
      </c>
      <c r="T2497">
        <v>208.2</v>
      </c>
    </row>
    <row r="2498" spans="1:20" x14ac:dyDescent="0.25">
      <c r="A2498" t="s">
        <v>14</v>
      </c>
      <c r="B2498" t="s">
        <v>53</v>
      </c>
      <c r="C2498" t="s">
        <v>4382</v>
      </c>
      <c r="D2498" t="s">
        <v>4383</v>
      </c>
      <c r="E2498">
        <v>47300046746</v>
      </c>
      <c r="F2498" t="s">
        <v>16</v>
      </c>
      <c r="G2498" t="s">
        <v>28</v>
      </c>
      <c r="H2498" t="s">
        <v>32</v>
      </c>
      <c r="K2498" t="s">
        <v>3795</v>
      </c>
      <c r="L2498" t="s">
        <v>19</v>
      </c>
      <c r="M2498" t="s">
        <v>20</v>
      </c>
      <c r="P2498">
        <v>10000</v>
      </c>
      <c r="Q2498">
        <v>10000</v>
      </c>
      <c r="R2498" t="s">
        <v>4219</v>
      </c>
      <c r="S2498" t="s">
        <v>54</v>
      </c>
      <c r="T2498">
        <v>41.6</v>
      </c>
    </row>
    <row r="2499" spans="1:20" x14ac:dyDescent="0.25">
      <c r="A2499" t="s">
        <v>14</v>
      </c>
      <c r="B2499" t="s">
        <v>53</v>
      </c>
      <c r="C2499" t="s">
        <v>4387</v>
      </c>
      <c r="D2499" t="s">
        <v>4388</v>
      </c>
      <c r="E2499">
        <v>47300046746</v>
      </c>
      <c r="F2499" t="s">
        <v>16</v>
      </c>
      <c r="G2499" t="s">
        <v>28</v>
      </c>
      <c r="H2499" t="s">
        <v>32</v>
      </c>
      <c r="K2499" t="s">
        <v>3795</v>
      </c>
      <c r="L2499" t="s">
        <v>19</v>
      </c>
      <c r="M2499" t="s">
        <v>20</v>
      </c>
      <c r="P2499">
        <v>10000</v>
      </c>
      <c r="Q2499">
        <v>10000</v>
      </c>
      <c r="R2499" t="s">
        <v>4219</v>
      </c>
      <c r="S2499" t="s">
        <v>55</v>
      </c>
      <c r="T2499">
        <v>41.7</v>
      </c>
    </row>
    <row r="2500" spans="1:20" x14ac:dyDescent="0.25">
      <c r="A2500" t="s">
        <v>14</v>
      </c>
      <c r="B2500" t="s">
        <v>50</v>
      </c>
      <c r="C2500" t="s">
        <v>4387</v>
      </c>
      <c r="D2500" t="s">
        <v>4388</v>
      </c>
      <c r="E2500">
        <v>47300070548</v>
      </c>
      <c r="F2500" t="s">
        <v>27</v>
      </c>
      <c r="G2500" t="s">
        <v>17</v>
      </c>
      <c r="H2500" t="s">
        <v>51</v>
      </c>
      <c r="K2500" t="s">
        <v>3795</v>
      </c>
      <c r="L2500" t="s">
        <v>19</v>
      </c>
      <c r="M2500" t="s">
        <v>20</v>
      </c>
      <c r="P2500">
        <v>100000</v>
      </c>
      <c r="Q2500">
        <v>100000</v>
      </c>
      <c r="R2500" t="s">
        <v>4220</v>
      </c>
      <c r="S2500" t="s">
        <v>52</v>
      </c>
      <c r="T2500">
        <v>416.3</v>
      </c>
    </row>
    <row r="2501" spans="1:20" x14ac:dyDescent="0.25">
      <c r="A2501" t="s">
        <v>14</v>
      </c>
      <c r="B2501" t="s">
        <v>48</v>
      </c>
      <c r="C2501" t="s">
        <v>4413</v>
      </c>
      <c r="D2501" t="s">
        <v>4395</v>
      </c>
      <c r="E2501">
        <v>47300046605</v>
      </c>
      <c r="F2501" t="s">
        <v>16</v>
      </c>
      <c r="G2501" t="s">
        <v>17</v>
      </c>
      <c r="H2501" t="s">
        <v>49</v>
      </c>
      <c r="K2501" t="s">
        <v>2892</v>
      </c>
      <c r="L2501" t="s">
        <v>19</v>
      </c>
      <c r="M2501" t="s">
        <v>46</v>
      </c>
      <c r="N2501" s="2">
        <v>45627</v>
      </c>
      <c r="O2501" s="2">
        <v>45991</v>
      </c>
      <c r="P2501">
        <v>10000</v>
      </c>
      <c r="Q2501">
        <v>120000</v>
      </c>
      <c r="R2501" t="s">
        <v>3177</v>
      </c>
    </row>
    <row r="2502" spans="1:20" x14ac:dyDescent="0.25">
      <c r="A2502" t="s">
        <v>14</v>
      </c>
      <c r="B2502" t="s">
        <v>45</v>
      </c>
      <c r="C2502" t="s">
        <v>4394</v>
      </c>
      <c r="D2502" t="s">
        <v>4395</v>
      </c>
      <c r="E2502">
        <v>47300046241</v>
      </c>
      <c r="F2502" t="s">
        <v>16</v>
      </c>
      <c r="G2502" t="s">
        <v>23</v>
      </c>
      <c r="H2502" t="s">
        <v>24</v>
      </c>
      <c r="I2502" t="s">
        <v>2754</v>
      </c>
      <c r="J2502">
        <v>0</v>
      </c>
      <c r="K2502" t="s">
        <v>3518</v>
      </c>
      <c r="L2502" t="s">
        <v>47</v>
      </c>
      <c r="N2502" s="2">
        <v>45631</v>
      </c>
      <c r="O2502" s="2">
        <v>45631</v>
      </c>
      <c r="P2502">
        <v>125954.01</v>
      </c>
      <c r="Q2502">
        <v>125954.01</v>
      </c>
      <c r="R2502" t="s">
        <v>3178</v>
      </c>
    </row>
    <row r="2503" spans="1:20" x14ac:dyDescent="0.25">
      <c r="A2503" t="s">
        <v>14</v>
      </c>
      <c r="B2503" t="s">
        <v>45</v>
      </c>
      <c r="C2503" t="s">
        <v>4394</v>
      </c>
      <c r="D2503" t="s">
        <v>4395</v>
      </c>
      <c r="E2503">
        <v>47300046241</v>
      </c>
      <c r="F2503" t="s">
        <v>16</v>
      </c>
      <c r="G2503" t="s">
        <v>23</v>
      </c>
      <c r="H2503" t="s">
        <v>24</v>
      </c>
      <c r="I2503" t="s">
        <v>2754</v>
      </c>
      <c r="J2503">
        <v>0</v>
      </c>
      <c r="K2503" t="s">
        <v>3197</v>
      </c>
      <c r="L2503" t="s">
        <v>19</v>
      </c>
      <c r="M2503" t="s">
        <v>46</v>
      </c>
      <c r="N2503" s="2">
        <v>45627</v>
      </c>
      <c r="O2503" s="2">
        <v>45657</v>
      </c>
      <c r="P2503">
        <v>150650</v>
      </c>
      <c r="Q2503">
        <v>150650</v>
      </c>
      <c r="R2503" t="s">
        <v>3178</v>
      </c>
    </row>
    <row r="2504" spans="1:20" x14ac:dyDescent="0.25">
      <c r="A2504" t="s">
        <v>14</v>
      </c>
      <c r="B2504" t="s">
        <v>45</v>
      </c>
      <c r="C2504" t="s">
        <v>4394</v>
      </c>
      <c r="D2504" t="s">
        <v>4395</v>
      </c>
      <c r="E2504">
        <v>47300046241</v>
      </c>
      <c r="F2504" t="s">
        <v>16</v>
      </c>
      <c r="G2504" t="s">
        <v>23</v>
      </c>
      <c r="H2504" t="s">
        <v>24</v>
      </c>
      <c r="I2504" t="s">
        <v>2754</v>
      </c>
      <c r="J2504">
        <v>0</v>
      </c>
      <c r="K2504" t="s">
        <v>2892</v>
      </c>
      <c r="L2504" t="s">
        <v>19</v>
      </c>
      <c r="M2504" t="s">
        <v>46</v>
      </c>
      <c r="N2504" s="2">
        <v>45627</v>
      </c>
      <c r="O2504" s="2">
        <v>45657</v>
      </c>
      <c r="P2504">
        <v>10000</v>
      </c>
      <c r="Q2504">
        <v>10000</v>
      </c>
      <c r="R2504" t="s">
        <v>3178</v>
      </c>
    </row>
    <row r="2505" spans="1:20" x14ac:dyDescent="0.25">
      <c r="A2505" t="s">
        <v>14</v>
      </c>
      <c r="B2505" t="s">
        <v>41</v>
      </c>
      <c r="C2505" t="s">
        <v>4380</v>
      </c>
      <c r="D2505" t="s">
        <v>4381</v>
      </c>
      <c r="E2505">
        <v>47300046761</v>
      </c>
      <c r="F2505" t="s">
        <v>42</v>
      </c>
      <c r="G2505" t="s">
        <v>28</v>
      </c>
      <c r="H2505" t="s">
        <v>43</v>
      </c>
      <c r="K2505" t="s">
        <v>3795</v>
      </c>
      <c r="L2505" t="s">
        <v>19</v>
      </c>
      <c r="M2505" t="s">
        <v>20</v>
      </c>
      <c r="P2505">
        <v>25000</v>
      </c>
      <c r="Q2505">
        <v>25000</v>
      </c>
      <c r="R2505" t="s">
        <v>4221</v>
      </c>
      <c r="S2505" t="s">
        <v>44</v>
      </c>
      <c r="T2505">
        <v>104.1</v>
      </c>
    </row>
    <row r="2506" spans="1:20" x14ac:dyDescent="0.25">
      <c r="A2506" t="s">
        <v>14</v>
      </c>
      <c r="B2506" t="s">
        <v>39</v>
      </c>
      <c r="C2506" t="s">
        <v>4400</v>
      </c>
      <c r="D2506" t="s">
        <v>4401</v>
      </c>
      <c r="E2506">
        <v>47300026094</v>
      </c>
      <c r="F2506" t="s">
        <v>35</v>
      </c>
      <c r="G2506" t="s">
        <v>36</v>
      </c>
      <c r="H2506" t="s">
        <v>4359</v>
      </c>
      <c r="K2506" t="s">
        <v>3795</v>
      </c>
      <c r="L2506" t="s">
        <v>19</v>
      </c>
      <c r="M2506" t="s">
        <v>20</v>
      </c>
      <c r="P2506">
        <v>100000</v>
      </c>
      <c r="Q2506">
        <v>100000</v>
      </c>
      <c r="R2506" t="s">
        <v>4222</v>
      </c>
      <c r="S2506" t="s">
        <v>40</v>
      </c>
      <c r="T2506">
        <v>416.3</v>
      </c>
    </row>
    <row r="2507" spans="1:20" x14ac:dyDescent="0.25">
      <c r="A2507" t="s">
        <v>14</v>
      </c>
      <c r="B2507" t="s">
        <v>34</v>
      </c>
      <c r="C2507" t="s">
        <v>4394</v>
      </c>
      <c r="D2507" t="s">
        <v>4395</v>
      </c>
      <c r="E2507">
        <v>47300025690</v>
      </c>
      <c r="F2507" t="s">
        <v>35</v>
      </c>
      <c r="G2507" t="s">
        <v>36</v>
      </c>
      <c r="H2507" t="s">
        <v>37</v>
      </c>
      <c r="K2507" t="s">
        <v>3795</v>
      </c>
      <c r="L2507" t="s">
        <v>19</v>
      </c>
      <c r="M2507" t="s">
        <v>20</v>
      </c>
      <c r="P2507">
        <v>35000</v>
      </c>
      <c r="Q2507">
        <v>35000</v>
      </c>
      <c r="R2507" t="s">
        <v>4223</v>
      </c>
      <c r="S2507" t="s">
        <v>38</v>
      </c>
      <c r="T2507">
        <v>145.69999999999999</v>
      </c>
    </row>
    <row r="2508" spans="1:20" x14ac:dyDescent="0.25">
      <c r="A2508" t="s">
        <v>14</v>
      </c>
      <c r="B2508" t="s">
        <v>31</v>
      </c>
      <c r="C2508" t="s">
        <v>4389</v>
      </c>
      <c r="D2508" t="s">
        <v>4375</v>
      </c>
      <c r="E2508">
        <v>47300046746</v>
      </c>
      <c r="F2508" t="s">
        <v>16</v>
      </c>
      <c r="G2508" t="s">
        <v>28</v>
      </c>
      <c r="H2508" t="s">
        <v>32</v>
      </c>
      <c r="K2508" t="s">
        <v>3795</v>
      </c>
      <c r="L2508" t="s">
        <v>19</v>
      </c>
      <c r="M2508" t="s">
        <v>20</v>
      </c>
      <c r="P2508">
        <v>35000</v>
      </c>
      <c r="Q2508">
        <v>35000</v>
      </c>
      <c r="R2508" t="s">
        <v>4224</v>
      </c>
      <c r="S2508" t="s">
        <v>33</v>
      </c>
      <c r="T2508">
        <v>145.69999999999999</v>
      </c>
    </row>
    <row r="2509" spans="1:20" x14ac:dyDescent="0.25">
      <c r="A2509" t="s">
        <v>14</v>
      </c>
      <c r="B2509" t="s">
        <v>26</v>
      </c>
      <c r="C2509" t="s">
        <v>4414</v>
      </c>
      <c r="D2509" t="s">
        <v>4401</v>
      </c>
      <c r="E2509">
        <v>47300070514</v>
      </c>
      <c r="F2509" t="s">
        <v>27</v>
      </c>
      <c r="G2509" t="s">
        <v>28</v>
      </c>
      <c r="H2509" t="s">
        <v>29</v>
      </c>
      <c r="K2509" t="s">
        <v>3795</v>
      </c>
      <c r="L2509" t="s">
        <v>19</v>
      </c>
      <c r="M2509" t="s">
        <v>20</v>
      </c>
      <c r="P2509">
        <v>100000</v>
      </c>
      <c r="Q2509">
        <v>100000</v>
      </c>
      <c r="R2509" t="s">
        <v>4225</v>
      </c>
      <c r="S2509" t="s">
        <v>30</v>
      </c>
      <c r="T2509">
        <v>416.3</v>
      </c>
    </row>
    <row r="2510" spans="1:20" x14ac:dyDescent="0.25">
      <c r="A2510" t="s">
        <v>14</v>
      </c>
      <c r="B2510" t="s">
        <v>22</v>
      </c>
      <c r="C2510" t="s">
        <v>4386</v>
      </c>
      <c r="D2510" t="s">
        <v>4368</v>
      </c>
      <c r="E2510">
        <v>47300046241</v>
      </c>
      <c r="F2510" t="s">
        <v>16</v>
      </c>
      <c r="G2510" t="s">
        <v>23</v>
      </c>
      <c r="H2510" t="s">
        <v>24</v>
      </c>
      <c r="I2510" t="s">
        <v>2754</v>
      </c>
      <c r="J2510">
        <v>0</v>
      </c>
      <c r="K2510" t="s">
        <v>3795</v>
      </c>
      <c r="L2510" t="s">
        <v>19</v>
      </c>
      <c r="M2510" t="s">
        <v>20</v>
      </c>
      <c r="P2510">
        <v>20000</v>
      </c>
      <c r="Q2510">
        <v>20000</v>
      </c>
      <c r="R2510" t="s">
        <v>4226</v>
      </c>
      <c r="S2510" t="s">
        <v>25</v>
      </c>
      <c r="T2510">
        <v>83.3</v>
      </c>
    </row>
    <row r="2511" spans="1:20" x14ac:dyDescent="0.25">
      <c r="A2511" t="s">
        <v>14</v>
      </c>
      <c r="B2511" t="s">
        <v>15</v>
      </c>
      <c r="C2511" t="s">
        <v>4367</v>
      </c>
      <c r="D2511" t="s">
        <v>4368</v>
      </c>
      <c r="E2511">
        <v>47300070522</v>
      </c>
      <c r="F2511" t="s">
        <v>16</v>
      </c>
      <c r="G2511" t="s">
        <v>17</v>
      </c>
      <c r="H2511" t="s">
        <v>18</v>
      </c>
      <c r="K2511" t="s">
        <v>3795</v>
      </c>
      <c r="L2511" t="s">
        <v>19</v>
      </c>
      <c r="M2511" t="s">
        <v>20</v>
      </c>
      <c r="P2511">
        <v>100000</v>
      </c>
      <c r="Q2511">
        <v>100000</v>
      </c>
      <c r="R2511" t="s">
        <v>4227</v>
      </c>
      <c r="S2511" t="s">
        <v>21</v>
      </c>
      <c r="T2511">
        <v>416.3</v>
      </c>
    </row>
  </sheetData>
  <sortState xmlns:xlrd2="http://schemas.microsoft.com/office/spreadsheetml/2017/richdata2" ref="A2:T2511">
    <sortCondition ref="R2:R251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A6E06-3B5D-4445-8048-6999590C83FE}">
  <dimension ref="A1:Q2514"/>
  <sheetViews>
    <sheetView showGridLines="0" topLeftCell="E33" zoomScale="95" zoomScaleNormal="95" zoomScaleSheetLayoutView="50" workbookViewId="0">
      <selection activeCell="M43" sqref="M43"/>
    </sheetView>
  </sheetViews>
  <sheetFormatPr defaultRowHeight="15" x14ac:dyDescent="0.25"/>
  <cols>
    <col min="1" max="1" width="13.85546875" customWidth="1"/>
    <col min="2" max="2" width="20.7109375" customWidth="1"/>
    <col min="3" max="3" width="11.5703125" customWidth="1"/>
    <col min="4" max="4" width="14.140625" customWidth="1"/>
    <col min="5" max="5" width="15" customWidth="1"/>
    <col min="6" max="6" width="20.42578125" customWidth="1"/>
    <col min="7" max="7" width="12.85546875" customWidth="1"/>
    <col min="8" max="8" width="12.7109375" customWidth="1"/>
    <col min="10" max="10" width="13.28515625" bestFit="1" customWidth="1"/>
    <col min="11" max="11" width="15.7109375" customWidth="1"/>
    <col min="12" max="12" width="6.42578125" customWidth="1"/>
    <col min="13" max="13" width="21" customWidth="1"/>
    <col min="14" max="14" width="20.140625" customWidth="1"/>
    <col min="15" max="15" width="14" customWidth="1"/>
    <col min="16" max="16" width="15.7109375" customWidth="1"/>
    <col min="17" max="17" width="14.28515625" customWidth="1"/>
  </cols>
  <sheetData>
    <row r="1" spans="1:15" ht="28.5" customHeight="1" x14ac:dyDescent="0.25">
      <c r="A1" s="57" t="s">
        <v>4501</v>
      </c>
      <c r="B1" s="57"/>
      <c r="C1" s="57"/>
      <c r="D1" s="57"/>
      <c r="E1" s="57"/>
      <c r="F1" s="57"/>
      <c r="G1" s="57"/>
      <c r="H1" s="57"/>
      <c r="I1" s="57"/>
      <c r="J1" s="57"/>
      <c r="K1" s="57"/>
    </row>
    <row r="2" spans="1:15" ht="15.75" x14ac:dyDescent="0.25">
      <c r="M2" s="58" t="s">
        <v>4480</v>
      </c>
      <c r="N2" s="59"/>
      <c r="O2" s="34">
        <f>COUNTIF(O5:O13, TRUE)/COUNTA(O5:O13)</f>
        <v>1</v>
      </c>
    </row>
    <row r="3" spans="1:15" x14ac:dyDescent="0.25">
      <c r="A3" s="3" t="s">
        <v>1</v>
      </c>
      <c r="B3" s="3" t="s">
        <v>2738</v>
      </c>
      <c r="C3" s="3" t="s">
        <v>4469</v>
      </c>
      <c r="D3" s="3" t="s">
        <v>4409</v>
      </c>
      <c r="E3" s="3" t="s">
        <v>4468</v>
      </c>
      <c r="F3" s="3" t="s">
        <v>6</v>
      </c>
      <c r="G3" s="3" t="s">
        <v>11</v>
      </c>
      <c r="H3" s="3" t="s">
        <v>12</v>
      </c>
      <c r="I3" s="3" t="s">
        <v>13</v>
      </c>
      <c r="J3" s="3" t="s">
        <v>9</v>
      </c>
      <c r="K3" s="3" t="s">
        <v>10</v>
      </c>
    </row>
    <row r="4" spans="1:15" ht="15.75" x14ac:dyDescent="0.25">
      <c r="A4" t="s">
        <v>2687</v>
      </c>
      <c r="B4" t="s">
        <v>2735</v>
      </c>
      <c r="C4" t="s">
        <v>16</v>
      </c>
      <c r="D4" t="s">
        <v>4462</v>
      </c>
      <c r="E4" t="s">
        <v>4426</v>
      </c>
      <c r="F4" t="s">
        <v>2739</v>
      </c>
      <c r="G4" s="2">
        <v>45307</v>
      </c>
      <c r="H4">
        <v>0</v>
      </c>
      <c r="I4">
        <v>0</v>
      </c>
      <c r="J4" s="1">
        <v>500</v>
      </c>
      <c r="K4" s="1">
        <v>500</v>
      </c>
      <c r="M4" s="55" t="s">
        <v>4483</v>
      </c>
      <c r="N4" s="56"/>
      <c r="O4" s="56"/>
    </row>
    <row r="5" spans="1:15" x14ac:dyDescent="0.25">
      <c r="A5" t="s">
        <v>2689</v>
      </c>
      <c r="B5" t="s">
        <v>4463</v>
      </c>
      <c r="C5" t="s">
        <v>35</v>
      </c>
      <c r="D5" t="s">
        <v>4464</v>
      </c>
      <c r="E5" t="s">
        <v>3304</v>
      </c>
      <c r="F5" t="s">
        <v>2739</v>
      </c>
      <c r="G5" s="2">
        <v>45307</v>
      </c>
      <c r="H5">
        <v>0</v>
      </c>
      <c r="I5">
        <v>0</v>
      </c>
      <c r="J5" s="1">
        <v>500</v>
      </c>
      <c r="K5" s="1">
        <v>500</v>
      </c>
      <c r="L5">
        <v>1</v>
      </c>
      <c r="M5" s="21" t="s">
        <v>4498</v>
      </c>
      <c r="N5" s="22"/>
      <c r="O5" s="27" t="b">
        <v>1</v>
      </c>
    </row>
    <row r="6" spans="1:15" x14ac:dyDescent="0.25">
      <c r="A6" t="s">
        <v>2691</v>
      </c>
      <c r="B6" t="s">
        <v>2729</v>
      </c>
      <c r="C6" t="s">
        <v>16</v>
      </c>
      <c r="D6" t="s">
        <v>4465</v>
      </c>
      <c r="E6" t="s">
        <v>4427</v>
      </c>
      <c r="F6" t="s">
        <v>2739</v>
      </c>
      <c r="G6" s="2">
        <v>45307</v>
      </c>
      <c r="H6">
        <v>0</v>
      </c>
      <c r="I6">
        <v>0</v>
      </c>
      <c r="J6" s="1">
        <v>500</v>
      </c>
      <c r="K6" s="1">
        <v>500</v>
      </c>
      <c r="L6">
        <v>2</v>
      </c>
      <c r="M6" s="23" t="s">
        <v>4478</v>
      </c>
      <c r="N6" s="17"/>
      <c r="O6" s="26" t="b">
        <v>1</v>
      </c>
    </row>
    <row r="7" spans="1:15" x14ac:dyDescent="0.25">
      <c r="A7" t="s">
        <v>2693</v>
      </c>
      <c r="B7" t="s">
        <v>66</v>
      </c>
      <c r="C7" t="s">
        <v>35</v>
      </c>
      <c r="D7" t="s">
        <v>4466</v>
      </c>
      <c r="E7" t="s">
        <v>3304</v>
      </c>
      <c r="F7" t="s">
        <v>2739</v>
      </c>
      <c r="G7" s="2">
        <v>45307</v>
      </c>
      <c r="H7">
        <v>0</v>
      </c>
      <c r="I7">
        <v>0</v>
      </c>
      <c r="J7" s="1">
        <v>500</v>
      </c>
      <c r="K7" s="1">
        <v>500</v>
      </c>
      <c r="L7">
        <v>3</v>
      </c>
      <c r="M7" s="23" t="s">
        <v>4495</v>
      </c>
      <c r="N7" s="17"/>
      <c r="O7" s="26" t="b">
        <v>1</v>
      </c>
    </row>
    <row r="8" spans="1:15" x14ac:dyDescent="0.25">
      <c r="A8" t="s">
        <v>2684</v>
      </c>
      <c r="B8" t="s">
        <v>4472</v>
      </c>
      <c r="C8" t="s">
        <v>16</v>
      </c>
      <c r="D8" t="s">
        <v>4461</v>
      </c>
      <c r="E8" t="s">
        <v>4373</v>
      </c>
      <c r="F8" t="s">
        <v>2739</v>
      </c>
      <c r="G8" s="2">
        <v>45308</v>
      </c>
      <c r="H8">
        <v>0</v>
      </c>
      <c r="I8">
        <v>0</v>
      </c>
      <c r="J8" s="1">
        <v>500</v>
      </c>
      <c r="K8" s="1">
        <v>500</v>
      </c>
      <c r="L8">
        <v>4</v>
      </c>
      <c r="M8" s="23" t="s">
        <v>4496</v>
      </c>
      <c r="N8" s="17"/>
      <c r="O8" s="26" t="b">
        <v>1</v>
      </c>
    </row>
    <row r="9" spans="1:15" x14ac:dyDescent="0.25">
      <c r="A9" t="s">
        <v>2685</v>
      </c>
      <c r="B9" t="s">
        <v>2713</v>
      </c>
      <c r="C9" t="s">
        <v>16</v>
      </c>
      <c r="D9" t="s">
        <v>4465</v>
      </c>
      <c r="E9" t="s">
        <v>4428</v>
      </c>
      <c r="F9" t="s">
        <v>2739</v>
      </c>
      <c r="G9" s="2">
        <v>45308</v>
      </c>
      <c r="H9">
        <v>0</v>
      </c>
      <c r="I9">
        <v>0</v>
      </c>
      <c r="J9" s="1">
        <v>500</v>
      </c>
      <c r="K9" s="1">
        <v>500</v>
      </c>
      <c r="L9">
        <v>5</v>
      </c>
      <c r="M9" s="23" t="s">
        <v>4479</v>
      </c>
      <c r="N9" s="17"/>
      <c r="O9" s="26" t="b">
        <v>1</v>
      </c>
    </row>
    <row r="10" spans="1:15" x14ac:dyDescent="0.25">
      <c r="A10" t="s">
        <v>2681</v>
      </c>
      <c r="B10" t="s">
        <v>4471</v>
      </c>
      <c r="C10" t="s">
        <v>35</v>
      </c>
      <c r="D10" t="s">
        <v>4470</v>
      </c>
      <c r="E10" t="s">
        <v>35</v>
      </c>
      <c r="F10" t="s">
        <v>2739</v>
      </c>
      <c r="G10" s="2">
        <v>45309</v>
      </c>
      <c r="H10">
        <v>0</v>
      </c>
      <c r="I10">
        <v>0</v>
      </c>
      <c r="J10" s="1">
        <v>500</v>
      </c>
      <c r="K10" s="1">
        <v>500</v>
      </c>
      <c r="L10">
        <v>6</v>
      </c>
      <c r="M10" s="23" t="s">
        <v>4494</v>
      </c>
      <c r="N10" s="17"/>
      <c r="O10" s="26" t="b">
        <v>1</v>
      </c>
    </row>
    <row r="11" spans="1:15" x14ac:dyDescent="0.25">
      <c r="A11" t="s">
        <v>2682</v>
      </c>
      <c r="B11" t="s">
        <v>2725</v>
      </c>
      <c r="C11" t="s">
        <v>16</v>
      </c>
      <c r="D11" t="s">
        <v>4465</v>
      </c>
      <c r="E11" t="s">
        <v>4429</v>
      </c>
      <c r="F11" t="s">
        <v>2739</v>
      </c>
      <c r="G11" s="2">
        <v>45309</v>
      </c>
      <c r="H11">
        <v>0</v>
      </c>
      <c r="I11">
        <v>0</v>
      </c>
      <c r="J11" s="1">
        <v>500</v>
      </c>
      <c r="K11" s="1">
        <v>500</v>
      </c>
      <c r="L11">
        <v>7</v>
      </c>
      <c r="M11" s="23" t="s">
        <v>4477</v>
      </c>
      <c r="N11" s="17"/>
      <c r="O11" s="26" t="b">
        <v>1</v>
      </c>
    </row>
    <row r="12" spans="1:15" x14ac:dyDescent="0.25">
      <c r="A12" t="s">
        <v>2660</v>
      </c>
      <c r="B12" t="s">
        <v>2719</v>
      </c>
      <c r="C12" t="s">
        <v>16</v>
      </c>
      <c r="D12" t="s">
        <v>4466</v>
      </c>
      <c r="E12" t="s">
        <v>4430</v>
      </c>
      <c r="F12" t="s">
        <v>2739</v>
      </c>
      <c r="G12" s="2">
        <v>45310</v>
      </c>
      <c r="H12">
        <v>0</v>
      </c>
      <c r="I12">
        <v>0</v>
      </c>
      <c r="J12" s="1">
        <v>500</v>
      </c>
      <c r="K12" s="1">
        <v>500</v>
      </c>
      <c r="L12">
        <v>8</v>
      </c>
      <c r="M12" s="23" t="s">
        <v>4481</v>
      </c>
      <c r="N12" s="17"/>
      <c r="O12" s="26" t="b">
        <v>1</v>
      </c>
    </row>
    <row r="13" spans="1:15" x14ac:dyDescent="0.25">
      <c r="A13" t="s">
        <v>2662</v>
      </c>
      <c r="B13" t="s">
        <v>2717</v>
      </c>
      <c r="C13" t="s">
        <v>16</v>
      </c>
      <c r="D13" t="s">
        <v>4466</v>
      </c>
      <c r="E13" t="s">
        <v>4431</v>
      </c>
      <c r="F13" t="s">
        <v>2739</v>
      </c>
      <c r="G13" s="2">
        <v>45310</v>
      </c>
      <c r="H13">
        <v>0</v>
      </c>
      <c r="I13">
        <v>0</v>
      </c>
      <c r="J13" s="1">
        <v>500</v>
      </c>
      <c r="K13" s="1">
        <v>500</v>
      </c>
      <c r="L13">
        <v>9</v>
      </c>
      <c r="M13" s="24" t="s">
        <v>4482</v>
      </c>
      <c r="N13" s="25"/>
      <c r="O13" s="28" t="b">
        <v>1</v>
      </c>
    </row>
    <row r="14" spans="1:15" x14ac:dyDescent="0.25">
      <c r="A14" t="s">
        <v>2664</v>
      </c>
      <c r="B14" t="s">
        <v>2737</v>
      </c>
      <c r="C14" t="s">
        <v>16</v>
      </c>
      <c r="D14" t="s">
        <v>4466</v>
      </c>
      <c r="E14" t="s">
        <v>4432</v>
      </c>
      <c r="F14" t="s">
        <v>2739</v>
      </c>
      <c r="G14" s="2">
        <v>45310</v>
      </c>
      <c r="H14">
        <v>0</v>
      </c>
      <c r="I14">
        <v>0</v>
      </c>
      <c r="J14" s="1">
        <v>500</v>
      </c>
      <c r="K14" s="1">
        <v>500</v>
      </c>
      <c r="M14" s="4"/>
    </row>
    <row r="15" spans="1:15" x14ac:dyDescent="0.25">
      <c r="A15" t="s">
        <v>2665</v>
      </c>
      <c r="B15" t="s">
        <v>2707</v>
      </c>
      <c r="C15" t="s">
        <v>16</v>
      </c>
      <c r="D15" t="s">
        <v>4462</v>
      </c>
      <c r="E15" t="s">
        <v>4433</v>
      </c>
      <c r="F15" t="s">
        <v>2739</v>
      </c>
      <c r="G15" s="2">
        <v>45310</v>
      </c>
      <c r="H15">
        <v>0</v>
      </c>
      <c r="I15">
        <v>0</v>
      </c>
      <c r="J15" s="1">
        <v>500</v>
      </c>
      <c r="K15" s="1">
        <v>500</v>
      </c>
      <c r="M15" s="53" t="s">
        <v>4499</v>
      </c>
      <c r="N15" s="54"/>
    </row>
    <row r="16" spans="1:15" x14ac:dyDescent="0.25">
      <c r="A16" t="s">
        <v>2669</v>
      </c>
      <c r="B16" t="s">
        <v>2714</v>
      </c>
      <c r="C16" t="s">
        <v>16</v>
      </c>
      <c r="D16" t="s">
        <v>4466</v>
      </c>
      <c r="E16" t="s">
        <v>4434</v>
      </c>
      <c r="F16" t="s">
        <v>2739</v>
      </c>
      <c r="G16" s="2">
        <v>45310</v>
      </c>
      <c r="H16">
        <v>0</v>
      </c>
      <c r="I16">
        <v>0</v>
      </c>
      <c r="J16" s="1">
        <v>500</v>
      </c>
      <c r="K16" s="1">
        <v>500</v>
      </c>
      <c r="M16" s="5" t="s">
        <v>4473</v>
      </c>
      <c r="N16" s="5" t="s">
        <v>4487</v>
      </c>
    </row>
    <row r="17" spans="1:17" x14ac:dyDescent="0.25">
      <c r="A17" t="s">
        <v>2672</v>
      </c>
      <c r="B17" t="s">
        <v>2702</v>
      </c>
      <c r="C17" t="s">
        <v>35</v>
      </c>
      <c r="D17" t="s">
        <v>3305</v>
      </c>
      <c r="E17" t="s">
        <v>3304</v>
      </c>
      <c r="F17" t="s">
        <v>2739</v>
      </c>
      <c r="G17" s="2">
        <v>45310</v>
      </c>
      <c r="H17">
        <v>0</v>
      </c>
      <c r="I17">
        <v>0</v>
      </c>
      <c r="J17" s="1">
        <v>500</v>
      </c>
      <c r="K17" s="1">
        <v>500</v>
      </c>
      <c r="M17" s="6" t="s">
        <v>4474</v>
      </c>
      <c r="N17" s="9">
        <f>SUM(Estate_bills[Total Price])</f>
        <v>148997393.16000009</v>
      </c>
    </row>
    <row r="18" spans="1:17" x14ac:dyDescent="0.25">
      <c r="A18" t="s">
        <v>2674</v>
      </c>
      <c r="B18" t="s">
        <v>2705</v>
      </c>
      <c r="C18" t="s">
        <v>42</v>
      </c>
      <c r="D18" t="s">
        <v>4467</v>
      </c>
      <c r="E18" t="s">
        <v>4435</v>
      </c>
      <c r="F18" t="s">
        <v>2739</v>
      </c>
      <c r="G18" s="2">
        <v>45310</v>
      </c>
      <c r="H18">
        <v>0</v>
      </c>
      <c r="I18">
        <v>0</v>
      </c>
      <c r="J18" s="1">
        <v>500</v>
      </c>
      <c r="K18" s="1">
        <v>500</v>
      </c>
      <c r="M18" s="8"/>
      <c r="N18" s="29"/>
    </row>
    <row r="19" spans="1:17" x14ac:dyDescent="0.25">
      <c r="A19" t="s">
        <v>2676</v>
      </c>
      <c r="B19" t="s">
        <v>2710</v>
      </c>
      <c r="C19" t="s">
        <v>42</v>
      </c>
      <c r="D19" t="s">
        <v>4467</v>
      </c>
      <c r="E19" t="s">
        <v>4436</v>
      </c>
      <c r="F19" t="s">
        <v>2739</v>
      </c>
      <c r="G19" s="2">
        <v>45310</v>
      </c>
      <c r="H19">
        <v>0</v>
      </c>
      <c r="I19">
        <v>0</v>
      </c>
      <c r="J19" s="1">
        <v>500</v>
      </c>
      <c r="K19" s="1">
        <v>500</v>
      </c>
      <c r="M19" s="53" t="s">
        <v>4478</v>
      </c>
      <c r="N19" s="54"/>
    </row>
    <row r="20" spans="1:17" x14ac:dyDescent="0.25">
      <c r="A20" t="s">
        <v>2653</v>
      </c>
      <c r="B20" t="s">
        <v>2721</v>
      </c>
      <c r="C20" t="s">
        <v>16</v>
      </c>
      <c r="D20" t="s">
        <v>4466</v>
      </c>
      <c r="E20" t="s">
        <v>4438</v>
      </c>
      <c r="F20" t="s">
        <v>2739</v>
      </c>
      <c r="G20" s="2">
        <v>45311</v>
      </c>
      <c r="H20">
        <v>0</v>
      </c>
      <c r="I20">
        <v>0</v>
      </c>
      <c r="J20" s="1">
        <v>500</v>
      </c>
      <c r="K20" s="1">
        <v>500</v>
      </c>
      <c r="M20" s="5" t="s">
        <v>4473</v>
      </c>
      <c r="N20" s="5" t="s">
        <v>4487</v>
      </c>
    </row>
    <row r="21" spans="1:17" x14ac:dyDescent="0.25">
      <c r="A21" t="s">
        <v>2655</v>
      </c>
      <c r="B21" t="s">
        <v>2728</v>
      </c>
      <c r="C21" t="s">
        <v>16</v>
      </c>
      <c r="D21" t="s">
        <v>4465</v>
      </c>
      <c r="E21" t="s">
        <v>4439</v>
      </c>
      <c r="F21" t="s">
        <v>2739</v>
      </c>
      <c r="G21" s="2">
        <v>45311</v>
      </c>
      <c r="H21">
        <v>0</v>
      </c>
      <c r="I21">
        <v>0</v>
      </c>
      <c r="J21" s="1">
        <v>500</v>
      </c>
      <c r="K21" s="1">
        <v>500</v>
      </c>
      <c r="M21" s="6" t="s">
        <v>2848</v>
      </c>
      <c r="N21" s="7">
        <f>SUMIF(Estate_bills[Bill],M21,Estate_bills[Total Price])</f>
        <v>51883291.070000008</v>
      </c>
    </row>
    <row r="22" spans="1:17" x14ac:dyDescent="0.25">
      <c r="A22" t="s">
        <v>2657</v>
      </c>
      <c r="B22" t="s">
        <v>2726</v>
      </c>
      <c r="C22" t="s">
        <v>16</v>
      </c>
      <c r="D22" t="s">
        <v>4466</v>
      </c>
      <c r="E22" t="s">
        <v>4437</v>
      </c>
      <c r="F22" t="s">
        <v>2739</v>
      </c>
      <c r="G22" s="2">
        <v>45311</v>
      </c>
      <c r="H22">
        <v>0</v>
      </c>
      <c r="I22">
        <v>0</v>
      </c>
      <c r="J22" s="1">
        <v>500</v>
      </c>
      <c r="K22" s="1">
        <v>500</v>
      </c>
      <c r="M22" s="8"/>
      <c r="N22" s="30"/>
      <c r="O22" s="31"/>
    </row>
    <row r="23" spans="1:17" x14ac:dyDescent="0.25">
      <c r="A23" t="s">
        <v>2651</v>
      </c>
      <c r="B23" t="s">
        <v>2718</v>
      </c>
      <c r="C23" t="s">
        <v>16</v>
      </c>
      <c r="D23" t="s">
        <v>4466</v>
      </c>
      <c r="E23" t="s">
        <v>4438</v>
      </c>
      <c r="F23" t="s">
        <v>2739</v>
      </c>
      <c r="G23" s="2">
        <v>45312</v>
      </c>
      <c r="H23">
        <v>0</v>
      </c>
      <c r="I23">
        <v>0</v>
      </c>
      <c r="J23" s="1">
        <v>500</v>
      </c>
      <c r="K23" s="1">
        <v>500</v>
      </c>
      <c r="M23" s="53" t="s">
        <v>4495</v>
      </c>
      <c r="N23" s="54"/>
      <c r="O23" s="31"/>
      <c r="P23" s="31"/>
      <c r="Q23" s="31"/>
    </row>
    <row r="24" spans="1:17" x14ac:dyDescent="0.25">
      <c r="A24" t="s">
        <v>2636</v>
      </c>
      <c r="B24" t="s">
        <v>2730</v>
      </c>
      <c r="C24" t="s">
        <v>42</v>
      </c>
      <c r="D24" t="s">
        <v>4467</v>
      </c>
      <c r="E24" t="s">
        <v>4441</v>
      </c>
      <c r="F24" t="s">
        <v>2739</v>
      </c>
      <c r="G24" s="2">
        <v>45313</v>
      </c>
      <c r="H24">
        <v>0</v>
      </c>
      <c r="I24">
        <v>0</v>
      </c>
      <c r="J24" s="1">
        <v>500</v>
      </c>
      <c r="K24" s="1">
        <v>500</v>
      </c>
      <c r="M24" s="5" t="s">
        <v>4473</v>
      </c>
      <c r="N24" s="5" t="s">
        <v>4487</v>
      </c>
      <c r="O24" s="31"/>
      <c r="P24" s="31"/>
    </row>
    <row r="25" spans="1:17" x14ac:dyDescent="0.25">
      <c r="A25" t="s">
        <v>2638</v>
      </c>
      <c r="B25" t="s">
        <v>2698</v>
      </c>
      <c r="C25" t="s">
        <v>16</v>
      </c>
      <c r="D25" t="s">
        <v>4465</v>
      </c>
      <c r="E25" t="s">
        <v>4442</v>
      </c>
      <c r="F25" t="s">
        <v>2739</v>
      </c>
      <c r="G25" s="2">
        <v>45313</v>
      </c>
      <c r="H25">
        <v>0</v>
      </c>
      <c r="I25">
        <v>0</v>
      </c>
      <c r="J25" s="1">
        <v>500</v>
      </c>
      <c r="K25" s="1">
        <v>500</v>
      </c>
      <c r="M25" s="6" t="s">
        <v>2740</v>
      </c>
      <c r="N25" s="7">
        <f>_xlfn.MAXIFS(Estate_bills[Total Price],Estate_bills[Bill],M25)</f>
        <v>250000</v>
      </c>
      <c r="O25" s="31"/>
      <c r="P25" s="31"/>
    </row>
    <row r="26" spans="1:17" x14ac:dyDescent="0.25">
      <c r="A26" t="s">
        <v>2650</v>
      </c>
      <c r="B26" t="s">
        <v>2723</v>
      </c>
      <c r="C26" t="s">
        <v>16</v>
      </c>
      <c r="D26" t="s">
        <v>4462</v>
      </c>
      <c r="E26" t="s">
        <v>4443</v>
      </c>
      <c r="F26" t="s">
        <v>2739</v>
      </c>
      <c r="G26" s="2">
        <v>45313</v>
      </c>
      <c r="H26">
        <v>0</v>
      </c>
      <c r="I26">
        <v>0</v>
      </c>
      <c r="J26" s="1">
        <v>500</v>
      </c>
      <c r="K26" s="1">
        <v>500</v>
      </c>
      <c r="M26" s="8"/>
      <c r="N26" s="30"/>
      <c r="O26" s="31"/>
      <c r="P26" s="31"/>
    </row>
    <row r="27" spans="1:17" x14ac:dyDescent="0.25">
      <c r="A27" t="s">
        <v>2630</v>
      </c>
      <c r="B27" t="s">
        <v>2703</v>
      </c>
      <c r="C27" t="s">
        <v>35</v>
      </c>
      <c r="D27" t="s">
        <v>4404</v>
      </c>
      <c r="E27" t="s">
        <v>3275</v>
      </c>
      <c r="F27" t="s">
        <v>2739</v>
      </c>
      <c r="G27" s="2">
        <v>45314</v>
      </c>
      <c r="H27">
        <v>0</v>
      </c>
      <c r="I27">
        <v>0</v>
      </c>
      <c r="J27" s="1">
        <v>500</v>
      </c>
      <c r="K27" s="1">
        <v>500</v>
      </c>
      <c r="M27" s="53" t="s">
        <v>4496</v>
      </c>
      <c r="N27" s="54"/>
    </row>
    <row r="28" spans="1:17" x14ac:dyDescent="0.25">
      <c r="A28" t="s">
        <v>2632</v>
      </c>
      <c r="B28" t="s">
        <v>2732</v>
      </c>
      <c r="C28" t="s">
        <v>16</v>
      </c>
      <c r="D28" t="s">
        <v>4461</v>
      </c>
      <c r="E28" t="s">
        <v>4444</v>
      </c>
      <c r="F28" t="s">
        <v>2739</v>
      </c>
      <c r="G28" s="2">
        <v>45314</v>
      </c>
      <c r="H28">
        <v>0</v>
      </c>
      <c r="I28">
        <v>0</v>
      </c>
      <c r="J28" s="1">
        <v>500</v>
      </c>
      <c r="K28" s="1">
        <v>500</v>
      </c>
      <c r="M28" s="5" t="s">
        <v>4473</v>
      </c>
      <c r="N28" s="5" t="s">
        <v>4487</v>
      </c>
      <c r="P28" s="31"/>
    </row>
    <row r="29" spans="1:17" x14ac:dyDescent="0.25">
      <c r="A29" t="s">
        <v>2634</v>
      </c>
      <c r="B29" t="s">
        <v>2727</v>
      </c>
      <c r="C29" t="s">
        <v>16</v>
      </c>
      <c r="D29" t="s">
        <v>4465</v>
      </c>
      <c r="E29" t="s">
        <v>4445</v>
      </c>
      <c r="F29" t="s">
        <v>2739</v>
      </c>
      <c r="G29" s="2">
        <v>45314</v>
      </c>
      <c r="H29">
        <v>0</v>
      </c>
      <c r="I29">
        <v>0</v>
      </c>
      <c r="J29" s="1">
        <v>500</v>
      </c>
      <c r="K29" s="1">
        <v>500</v>
      </c>
      <c r="M29" s="6" t="s">
        <v>2741</v>
      </c>
      <c r="N29" s="7">
        <f>_xlfn.MINIFS(Estate_bills[Total Price],Estate_bills[Bill],M29)</f>
        <v>33222.01</v>
      </c>
    </row>
    <row r="30" spans="1:17" x14ac:dyDescent="0.25">
      <c r="A30" t="s">
        <v>2626</v>
      </c>
      <c r="B30" t="s">
        <v>2722</v>
      </c>
      <c r="C30" t="s">
        <v>16</v>
      </c>
      <c r="D30" t="s">
        <v>4462</v>
      </c>
      <c r="E30" t="s">
        <v>4446</v>
      </c>
      <c r="F30" t="s">
        <v>2739</v>
      </c>
      <c r="G30" s="2">
        <v>45315</v>
      </c>
      <c r="H30">
        <v>0</v>
      </c>
      <c r="I30">
        <v>0</v>
      </c>
      <c r="J30" s="1">
        <v>500</v>
      </c>
      <c r="K30" s="1">
        <v>500</v>
      </c>
      <c r="M30" s="8"/>
      <c r="N30" s="30"/>
    </row>
    <row r="31" spans="1:17" x14ac:dyDescent="0.25">
      <c r="A31" t="s">
        <v>2623</v>
      </c>
      <c r="B31" t="s">
        <v>2711</v>
      </c>
      <c r="C31" t="s">
        <v>16</v>
      </c>
      <c r="D31" t="s">
        <v>4461</v>
      </c>
      <c r="E31" t="s">
        <v>4447</v>
      </c>
      <c r="F31" t="s">
        <v>2739</v>
      </c>
      <c r="G31" s="2">
        <v>45316</v>
      </c>
      <c r="H31">
        <v>0</v>
      </c>
      <c r="I31">
        <v>0</v>
      </c>
      <c r="J31" s="1">
        <v>500</v>
      </c>
      <c r="K31" s="1">
        <v>500</v>
      </c>
      <c r="M31" s="53" t="s">
        <v>4479</v>
      </c>
      <c r="N31" s="54"/>
    </row>
    <row r="32" spans="1:17" x14ac:dyDescent="0.25">
      <c r="A32" t="s">
        <v>2621</v>
      </c>
      <c r="B32" t="s">
        <v>2733</v>
      </c>
      <c r="C32" t="s">
        <v>16</v>
      </c>
      <c r="D32" t="s">
        <v>4465</v>
      </c>
      <c r="E32" t="s">
        <v>4448</v>
      </c>
      <c r="F32" t="s">
        <v>2739</v>
      </c>
      <c r="G32" s="2">
        <v>45317</v>
      </c>
      <c r="H32">
        <v>0</v>
      </c>
      <c r="I32">
        <v>0</v>
      </c>
      <c r="J32" s="1">
        <v>500</v>
      </c>
      <c r="K32" s="1">
        <v>500</v>
      </c>
      <c r="M32" s="5" t="s">
        <v>4473</v>
      </c>
      <c r="N32" s="5" t="s">
        <v>4487</v>
      </c>
    </row>
    <row r="33" spans="1:17" x14ac:dyDescent="0.25">
      <c r="A33" t="s">
        <v>2619</v>
      </c>
      <c r="B33" t="s">
        <v>2699</v>
      </c>
      <c r="C33" t="s">
        <v>16</v>
      </c>
      <c r="D33" t="s">
        <v>4462</v>
      </c>
      <c r="E33" t="s">
        <v>4440</v>
      </c>
      <c r="F33" t="s">
        <v>2739</v>
      </c>
      <c r="G33" s="2">
        <v>45318</v>
      </c>
      <c r="H33">
        <v>0</v>
      </c>
      <c r="I33">
        <v>0</v>
      </c>
      <c r="J33" s="1">
        <v>500</v>
      </c>
      <c r="K33" s="1">
        <v>500</v>
      </c>
      <c r="M33" s="6" t="s">
        <v>2443</v>
      </c>
      <c r="N33" s="7">
        <f>SUMIF(Estate_bills[Bill],M33,Estate_bills[Total Price])</f>
        <v>51883291.070000008</v>
      </c>
    </row>
    <row r="34" spans="1:17" x14ac:dyDescent="0.25">
      <c r="A34" t="s">
        <v>2616</v>
      </c>
      <c r="B34" t="s">
        <v>2712</v>
      </c>
      <c r="C34" t="s">
        <v>16</v>
      </c>
      <c r="D34" t="s">
        <v>4461</v>
      </c>
      <c r="E34" t="s">
        <v>4449</v>
      </c>
      <c r="F34" t="s">
        <v>2739</v>
      </c>
      <c r="G34" s="2">
        <v>45319</v>
      </c>
      <c r="H34">
        <v>0</v>
      </c>
      <c r="I34">
        <v>0</v>
      </c>
      <c r="J34" s="1">
        <v>500</v>
      </c>
      <c r="K34" s="1">
        <v>500</v>
      </c>
      <c r="M34" s="8"/>
      <c r="N34" s="30"/>
    </row>
    <row r="35" spans="1:17" x14ac:dyDescent="0.25">
      <c r="A35" t="s">
        <v>2607</v>
      </c>
      <c r="B35" t="s">
        <v>136</v>
      </c>
      <c r="C35" t="s">
        <v>35</v>
      </c>
      <c r="D35" t="s">
        <v>4462</v>
      </c>
      <c r="E35" t="s">
        <v>3304</v>
      </c>
      <c r="F35" t="s">
        <v>2739</v>
      </c>
      <c r="G35" s="2">
        <v>45320</v>
      </c>
      <c r="H35">
        <v>0</v>
      </c>
      <c r="I35">
        <v>0</v>
      </c>
      <c r="J35" s="1">
        <v>500</v>
      </c>
      <c r="K35" s="1">
        <v>500</v>
      </c>
      <c r="M35" s="53" t="s">
        <v>4494</v>
      </c>
      <c r="N35" s="62"/>
      <c r="O35" s="54"/>
    </row>
    <row r="36" spans="1:17" x14ac:dyDescent="0.25">
      <c r="A36" t="s">
        <v>2611</v>
      </c>
      <c r="B36" t="s">
        <v>2700</v>
      </c>
      <c r="C36" t="s">
        <v>27</v>
      </c>
      <c r="D36" t="s">
        <v>4466</v>
      </c>
      <c r="E36" t="s">
        <v>4450</v>
      </c>
      <c r="F36" t="s">
        <v>2739</v>
      </c>
      <c r="G36" s="2">
        <v>45320</v>
      </c>
      <c r="H36">
        <v>0</v>
      </c>
      <c r="I36">
        <v>0</v>
      </c>
      <c r="J36" s="1">
        <v>500</v>
      </c>
      <c r="K36" s="1">
        <v>500</v>
      </c>
      <c r="M36" s="5" t="s">
        <v>4473</v>
      </c>
      <c r="N36" s="5" t="s">
        <v>4468</v>
      </c>
      <c r="O36" s="5" t="s">
        <v>4487</v>
      </c>
    </row>
    <row r="37" spans="1:17" x14ac:dyDescent="0.25">
      <c r="A37" t="s">
        <v>2602</v>
      </c>
      <c r="B37" t="s">
        <v>2704</v>
      </c>
      <c r="C37" t="s">
        <v>35</v>
      </c>
      <c r="D37" t="s">
        <v>42</v>
      </c>
      <c r="E37" t="s">
        <v>3275</v>
      </c>
      <c r="F37" t="s">
        <v>2739</v>
      </c>
      <c r="G37" s="2">
        <v>45321</v>
      </c>
      <c r="H37">
        <v>0</v>
      </c>
      <c r="I37">
        <v>0</v>
      </c>
      <c r="J37" s="1">
        <v>500</v>
      </c>
      <c r="K37" s="1">
        <v>500</v>
      </c>
      <c r="M37" s="33" t="s">
        <v>4493</v>
      </c>
      <c r="N37" s="44" t="s">
        <v>4426</v>
      </c>
      <c r="O37" s="32">
        <f>SUMIFS(Estate_bills[Total Price],Estate_bills[Bill],M37,Estate_bills[Apartment ID],N37)</f>
        <v>250376.4</v>
      </c>
    </row>
    <row r="38" spans="1:17" x14ac:dyDescent="0.25">
      <c r="A38" t="s">
        <v>2588</v>
      </c>
      <c r="B38" t="s">
        <v>2720</v>
      </c>
      <c r="C38" t="s">
        <v>16</v>
      </c>
      <c r="D38" t="s">
        <v>4461</v>
      </c>
      <c r="E38" t="s">
        <v>4425</v>
      </c>
      <c r="F38" t="s">
        <v>2739</v>
      </c>
      <c r="G38" s="2">
        <v>45322</v>
      </c>
      <c r="H38">
        <v>0</v>
      </c>
      <c r="I38">
        <v>0</v>
      </c>
      <c r="J38" s="1">
        <v>500</v>
      </c>
      <c r="K38" s="1">
        <v>6000</v>
      </c>
      <c r="M38" s="8"/>
      <c r="N38" s="8"/>
      <c r="O38" s="30"/>
    </row>
    <row r="39" spans="1:17" x14ac:dyDescent="0.25">
      <c r="A39" t="s">
        <v>2589</v>
      </c>
      <c r="B39" t="s">
        <v>2724</v>
      </c>
      <c r="C39" t="s">
        <v>16</v>
      </c>
      <c r="D39" t="s">
        <v>4462</v>
      </c>
      <c r="E39" t="s">
        <v>4451</v>
      </c>
      <c r="F39" t="s">
        <v>2739</v>
      </c>
      <c r="G39" s="2">
        <v>45322</v>
      </c>
      <c r="H39">
        <v>0</v>
      </c>
      <c r="I39">
        <v>0</v>
      </c>
      <c r="J39" s="1">
        <v>500</v>
      </c>
      <c r="K39" s="1">
        <v>500</v>
      </c>
      <c r="M39" s="31"/>
      <c r="N39" s="31"/>
      <c r="O39" s="31"/>
      <c r="Q39" s="31"/>
    </row>
    <row r="40" spans="1:17" x14ac:dyDescent="0.25">
      <c r="A40" t="s">
        <v>2598</v>
      </c>
      <c r="B40" t="s">
        <v>2706</v>
      </c>
      <c r="C40" t="s">
        <v>27</v>
      </c>
      <c r="D40" t="s">
        <v>4461</v>
      </c>
      <c r="E40" t="s">
        <v>4452</v>
      </c>
      <c r="F40" t="s">
        <v>2739</v>
      </c>
      <c r="G40" s="2">
        <v>45322</v>
      </c>
      <c r="H40">
        <v>0</v>
      </c>
      <c r="I40">
        <v>0</v>
      </c>
      <c r="J40" s="1">
        <v>500</v>
      </c>
      <c r="K40" s="1">
        <v>500</v>
      </c>
      <c r="M40" s="53" t="s">
        <v>4477</v>
      </c>
      <c r="N40" s="54"/>
      <c r="Q40" s="40"/>
    </row>
    <row r="41" spans="1:17" x14ac:dyDescent="0.25">
      <c r="A41" t="s">
        <v>2579</v>
      </c>
      <c r="B41" t="s">
        <v>2707</v>
      </c>
      <c r="C41" t="s">
        <v>16</v>
      </c>
      <c r="D41" t="s">
        <v>4462</v>
      </c>
      <c r="E41" t="s">
        <v>4433</v>
      </c>
      <c r="F41" t="s">
        <v>2739</v>
      </c>
      <c r="G41" s="2">
        <v>45323</v>
      </c>
      <c r="H41">
        <v>0</v>
      </c>
      <c r="I41">
        <v>0</v>
      </c>
      <c r="J41" s="1">
        <v>500</v>
      </c>
      <c r="K41" s="1">
        <v>500</v>
      </c>
      <c r="M41" s="63" t="s">
        <v>4468</v>
      </c>
      <c r="N41" s="64"/>
      <c r="Q41" s="41"/>
    </row>
    <row r="42" spans="1:17" x14ac:dyDescent="0.25">
      <c r="A42" t="s">
        <v>2580</v>
      </c>
      <c r="B42" t="s">
        <v>2723</v>
      </c>
      <c r="C42" t="s">
        <v>16</v>
      </c>
      <c r="D42" t="s">
        <v>4462</v>
      </c>
      <c r="E42" t="s">
        <v>4443</v>
      </c>
      <c r="F42" t="s">
        <v>2739</v>
      </c>
      <c r="G42" s="2">
        <v>45323</v>
      </c>
      <c r="H42">
        <v>0</v>
      </c>
      <c r="I42">
        <v>0</v>
      </c>
      <c r="J42" s="1">
        <v>500</v>
      </c>
      <c r="K42" s="1">
        <v>500</v>
      </c>
      <c r="M42" s="60" t="s">
        <v>4438</v>
      </c>
      <c r="N42" s="61"/>
      <c r="Q42" s="30"/>
    </row>
    <row r="43" spans="1:17" x14ac:dyDescent="0.25">
      <c r="A43" t="s">
        <v>2583</v>
      </c>
      <c r="B43" t="s">
        <v>2737</v>
      </c>
      <c r="C43" t="s">
        <v>16</v>
      </c>
      <c r="D43" t="s">
        <v>4466</v>
      </c>
      <c r="E43" t="s">
        <v>4432</v>
      </c>
      <c r="F43" t="s">
        <v>2739</v>
      </c>
      <c r="G43" s="2">
        <v>45323</v>
      </c>
      <c r="H43">
        <v>0</v>
      </c>
      <c r="I43">
        <v>0</v>
      </c>
      <c r="J43" s="1">
        <v>500</v>
      </c>
      <c r="K43" s="1">
        <v>500</v>
      </c>
      <c r="M43" s="12" t="s">
        <v>4485</v>
      </c>
      <c r="N43" s="13" t="s">
        <v>4486</v>
      </c>
      <c r="Q43" s="20"/>
    </row>
    <row r="44" spans="1:17" x14ac:dyDescent="0.25">
      <c r="A44" t="s">
        <v>2584</v>
      </c>
      <c r="B44" t="s">
        <v>2729</v>
      </c>
      <c r="C44" t="s">
        <v>16</v>
      </c>
      <c r="D44" t="s">
        <v>4465</v>
      </c>
      <c r="E44" t="s">
        <v>4427</v>
      </c>
      <c r="F44" t="s">
        <v>2739</v>
      </c>
      <c r="G44" s="2">
        <v>45323</v>
      </c>
      <c r="H44">
        <v>0</v>
      </c>
      <c r="I44">
        <v>0</v>
      </c>
      <c r="J44" s="1">
        <v>500</v>
      </c>
      <c r="K44" s="1">
        <v>500</v>
      </c>
      <c r="M44" s="11" t="s">
        <v>2443</v>
      </c>
      <c r="N44" s="7">
        <f>SUMIFS(Estate_bills[Total Price],Estate_bills[Apartment ID],$M$42,Estate_bills[Bill],M44)</f>
        <v>3061546.45</v>
      </c>
      <c r="P44" s="31"/>
    </row>
    <row r="45" spans="1:17" x14ac:dyDescent="0.25">
      <c r="A45" t="s">
        <v>2586</v>
      </c>
      <c r="B45" t="s">
        <v>2714</v>
      </c>
      <c r="C45" t="s">
        <v>16</v>
      </c>
      <c r="D45" t="s">
        <v>4466</v>
      </c>
      <c r="E45" t="s">
        <v>4434</v>
      </c>
      <c r="F45" t="s">
        <v>2739</v>
      </c>
      <c r="G45" s="2">
        <v>45323</v>
      </c>
      <c r="H45">
        <v>0</v>
      </c>
      <c r="I45">
        <v>0</v>
      </c>
      <c r="J45" s="1">
        <v>500</v>
      </c>
      <c r="K45" s="1">
        <v>500</v>
      </c>
      <c r="M45" s="10" t="s">
        <v>2740</v>
      </c>
      <c r="N45" s="7">
        <f>SUMIFS(Estate_bills[Total Price],Estate_bills[Apartment ID],$M$42,Estate_bills[Bill],M45)</f>
        <v>2003300</v>
      </c>
      <c r="P45" s="40"/>
    </row>
    <row r="46" spans="1:17" x14ac:dyDescent="0.25">
      <c r="A46" t="s">
        <v>2587</v>
      </c>
      <c r="B46" t="s">
        <v>2715</v>
      </c>
      <c r="C46" t="s">
        <v>16</v>
      </c>
      <c r="D46" t="s">
        <v>4462</v>
      </c>
      <c r="E46" t="s">
        <v>4454</v>
      </c>
      <c r="F46" t="s">
        <v>2739</v>
      </c>
      <c r="G46" s="2">
        <v>45323</v>
      </c>
      <c r="H46">
        <v>0</v>
      </c>
      <c r="I46">
        <v>0</v>
      </c>
      <c r="J46" s="1">
        <v>500</v>
      </c>
      <c r="K46" s="1">
        <v>500</v>
      </c>
      <c r="M46" s="10" t="s">
        <v>2741</v>
      </c>
      <c r="N46" s="7">
        <f>SUMIFS(Estate_bills[Total Price],Estate_bills[Apartment ID],$M$42,Estate_bills[Bill],M46)</f>
        <v>752660.82</v>
      </c>
      <c r="P46" s="41"/>
    </row>
    <row r="47" spans="1:17" x14ac:dyDescent="0.25">
      <c r="A47" t="s">
        <v>2575</v>
      </c>
      <c r="B47" t="s">
        <v>2724</v>
      </c>
      <c r="C47" t="s">
        <v>16</v>
      </c>
      <c r="D47" t="s">
        <v>4462</v>
      </c>
      <c r="E47" t="s">
        <v>4451</v>
      </c>
      <c r="F47" t="s">
        <v>2739</v>
      </c>
      <c r="G47" s="2">
        <v>45324</v>
      </c>
      <c r="H47">
        <v>0</v>
      </c>
      <c r="I47">
        <v>0</v>
      </c>
      <c r="J47" s="1">
        <v>500</v>
      </c>
      <c r="K47" s="1">
        <v>500</v>
      </c>
      <c r="M47" s="10" t="s">
        <v>2739</v>
      </c>
      <c r="N47" s="7">
        <f>SUMIFS(Estate_bills[Total Price],Estate_bills[Apartment ID],$M$42,Estate_bills[Bill],M47)</f>
        <v>12000</v>
      </c>
      <c r="P47" s="8"/>
    </row>
    <row r="48" spans="1:17" x14ac:dyDescent="0.25">
      <c r="A48" t="s">
        <v>2577</v>
      </c>
      <c r="B48" t="s">
        <v>2699</v>
      </c>
      <c r="C48" t="s">
        <v>16</v>
      </c>
      <c r="D48" t="s">
        <v>4462</v>
      </c>
      <c r="E48" t="s">
        <v>4440</v>
      </c>
      <c r="F48" t="s">
        <v>2739</v>
      </c>
      <c r="G48" s="2">
        <v>45324</v>
      </c>
      <c r="H48">
        <v>0</v>
      </c>
      <c r="I48">
        <v>0</v>
      </c>
      <c r="J48" s="1">
        <v>500</v>
      </c>
      <c r="K48" s="1">
        <v>500</v>
      </c>
      <c r="M48" s="10" t="s">
        <v>2742</v>
      </c>
      <c r="N48" s="7">
        <f>SUMIFS(Estate_bills[Total Price],Estate_bills[Apartment ID],$M$42,Estate_bills[Bill],M48)</f>
        <v>260000</v>
      </c>
      <c r="P48" s="42"/>
    </row>
    <row r="49" spans="1:14" x14ac:dyDescent="0.25">
      <c r="A49" t="s">
        <v>2567</v>
      </c>
      <c r="B49" t="s">
        <v>2705</v>
      </c>
      <c r="C49" t="s">
        <v>42</v>
      </c>
      <c r="D49" t="s">
        <v>4467</v>
      </c>
      <c r="E49" t="s">
        <v>4435</v>
      </c>
      <c r="F49" t="s">
        <v>2739</v>
      </c>
      <c r="G49" s="2">
        <v>45325</v>
      </c>
      <c r="H49">
        <v>0</v>
      </c>
      <c r="I49">
        <v>0</v>
      </c>
      <c r="J49" s="1">
        <v>500</v>
      </c>
      <c r="K49" s="1">
        <v>500</v>
      </c>
      <c r="M49" s="10" t="s">
        <v>2748</v>
      </c>
      <c r="N49" s="7">
        <f>SUMIFS(Estate_bills[Total Price],Estate_bills[Apartment ID],$M$42,Estate_bills[Bill],M49)</f>
        <v>82173.58</v>
      </c>
    </row>
    <row r="50" spans="1:14" x14ac:dyDescent="0.25">
      <c r="A50" t="s">
        <v>2568</v>
      </c>
      <c r="B50" t="s">
        <v>4472</v>
      </c>
      <c r="C50" t="s">
        <v>16</v>
      </c>
      <c r="D50" t="s">
        <v>4461</v>
      </c>
      <c r="E50" t="s">
        <v>4373</v>
      </c>
      <c r="F50" t="s">
        <v>2739</v>
      </c>
      <c r="G50" s="2">
        <v>45325</v>
      </c>
      <c r="H50">
        <v>0</v>
      </c>
      <c r="I50">
        <v>0</v>
      </c>
      <c r="J50" s="1">
        <v>500</v>
      </c>
      <c r="K50" s="1">
        <v>500</v>
      </c>
      <c r="M50" s="10" t="s">
        <v>4475</v>
      </c>
      <c r="N50" s="15">
        <f>SUMIFS(Estate_bills[Total Price],Estate_bills[Apartment ID],$M$42,Estate_bills[Bill],M50)</f>
        <v>0</v>
      </c>
    </row>
    <row r="51" spans="1:14" ht="30" x14ac:dyDescent="0.25">
      <c r="A51" t="s">
        <v>2569</v>
      </c>
      <c r="B51" t="s">
        <v>66</v>
      </c>
      <c r="C51" t="s">
        <v>35</v>
      </c>
      <c r="D51" t="s">
        <v>4466</v>
      </c>
      <c r="E51" t="s">
        <v>3304</v>
      </c>
      <c r="F51" t="s">
        <v>2739</v>
      </c>
      <c r="G51" s="2">
        <v>45325</v>
      </c>
      <c r="H51">
        <v>0</v>
      </c>
      <c r="I51">
        <v>0</v>
      </c>
      <c r="J51" s="1">
        <v>500</v>
      </c>
      <c r="K51" s="1">
        <v>500</v>
      </c>
      <c r="M51" s="35" t="s">
        <v>2749</v>
      </c>
      <c r="N51" s="15">
        <f>SUMIFS(Estate_bills[Total Price],Estate_bills[Apartment ID],$M$42,Estate_bills[Bill],M51)</f>
        <v>8217.36</v>
      </c>
    </row>
    <row r="52" spans="1:14" x14ac:dyDescent="0.25">
      <c r="A52" t="s">
        <v>2571</v>
      </c>
      <c r="B52" t="s">
        <v>4463</v>
      </c>
      <c r="C52" t="s">
        <v>35</v>
      </c>
      <c r="D52" t="s">
        <v>4464</v>
      </c>
      <c r="E52" t="s">
        <v>3304</v>
      </c>
      <c r="F52" t="s">
        <v>2739</v>
      </c>
      <c r="G52" s="2">
        <v>45325</v>
      </c>
      <c r="H52">
        <v>0</v>
      </c>
      <c r="I52">
        <v>0</v>
      </c>
      <c r="J52" s="1">
        <v>500</v>
      </c>
      <c r="K52" s="1">
        <v>500</v>
      </c>
      <c r="M52" s="10" t="s">
        <v>4484</v>
      </c>
      <c r="N52" s="15">
        <f>SUMIFS(Estate_bills[Total Price],Estate_bills[Apartment ID],$M$42,Estate_bills[Bill],M52)</f>
        <v>0</v>
      </c>
    </row>
    <row r="53" spans="1:14" x14ac:dyDescent="0.25">
      <c r="A53" t="s">
        <v>2573</v>
      </c>
      <c r="B53" t="s">
        <v>4471</v>
      </c>
      <c r="C53" t="s">
        <v>35</v>
      </c>
      <c r="D53" t="s">
        <v>4470</v>
      </c>
      <c r="E53" t="s">
        <v>35</v>
      </c>
      <c r="F53" t="s">
        <v>2739</v>
      </c>
      <c r="G53" s="2">
        <v>45325</v>
      </c>
      <c r="H53">
        <v>0</v>
      </c>
      <c r="I53">
        <v>0</v>
      </c>
      <c r="J53" s="1">
        <v>500</v>
      </c>
      <c r="K53" s="1">
        <v>500</v>
      </c>
      <c r="M53" s="10" t="s">
        <v>2744</v>
      </c>
      <c r="N53" s="15">
        <f>SUMIFS(Estate_bills[Total Price],Estate_bills[Apartment ID],$M$42,Estate_bills[Bill],M53)</f>
        <v>0</v>
      </c>
    </row>
    <row r="54" spans="1:14" ht="30" x14ac:dyDescent="0.25">
      <c r="A54" t="s">
        <v>2562</v>
      </c>
      <c r="B54" t="s">
        <v>2719</v>
      </c>
      <c r="C54" t="s">
        <v>16</v>
      </c>
      <c r="D54" t="s">
        <v>4466</v>
      </c>
      <c r="E54" t="s">
        <v>4430</v>
      </c>
      <c r="F54" t="s">
        <v>2739</v>
      </c>
      <c r="G54" s="2">
        <v>45326</v>
      </c>
      <c r="H54">
        <v>0</v>
      </c>
      <c r="I54">
        <v>0</v>
      </c>
      <c r="J54" s="1">
        <v>500</v>
      </c>
      <c r="K54" s="1">
        <v>500</v>
      </c>
      <c r="M54" s="35" t="s">
        <v>2747</v>
      </c>
      <c r="N54" s="15">
        <f>SUMIFS(Estate_bills[Total Price],Estate_bills[Apartment ID],$M$42,Estate_bills[Bill],M54)</f>
        <v>0</v>
      </c>
    </row>
    <row r="55" spans="1:14" ht="15.75" thickBot="1" x14ac:dyDescent="0.3">
      <c r="A55" t="s">
        <v>2556</v>
      </c>
      <c r="B55" t="s">
        <v>2732</v>
      </c>
      <c r="C55" t="s">
        <v>16</v>
      </c>
      <c r="D55" t="s">
        <v>4461</v>
      </c>
      <c r="E55" t="s">
        <v>4444</v>
      </c>
      <c r="F55" t="s">
        <v>2739</v>
      </c>
      <c r="G55" s="2">
        <v>45327</v>
      </c>
      <c r="H55">
        <v>0</v>
      </c>
      <c r="I55">
        <v>0</v>
      </c>
      <c r="J55" s="1">
        <v>500</v>
      </c>
      <c r="K55" s="1">
        <v>500</v>
      </c>
      <c r="M55" s="14" t="s">
        <v>4476</v>
      </c>
      <c r="N55" s="16">
        <f>SUM(N44:N54)</f>
        <v>6179898.2100000009</v>
      </c>
    </row>
    <row r="56" spans="1:14" ht="15.75" thickTop="1" x14ac:dyDescent="0.25">
      <c r="A56" t="s">
        <v>2558</v>
      </c>
      <c r="B56" t="s">
        <v>2725</v>
      </c>
      <c r="C56" t="s">
        <v>16</v>
      </c>
      <c r="D56" t="s">
        <v>4465</v>
      </c>
      <c r="E56" t="s">
        <v>4429</v>
      </c>
      <c r="F56" t="s">
        <v>2739</v>
      </c>
      <c r="G56" s="2">
        <v>45327</v>
      </c>
      <c r="H56">
        <v>0</v>
      </c>
      <c r="I56">
        <v>0</v>
      </c>
      <c r="J56" s="1">
        <v>500</v>
      </c>
      <c r="K56" s="1">
        <v>500</v>
      </c>
    </row>
    <row r="57" spans="1:14" x14ac:dyDescent="0.25">
      <c r="A57" t="s">
        <v>2560</v>
      </c>
      <c r="B57" t="s">
        <v>2698</v>
      </c>
      <c r="C57" t="s">
        <v>16</v>
      </c>
      <c r="D57" t="s">
        <v>4465</v>
      </c>
      <c r="E57" t="s">
        <v>4442</v>
      </c>
      <c r="F57" t="s">
        <v>2739</v>
      </c>
      <c r="G57" s="2">
        <v>45327</v>
      </c>
      <c r="H57">
        <v>0</v>
      </c>
      <c r="I57">
        <v>0</v>
      </c>
      <c r="J57" s="1">
        <v>500</v>
      </c>
      <c r="K57" s="1">
        <v>500</v>
      </c>
    </row>
    <row r="58" spans="1:14" x14ac:dyDescent="0.25">
      <c r="A58" t="s">
        <v>2555</v>
      </c>
      <c r="B58" t="s">
        <v>2711</v>
      </c>
      <c r="C58" t="s">
        <v>16</v>
      </c>
      <c r="D58" t="s">
        <v>4461</v>
      </c>
      <c r="E58" t="s">
        <v>4447</v>
      </c>
      <c r="F58" t="s">
        <v>2739</v>
      </c>
      <c r="G58" s="2">
        <v>45328</v>
      </c>
      <c r="H58">
        <v>0</v>
      </c>
      <c r="I58">
        <v>0</v>
      </c>
      <c r="J58" s="1">
        <v>500</v>
      </c>
      <c r="K58" s="1">
        <v>500</v>
      </c>
    </row>
    <row r="59" spans="1:14" x14ac:dyDescent="0.25">
      <c r="A59" t="s">
        <v>2554</v>
      </c>
      <c r="B59" t="s">
        <v>2734</v>
      </c>
      <c r="C59" t="s">
        <v>16</v>
      </c>
      <c r="D59" t="s">
        <v>4461</v>
      </c>
      <c r="E59" t="s">
        <v>4455</v>
      </c>
      <c r="F59" t="s">
        <v>2739</v>
      </c>
      <c r="G59" s="2">
        <v>45328</v>
      </c>
      <c r="H59">
        <v>0</v>
      </c>
      <c r="I59">
        <v>0</v>
      </c>
      <c r="J59" s="1">
        <v>500</v>
      </c>
      <c r="K59" s="1">
        <v>500</v>
      </c>
    </row>
    <row r="60" spans="1:14" x14ac:dyDescent="0.25">
      <c r="A60" t="s">
        <v>2546</v>
      </c>
      <c r="B60" t="s">
        <v>2702</v>
      </c>
      <c r="C60" t="s">
        <v>35</v>
      </c>
      <c r="D60" t="s">
        <v>3305</v>
      </c>
      <c r="E60" t="s">
        <v>3304</v>
      </c>
      <c r="F60" t="s">
        <v>2739</v>
      </c>
      <c r="G60" s="2">
        <v>45330</v>
      </c>
      <c r="H60">
        <v>0</v>
      </c>
      <c r="I60">
        <v>0</v>
      </c>
      <c r="J60" s="1">
        <v>500</v>
      </c>
      <c r="K60" s="1">
        <v>500</v>
      </c>
    </row>
    <row r="61" spans="1:14" x14ac:dyDescent="0.25">
      <c r="A61" t="s">
        <v>2550</v>
      </c>
      <c r="B61" t="s">
        <v>2710</v>
      </c>
      <c r="C61" t="s">
        <v>42</v>
      </c>
      <c r="D61" t="s">
        <v>4467</v>
      </c>
      <c r="E61" t="s">
        <v>4436</v>
      </c>
      <c r="F61" t="s">
        <v>2739</v>
      </c>
      <c r="G61" s="2">
        <v>45330</v>
      </c>
      <c r="H61">
        <v>0</v>
      </c>
      <c r="I61">
        <v>0</v>
      </c>
      <c r="J61" s="1">
        <v>500</v>
      </c>
      <c r="K61" s="1">
        <v>500</v>
      </c>
    </row>
    <row r="62" spans="1:14" x14ac:dyDescent="0.25">
      <c r="A62" t="s">
        <v>2540</v>
      </c>
      <c r="B62" t="s">
        <v>2700</v>
      </c>
      <c r="C62" t="s">
        <v>27</v>
      </c>
      <c r="D62" t="s">
        <v>4466</v>
      </c>
      <c r="E62" t="s">
        <v>4450</v>
      </c>
      <c r="F62" t="s">
        <v>2739</v>
      </c>
      <c r="G62" s="2">
        <v>45331</v>
      </c>
      <c r="H62">
        <v>0</v>
      </c>
      <c r="I62">
        <v>0</v>
      </c>
      <c r="J62" s="1">
        <v>500</v>
      </c>
      <c r="K62" s="1">
        <v>500</v>
      </c>
    </row>
    <row r="63" spans="1:14" x14ac:dyDescent="0.25">
      <c r="A63" t="s">
        <v>2542</v>
      </c>
      <c r="B63" t="s">
        <v>2703</v>
      </c>
      <c r="C63" t="s">
        <v>35</v>
      </c>
      <c r="D63" t="s">
        <v>4404</v>
      </c>
      <c r="E63" t="s">
        <v>3275</v>
      </c>
      <c r="F63" t="s">
        <v>2739</v>
      </c>
      <c r="G63" s="2">
        <v>45331</v>
      </c>
      <c r="H63">
        <v>0</v>
      </c>
      <c r="I63">
        <v>0</v>
      </c>
      <c r="J63" s="1">
        <v>500</v>
      </c>
      <c r="K63" s="1">
        <v>500</v>
      </c>
    </row>
    <row r="64" spans="1:14" x14ac:dyDescent="0.25">
      <c r="A64" t="s">
        <v>2544</v>
      </c>
      <c r="B64" t="s">
        <v>2704</v>
      </c>
      <c r="C64" t="s">
        <v>35</v>
      </c>
      <c r="D64" t="s">
        <v>42</v>
      </c>
      <c r="E64" t="s">
        <v>3275</v>
      </c>
      <c r="F64" t="s">
        <v>2739</v>
      </c>
      <c r="G64" s="2">
        <v>45331</v>
      </c>
      <c r="H64">
        <v>0</v>
      </c>
      <c r="I64">
        <v>0</v>
      </c>
      <c r="J64" s="1">
        <v>500</v>
      </c>
      <c r="K64" s="1">
        <v>500</v>
      </c>
    </row>
    <row r="65" spans="1:11" x14ac:dyDescent="0.25">
      <c r="A65" t="s">
        <v>2538</v>
      </c>
      <c r="B65" t="s">
        <v>2701</v>
      </c>
      <c r="C65" t="s">
        <v>16</v>
      </c>
      <c r="D65" t="s">
        <v>4466</v>
      </c>
      <c r="E65" t="s">
        <v>4453</v>
      </c>
      <c r="F65" t="s">
        <v>2739</v>
      </c>
      <c r="G65" s="2">
        <v>45332</v>
      </c>
      <c r="H65">
        <v>0</v>
      </c>
      <c r="I65">
        <v>0</v>
      </c>
      <c r="J65" s="1">
        <v>500</v>
      </c>
      <c r="K65" s="1">
        <v>500</v>
      </c>
    </row>
    <row r="66" spans="1:11" x14ac:dyDescent="0.25">
      <c r="A66" t="s">
        <v>2532</v>
      </c>
      <c r="B66" t="s">
        <v>2718</v>
      </c>
      <c r="C66" t="s">
        <v>16</v>
      </c>
      <c r="D66" t="s">
        <v>4466</v>
      </c>
      <c r="E66" t="s">
        <v>4438</v>
      </c>
      <c r="F66" t="s">
        <v>2739</v>
      </c>
      <c r="G66" s="2">
        <v>45333</v>
      </c>
      <c r="H66">
        <v>0</v>
      </c>
      <c r="I66">
        <v>0</v>
      </c>
      <c r="J66" s="1">
        <v>500</v>
      </c>
      <c r="K66" s="1">
        <v>500</v>
      </c>
    </row>
    <row r="67" spans="1:11" x14ac:dyDescent="0.25">
      <c r="A67" t="s">
        <v>2536</v>
      </c>
      <c r="B67" t="s">
        <v>2722</v>
      </c>
      <c r="C67" t="s">
        <v>16</v>
      </c>
      <c r="D67" t="s">
        <v>4462</v>
      </c>
      <c r="E67" t="s">
        <v>4446</v>
      </c>
      <c r="F67" t="s">
        <v>2739</v>
      </c>
      <c r="G67" s="2">
        <v>45333</v>
      </c>
      <c r="H67">
        <v>0</v>
      </c>
      <c r="I67">
        <v>0</v>
      </c>
      <c r="J67" s="1">
        <v>500</v>
      </c>
      <c r="K67" s="1">
        <v>500</v>
      </c>
    </row>
    <row r="68" spans="1:11" x14ac:dyDescent="0.25">
      <c r="A68" t="s">
        <v>2524</v>
      </c>
      <c r="B68" t="s">
        <v>2730</v>
      </c>
      <c r="C68" t="s">
        <v>42</v>
      </c>
      <c r="D68" t="s">
        <v>4467</v>
      </c>
      <c r="E68" t="s">
        <v>4441</v>
      </c>
      <c r="F68" t="s">
        <v>2739</v>
      </c>
      <c r="G68" s="2">
        <v>45334</v>
      </c>
      <c r="H68">
        <v>0</v>
      </c>
      <c r="I68">
        <v>0</v>
      </c>
      <c r="J68" s="1">
        <v>500</v>
      </c>
      <c r="K68" s="1">
        <v>500</v>
      </c>
    </row>
    <row r="69" spans="1:11" x14ac:dyDescent="0.25">
      <c r="A69" t="s">
        <v>2510</v>
      </c>
      <c r="B69" t="s">
        <v>2713</v>
      </c>
      <c r="C69" t="s">
        <v>16</v>
      </c>
      <c r="D69" t="s">
        <v>4465</v>
      </c>
      <c r="E69" t="s">
        <v>4428</v>
      </c>
      <c r="F69" t="s">
        <v>2739</v>
      </c>
      <c r="G69" s="2">
        <v>45336</v>
      </c>
      <c r="H69">
        <v>0</v>
      </c>
      <c r="I69">
        <v>0</v>
      </c>
      <c r="J69" s="1">
        <v>500</v>
      </c>
      <c r="K69" s="1">
        <v>500</v>
      </c>
    </row>
    <row r="70" spans="1:11" x14ac:dyDescent="0.25">
      <c r="A70" t="s">
        <v>2505</v>
      </c>
      <c r="B70" t="s">
        <v>2712</v>
      </c>
      <c r="C70" t="s">
        <v>16</v>
      </c>
      <c r="D70" t="s">
        <v>4461</v>
      </c>
      <c r="E70" t="s">
        <v>4449</v>
      </c>
      <c r="F70" t="s">
        <v>2739</v>
      </c>
      <c r="G70" s="2">
        <v>45337</v>
      </c>
      <c r="H70">
        <v>0</v>
      </c>
      <c r="I70">
        <v>0</v>
      </c>
      <c r="J70" s="1">
        <v>500</v>
      </c>
      <c r="K70" s="1">
        <v>500</v>
      </c>
    </row>
    <row r="71" spans="1:11" x14ac:dyDescent="0.25">
      <c r="A71" t="s">
        <v>2508</v>
      </c>
      <c r="B71" t="s">
        <v>2715</v>
      </c>
      <c r="C71" t="s">
        <v>16</v>
      </c>
      <c r="D71" t="s">
        <v>4462</v>
      </c>
      <c r="E71" t="s">
        <v>4454</v>
      </c>
      <c r="F71" t="s">
        <v>2739</v>
      </c>
      <c r="G71" s="2">
        <v>45337</v>
      </c>
      <c r="H71">
        <v>0</v>
      </c>
      <c r="I71">
        <v>0</v>
      </c>
      <c r="J71" s="1">
        <v>500</v>
      </c>
      <c r="K71" s="1">
        <v>500</v>
      </c>
    </row>
    <row r="72" spans="1:11" x14ac:dyDescent="0.25">
      <c r="A72" t="s">
        <v>2497</v>
      </c>
      <c r="B72" t="s">
        <v>133</v>
      </c>
      <c r="C72" t="s">
        <v>35</v>
      </c>
      <c r="D72" t="s">
        <v>4461</v>
      </c>
      <c r="E72" t="s">
        <v>3304</v>
      </c>
      <c r="F72" t="s">
        <v>2739</v>
      </c>
      <c r="G72" s="2">
        <v>45338</v>
      </c>
      <c r="H72">
        <v>0</v>
      </c>
      <c r="I72">
        <v>0</v>
      </c>
      <c r="J72" s="1">
        <v>500</v>
      </c>
      <c r="K72" s="1">
        <v>500</v>
      </c>
    </row>
    <row r="73" spans="1:11" x14ac:dyDescent="0.25">
      <c r="A73" t="s">
        <v>2475</v>
      </c>
      <c r="B73" t="s">
        <v>93</v>
      </c>
      <c r="C73" t="s">
        <v>35</v>
      </c>
      <c r="D73" t="s">
        <v>4465</v>
      </c>
      <c r="E73" t="s">
        <v>3304</v>
      </c>
      <c r="F73" t="s">
        <v>2739</v>
      </c>
      <c r="G73" s="2">
        <v>45341</v>
      </c>
      <c r="H73">
        <v>0</v>
      </c>
      <c r="I73">
        <v>0</v>
      </c>
      <c r="J73" s="1">
        <v>500</v>
      </c>
      <c r="K73" s="1">
        <v>500</v>
      </c>
    </row>
    <row r="74" spans="1:11" x14ac:dyDescent="0.25">
      <c r="A74" t="s">
        <v>2477</v>
      </c>
      <c r="B74" t="s">
        <v>136</v>
      </c>
      <c r="C74" t="s">
        <v>35</v>
      </c>
      <c r="D74" t="s">
        <v>4462</v>
      </c>
      <c r="E74" t="s">
        <v>3304</v>
      </c>
      <c r="F74" t="s">
        <v>2739</v>
      </c>
      <c r="G74" s="2">
        <v>45341</v>
      </c>
      <c r="H74">
        <v>0</v>
      </c>
      <c r="I74">
        <v>0</v>
      </c>
      <c r="J74" s="1">
        <v>500</v>
      </c>
      <c r="K74" s="1">
        <v>500</v>
      </c>
    </row>
    <row r="75" spans="1:11" x14ac:dyDescent="0.25">
      <c r="A75" t="s">
        <v>2468</v>
      </c>
      <c r="B75" t="s">
        <v>2728</v>
      </c>
      <c r="C75" t="s">
        <v>16</v>
      </c>
      <c r="D75" t="s">
        <v>4465</v>
      </c>
      <c r="E75" t="s">
        <v>4439</v>
      </c>
      <c r="F75" t="s">
        <v>2739</v>
      </c>
      <c r="G75" s="2">
        <v>45342</v>
      </c>
      <c r="H75">
        <v>0</v>
      </c>
      <c r="I75">
        <v>0</v>
      </c>
      <c r="J75" s="1">
        <v>500</v>
      </c>
      <c r="K75" s="1">
        <v>500</v>
      </c>
    </row>
    <row r="76" spans="1:11" x14ac:dyDescent="0.25">
      <c r="A76" t="s">
        <v>2455</v>
      </c>
      <c r="B76" t="s">
        <v>2735</v>
      </c>
      <c r="C76" t="s">
        <v>16</v>
      </c>
      <c r="D76" t="s">
        <v>4462</v>
      </c>
      <c r="E76" t="s">
        <v>4426</v>
      </c>
      <c r="F76" t="s">
        <v>2739</v>
      </c>
      <c r="G76" s="2">
        <v>45343</v>
      </c>
      <c r="H76">
        <v>0</v>
      </c>
      <c r="I76">
        <v>0</v>
      </c>
      <c r="J76" s="1">
        <v>500</v>
      </c>
      <c r="K76" s="1">
        <v>500</v>
      </c>
    </row>
    <row r="77" spans="1:11" x14ac:dyDescent="0.25">
      <c r="A77" t="s">
        <v>2457</v>
      </c>
      <c r="B77" t="s">
        <v>2717</v>
      </c>
      <c r="C77" t="s">
        <v>16</v>
      </c>
      <c r="D77" t="s">
        <v>4466</v>
      </c>
      <c r="E77" t="s">
        <v>4431</v>
      </c>
      <c r="F77" t="s">
        <v>2739</v>
      </c>
      <c r="G77" s="2">
        <v>45343</v>
      </c>
      <c r="H77">
        <v>0</v>
      </c>
      <c r="I77">
        <v>0</v>
      </c>
      <c r="J77" s="1">
        <v>500</v>
      </c>
      <c r="K77" s="1">
        <v>500</v>
      </c>
    </row>
    <row r="78" spans="1:11" x14ac:dyDescent="0.25">
      <c r="A78" t="s">
        <v>2447</v>
      </c>
      <c r="B78" t="s">
        <v>2721</v>
      </c>
      <c r="C78" t="s">
        <v>16</v>
      </c>
      <c r="D78" t="s">
        <v>4466</v>
      </c>
      <c r="E78" t="s">
        <v>4438</v>
      </c>
      <c r="F78" t="s">
        <v>2739</v>
      </c>
      <c r="G78" s="2">
        <v>45344</v>
      </c>
      <c r="H78">
        <v>0</v>
      </c>
      <c r="I78">
        <v>0</v>
      </c>
      <c r="J78" s="1">
        <v>500</v>
      </c>
      <c r="K78" s="1">
        <v>500</v>
      </c>
    </row>
    <row r="79" spans="1:11" x14ac:dyDescent="0.25">
      <c r="A79" t="s">
        <v>2428</v>
      </c>
      <c r="B79" t="s">
        <v>2726</v>
      </c>
      <c r="C79" t="s">
        <v>16</v>
      </c>
      <c r="D79" t="s">
        <v>4466</v>
      </c>
      <c r="E79" t="s">
        <v>4437</v>
      </c>
      <c r="F79" t="s">
        <v>2739</v>
      </c>
      <c r="G79" s="2">
        <v>45345</v>
      </c>
      <c r="H79">
        <v>0</v>
      </c>
      <c r="I79">
        <v>0</v>
      </c>
      <c r="J79" s="1">
        <v>500</v>
      </c>
      <c r="K79" s="1">
        <v>500</v>
      </c>
    </row>
    <row r="80" spans="1:11" x14ac:dyDescent="0.25">
      <c r="A80" t="s">
        <v>2418</v>
      </c>
      <c r="B80" t="s">
        <v>2709</v>
      </c>
      <c r="C80" t="s">
        <v>42</v>
      </c>
      <c r="D80" t="s">
        <v>4467</v>
      </c>
      <c r="E80" t="s">
        <v>4456</v>
      </c>
      <c r="F80" t="s">
        <v>2739</v>
      </c>
      <c r="G80" s="2">
        <v>45347</v>
      </c>
      <c r="H80">
        <v>0</v>
      </c>
      <c r="I80">
        <v>0</v>
      </c>
      <c r="J80" s="1">
        <v>500</v>
      </c>
      <c r="K80" s="1">
        <v>500</v>
      </c>
    </row>
    <row r="81" spans="1:11" x14ac:dyDescent="0.25">
      <c r="A81" t="s">
        <v>2420</v>
      </c>
      <c r="B81" t="s">
        <v>2727</v>
      </c>
      <c r="C81" t="s">
        <v>16</v>
      </c>
      <c r="D81" t="s">
        <v>4465</v>
      </c>
      <c r="E81" t="s">
        <v>4445</v>
      </c>
      <c r="F81" t="s">
        <v>2739</v>
      </c>
      <c r="G81" s="2">
        <v>45347</v>
      </c>
      <c r="H81">
        <v>0</v>
      </c>
      <c r="I81">
        <v>0</v>
      </c>
      <c r="J81" s="1">
        <v>500</v>
      </c>
      <c r="K81" s="1">
        <v>500</v>
      </c>
    </row>
    <row r="82" spans="1:11" x14ac:dyDescent="0.25">
      <c r="A82" t="s">
        <v>2422</v>
      </c>
      <c r="B82" t="s">
        <v>2708</v>
      </c>
      <c r="C82" t="s">
        <v>16</v>
      </c>
      <c r="D82" t="s">
        <v>4466</v>
      </c>
      <c r="E82" t="s">
        <v>4457</v>
      </c>
      <c r="F82" t="s">
        <v>2739</v>
      </c>
      <c r="G82" s="2">
        <v>45347</v>
      </c>
      <c r="H82">
        <v>0</v>
      </c>
      <c r="I82">
        <v>0</v>
      </c>
      <c r="J82" s="1">
        <v>500</v>
      </c>
      <c r="K82" s="1">
        <v>500</v>
      </c>
    </row>
    <row r="83" spans="1:11" x14ac:dyDescent="0.25">
      <c r="A83" t="s">
        <v>2409</v>
      </c>
      <c r="B83" t="s">
        <v>2733</v>
      </c>
      <c r="C83" t="s">
        <v>16</v>
      </c>
      <c r="D83" t="s">
        <v>4465</v>
      </c>
      <c r="E83" t="s">
        <v>4448</v>
      </c>
      <c r="F83" t="s">
        <v>2739</v>
      </c>
      <c r="G83" s="2">
        <v>45348</v>
      </c>
      <c r="H83">
        <v>0</v>
      </c>
      <c r="I83">
        <v>0</v>
      </c>
      <c r="J83" s="1">
        <v>500</v>
      </c>
      <c r="K83" s="1">
        <v>500</v>
      </c>
    </row>
    <row r="84" spans="1:11" x14ac:dyDescent="0.25">
      <c r="A84" t="s">
        <v>2396</v>
      </c>
      <c r="B84" t="s">
        <v>2716</v>
      </c>
      <c r="C84" t="s">
        <v>16</v>
      </c>
      <c r="D84" t="s">
        <v>4462</v>
      </c>
      <c r="E84" t="s">
        <v>4458</v>
      </c>
      <c r="F84" t="s">
        <v>2739</v>
      </c>
      <c r="G84" s="2">
        <v>45349</v>
      </c>
      <c r="H84">
        <v>0</v>
      </c>
      <c r="I84">
        <v>0</v>
      </c>
      <c r="J84" s="1">
        <v>500</v>
      </c>
      <c r="K84" s="1">
        <v>500</v>
      </c>
    </row>
    <row r="85" spans="1:11" x14ac:dyDescent="0.25">
      <c r="A85" t="s">
        <v>2355</v>
      </c>
      <c r="B85" t="s">
        <v>2714</v>
      </c>
      <c r="C85" t="s">
        <v>16</v>
      </c>
      <c r="D85" t="s">
        <v>4466</v>
      </c>
      <c r="E85" t="s">
        <v>4434</v>
      </c>
      <c r="F85" t="s">
        <v>2739</v>
      </c>
      <c r="G85" s="2">
        <v>45352</v>
      </c>
      <c r="H85">
        <v>0</v>
      </c>
      <c r="I85">
        <v>0</v>
      </c>
      <c r="J85" s="1">
        <v>500</v>
      </c>
      <c r="K85" s="1">
        <v>500</v>
      </c>
    </row>
    <row r="86" spans="1:11" x14ac:dyDescent="0.25">
      <c r="A86" t="s">
        <v>2357</v>
      </c>
      <c r="B86" t="s">
        <v>4471</v>
      </c>
      <c r="C86" t="s">
        <v>35</v>
      </c>
      <c r="D86" t="s">
        <v>4470</v>
      </c>
      <c r="E86" t="s">
        <v>35</v>
      </c>
      <c r="F86" t="s">
        <v>2739</v>
      </c>
      <c r="G86" s="2">
        <v>45352</v>
      </c>
      <c r="H86">
        <v>0</v>
      </c>
      <c r="I86">
        <v>0</v>
      </c>
      <c r="J86" s="1">
        <v>500</v>
      </c>
      <c r="K86" s="1">
        <v>500</v>
      </c>
    </row>
    <row r="87" spans="1:11" x14ac:dyDescent="0.25">
      <c r="A87" t="s">
        <v>2359</v>
      </c>
      <c r="B87" t="s">
        <v>4463</v>
      </c>
      <c r="C87" t="s">
        <v>35</v>
      </c>
      <c r="D87" t="s">
        <v>4464</v>
      </c>
      <c r="E87" t="s">
        <v>3304</v>
      </c>
      <c r="F87" t="s">
        <v>2739</v>
      </c>
      <c r="G87" s="2">
        <v>45352</v>
      </c>
      <c r="H87">
        <v>0</v>
      </c>
      <c r="I87">
        <v>0</v>
      </c>
      <c r="J87" s="1">
        <v>500</v>
      </c>
      <c r="K87" s="1">
        <v>500</v>
      </c>
    </row>
    <row r="88" spans="1:11" x14ac:dyDescent="0.25">
      <c r="A88" t="s">
        <v>2343</v>
      </c>
      <c r="B88" t="s">
        <v>133</v>
      </c>
      <c r="C88" t="s">
        <v>35</v>
      </c>
      <c r="D88" t="s">
        <v>4461</v>
      </c>
      <c r="E88" t="s">
        <v>3304</v>
      </c>
      <c r="F88" t="s">
        <v>2739</v>
      </c>
      <c r="G88" s="2">
        <v>45353</v>
      </c>
      <c r="H88">
        <v>0</v>
      </c>
      <c r="I88">
        <v>0</v>
      </c>
      <c r="J88" s="1">
        <v>500</v>
      </c>
      <c r="K88" s="1">
        <v>500</v>
      </c>
    </row>
    <row r="89" spans="1:11" x14ac:dyDescent="0.25">
      <c r="A89" t="s">
        <v>2345</v>
      </c>
      <c r="B89" t="s">
        <v>93</v>
      </c>
      <c r="C89" t="s">
        <v>35</v>
      </c>
      <c r="D89" t="s">
        <v>4465</v>
      </c>
      <c r="E89" t="s">
        <v>3304</v>
      </c>
      <c r="F89" t="s">
        <v>2739</v>
      </c>
      <c r="G89" s="2">
        <v>45353</v>
      </c>
      <c r="H89">
        <v>0</v>
      </c>
      <c r="I89">
        <v>0</v>
      </c>
      <c r="J89" s="1">
        <v>500</v>
      </c>
      <c r="K89" s="1">
        <v>500</v>
      </c>
    </row>
    <row r="90" spans="1:11" x14ac:dyDescent="0.25">
      <c r="A90" t="s">
        <v>2347</v>
      </c>
      <c r="B90" t="s">
        <v>66</v>
      </c>
      <c r="C90" t="s">
        <v>35</v>
      </c>
      <c r="D90" t="s">
        <v>4466</v>
      </c>
      <c r="E90" t="s">
        <v>3304</v>
      </c>
      <c r="F90" t="s">
        <v>2739</v>
      </c>
      <c r="G90" s="2">
        <v>45353</v>
      </c>
      <c r="H90">
        <v>0</v>
      </c>
      <c r="I90">
        <v>0</v>
      </c>
      <c r="J90" s="1">
        <v>500</v>
      </c>
      <c r="K90" s="1">
        <v>500</v>
      </c>
    </row>
    <row r="91" spans="1:11" x14ac:dyDescent="0.25">
      <c r="A91" t="s">
        <v>2349</v>
      </c>
      <c r="B91" t="s">
        <v>2702</v>
      </c>
      <c r="C91" t="s">
        <v>35</v>
      </c>
      <c r="D91" t="s">
        <v>3305</v>
      </c>
      <c r="E91" t="s">
        <v>3304</v>
      </c>
      <c r="F91" t="s">
        <v>2739</v>
      </c>
      <c r="G91" s="2">
        <v>45353</v>
      </c>
      <c r="H91">
        <v>0</v>
      </c>
      <c r="I91">
        <v>0</v>
      </c>
      <c r="J91" s="1">
        <v>500</v>
      </c>
      <c r="K91" s="1">
        <v>500</v>
      </c>
    </row>
    <row r="92" spans="1:11" x14ac:dyDescent="0.25">
      <c r="A92" t="s">
        <v>2351</v>
      </c>
      <c r="B92" t="s">
        <v>2704</v>
      </c>
      <c r="C92" t="s">
        <v>35</v>
      </c>
      <c r="D92" t="s">
        <v>42</v>
      </c>
      <c r="E92" t="s">
        <v>3275</v>
      </c>
      <c r="F92" t="s">
        <v>2739</v>
      </c>
      <c r="G92" s="2">
        <v>45353</v>
      </c>
      <c r="H92">
        <v>0</v>
      </c>
      <c r="I92">
        <v>0</v>
      </c>
      <c r="J92" s="1">
        <v>500</v>
      </c>
      <c r="K92" s="1">
        <v>500</v>
      </c>
    </row>
    <row r="93" spans="1:11" x14ac:dyDescent="0.25">
      <c r="A93" t="s">
        <v>2340</v>
      </c>
      <c r="B93" t="s">
        <v>2732</v>
      </c>
      <c r="C93" t="s">
        <v>16</v>
      </c>
      <c r="D93" t="s">
        <v>4461</v>
      </c>
      <c r="E93" t="s">
        <v>4444</v>
      </c>
      <c r="F93" t="s">
        <v>2739</v>
      </c>
      <c r="G93" s="2">
        <v>45354</v>
      </c>
      <c r="H93">
        <v>0</v>
      </c>
      <c r="I93">
        <v>0</v>
      </c>
      <c r="J93" s="1">
        <v>500</v>
      </c>
      <c r="K93" s="1">
        <v>500</v>
      </c>
    </row>
    <row r="94" spans="1:11" x14ac:dyDescent="0.25">
      <c r="A94" t="s">
        <v>2342</v>
      </c>
      <c r="B94" t="s">
        <v>2719</v>
      </c>
      <c r="C94" t="s">
        <v>16</v>
      </c>
      <c r="D94" t="s">
        <v>4466</v>
      </c>
      <c r="E94" t="s">
        <v>4430</v>
      </c>
      <c r="F94" t="s">
        <v>2739</v>
      </c>
      <c r="G94" s="2">
        <v>45354</v>
      </c>
      <c r="H94">
        <v>0</v>
      </c>
      <c r="I94">
        <v>0</v>
      </c>
      <c r="J94" s="1">
        <v>500</v>
      </c>
      <c r="K94" s="1">
        <v>500</v>
      </c>
    </row>
    <row r="95" spans="1:11" x14ac:dyDescent="0.25">
      <c r="A95" t="s">
        <v>2333</v>
      </c>
      <c r="B95" t="s">
        <v>2700</v>
      </c>
      <c r="C95" t="s">
        <v>27</v>
      </c>
      <c r="D95" t="s">
        <v>4466</v>
      </c>
      <c r="E95" t="s">
        <v>4450</v>
      </c>
      <c r="F95" t="s">
        <v>2739</v>
      </c>
      <c r="G95" s="2">
        <v>45355</v>
      </c>
      <c r="H95">
        <v>0</v>
      </c>
      <c r="I95">
        <v>0</v>
      </c>
      <c r="J95" s="1">
        <v>500</v>
      </c>
      <c r="K95" s="1">
        <v>500</v>
      </c>
    </row>
    <row r="96" spans="1:11" x14ac:dyDescent="0.25">
      <c r="A96" t="s">
        <v>2335</v>
      </c>
      <c r="B96" t="s">
        <v>2705</v>
      </c>
      <c r="C96" t="s">
        <v>42</v>
      </c>
      <c r="D96" t="s">
        <v>4467</v>
      </c>
      <c r="E96" t="s">
        <v>4435</v>
      </c>
      <c r="F96" t="s">
        <v>2739</v>
      </c>
      <c r="G96" s="2">
        <v>45355</v>
      </c>
      <c r="H96">
        <v>0</v>
      </c>
      <c r="I96">
        <v>0</v>
      </c>
      <c r="J96" s="1">
        <v>500</v>
      </c>
      <c r="K96" s="1">
        <v>500</v>
      </c>
    </row>
    <row r="97" spans="1:11" x14ac:dyDescent="0.25">
      <c r="A97" t="s">
        <v>2337</v>
      </c>
      <c r="B97" t="s">
        <v>2729</v>
      </c>
      <c r="C97" t="s">
        <v>16</v>
      </c>
      <c r="D97" t="s">
        <v>4465</v>
      </c>
      <c r="E97" t="s">
        <v>4427</v>
      </c>
      <c r="F97" t="s">
        <v>2739</v>
      </c>
      <c r="G97" s="2">
        <v>45355</v>
      </c>
      <c r="H97">
        <v>0</v>
      </c>
      <c r="I97">
        <v>0</v>
      </c>
      <c r="J97" s="1">
        <v>500</v>
      </c>
      <c r="K97" s="1">
        <v>500</v>
      </c>
    </row>
    <row r="98" spans="1:11" x14ac:dyDescent="0.25">
      <c r="A98" t="s">
        <v>2339</v>
      </c>
      <c r="B98" t="s">
        <v>2701</v>
      </c>
      <c r="C98" t="s">
        <v>16</v>
      </c>
      <c r="D98" t="s">
        <v>4466</v>
      </c>
      <c r="E98" t="s">
        <v>4453</v>
      </c>
      <c r="F98" t="s">
        <v>2739</v>
      </c>
      <c r="G98" s="2">
        <v>45355</v>
      </c>
      <c r="H98">
        <v>0</v>
      </c>
      <c r="I98">
        <v>0</v>
      </c>
      <c r="J98" s="1">
        <v>500</v>
      </c>
      <c r="K98" s="1">
        <v>500</v>
      </c>
    </row>
    <row r="99" spans="1:11" x14ac:dyDescent="0.25">
      <c r="A99" t="s">
        <v>2327</v>
      </c>
      <c r="B99" t="s">
        <v>2724</v>
      </c>
      <c r="C99" t="s">
        <v>16</v>
      </c>
      <c r="D99" t="s">
        <v>4462</v>
      </c>
      <c r="E99" t="s">
        <v>4451</v>
      </c>
      <c r="F99" t="s">
        <v>2739</v>
      </c>
      <c r="G99" s="2">
        <v>45356</v>
      </c>
      <c r="H99">
        <v>0</v>
      </c>
      <c r="I99">
        <v>0</v>
      </c>
      <c r="J99" s="1">
        <v>500</v>
      </c>
      <c r="K99" s="1">
        <v>500</v>
      </c>
    </row>
    <row r="100" spans="1:11" x14ac:dyDescent="0.25">
      <c r="A100" t="s">
        <v>2332</v>
      </c>
      <c r="B100" t="s">
        <v>4472</v>
      </c>
      <c r="C100" t="s">
        <v>16</v>
      </c>
      <c r="D100" t="s">
        <v>4461</v>
      </c>
      <c r="E100" t="s">
        <v>4373</v>
      </c>
      <c r="F100" t="s">
        <v>2739</v>
      </c>
      <c r="G100" s="2">
        <v>45356</v>
      </c>
      <c r="H100">
        <v>0</v>
      </c>
      <c r="I100">
        <v>0</v>
      </c>
      <c r="J100" s="1">
        <v>500</v>
      </c>
      <c r="K100" s="1">
        <v>1000</v>
      </c>
    </row>
    <row r="101" spans="1:11" x14ac:dyDescent="0.25">
      <c r="A101" t="s">
        <v>2329</v>
      </c>
      <c r="B101" t="s">
        <v>2706</v>
      </c>
      <c r="C101" t="s">
        <v>27</v>
      </c>
      <c r="D101" t="s">
        <v>4461</v>
      </c>
      <c r="E101" t="s">
        <v>4452</v>
      </c>
      <c r="F101" t="s">
        <v>2739</v>
      </c>
      <c r="G101" s="2">
        <v>45356</v>
      </c>
      <c r="H101">
        <v>0</v>
      </c>
      <c r="I101">
        <v>0</v>
      </c>
      <c r="J101" s="1">
        <v>500</v>
      </c>
      <c r="K101" s="1">
        <v>500</v>
      </c>
    </row>
    <row r="102" spans="1:11" x14ac:dyDescent="0.25">
      <c r="A102" t="s">
        <v>2324</v>
      </c>
      <c r="B102" t="s">
        <v>2699</v>
      </c>
      <c r="C102" t="s">
        <v>16</v>
      </c>
      <c r="D102" t="s">
        <v>4462</v>
      </c>
      <c r="E102" t="s">
        <v>4440</v>
      </c>
      <c r="F102" t="s">
        <v>2739</v>
      </c>
      <c r="G102" s="2">
        <v>45357</v>
      </c>
      <c r="H102">
        <v>0</v>
      </c>
      <c r="I102">
        <v>0</v>
      </c>
      <c r="J102" s="1">
        <v>500</v>
      </c>
      <c r="K102" s="1">
        <v>500</v>
      </c>
    </row>
    <row r="103" spans="1:11" x14ac:dyDescent="0.25">
      <c r="A103" t="s">
        <v>2326</v>
      </c>
      <c r="B103" t="s">
        <v>2712</v>
      </c>
      <c r="C103" t="s">
        <v>16</v>
      </c>
      <c r="D103" t="s">
        <v>4461</v>
      </c>
      <c r="E103" t="s">
        <v>4449</v>
      </c>
      <c r="F103" t="s">
        <v>2739</v>
      </c>
      <c r="G103" s="2">
        <v>45357</v>
      </c>
      <c r="H103">
        <v>0</v>
      </c>
      <c r="I103">
        <v>0</v>
      </c>
      <c r="J103" s="1">
        <v>500</v>
      </c>
      <c r="K103" s="1">
        <v>500</v>
      </c>
    </row>
    <row r="104" spans="1:11" x14ac:dyDescent="0.25">
      <c r="A104" t="s">
        <v>2311</v>
      </c>
      <c r="B104" t="s">
        <v>136</v>
      </c>
      <c r="C104" t="s">
        <v>35</v>
      </c>
      <c r="D104" t="s">
        <v>4462</v>
      </c>
      <c r="E104" t="s">
        <v>3304</v>
      </c>
      <c r="F104" t="s">
        <v>2739</v>
      </c>
      <c r="G104" s="2">
        <v>45358</v>
      </c>
      <c r="H104">
        <v>0</v>
      </c>
      <c r="I104">
        <v>0</v>
      </c>
      <c r="J104" s="1">
        <v>500</v>
      </c>
      <c r="K104" s="1">
        <v>500</v>
      </c>
    </row>
    <row r="105" spans="1:11" x14ac:dyDescent="0.25">
      <c r="A105" t="s">
        <v>2317</v>
      </c>
      <c r="B105" t="s">
        <v>2707</v>
      </c>
      <c r="C105" t="s">
        <v>16</v>
      </c>
      <c r="D105" t="s">
        <v>4462</v>
      </c>
      <c r="E105" t="s">
        <v>4433</v>
      </c>
      <c r="F105" t="s">
        <v>2739</v>
      </c>
      <c r="G105" s="2">
        <v>45358</v>
      </c>
      <c r="H105">
        <v>0</v>
      </c>
      <c r="I105">
        <v>0</v>
      </c>
      <c r="J105" s="1">
        <v>500</v>
      </c>
      <c r="K105" s="1">
        <v>500</v>
      </c>
    </row>
    <row r="106" spans="1:11" x14ac:dyDescent="0.25">
      <c r="A106" t="s">
        <v>2303</v>
      </c>
      <c r="B106" t="s">
        <v>2710</v>
      </c>
      <c r="C106" t="s">
        <v>42</v>
      </c>
      <c r="D106" t="s">
        <v>4467</v>
      </c>
      <c r="E106" t="s">
        <v>4436</v>
      </c>
      <c r="F106" t="s">
        <v>2739</v>
      </c>
      <c r="G106" s="2">
        <v>45359</v>
      </c>
      <c r="H106">
        <v>0</v>
      </c>
      <c r="I106">
        <v>0</v>
      </c>
      <c r="J106" s="1">
        <v>500</v>
      </c>
      <c r="K106" s="1">
        <v>500</v>
      </c>
    </row>
    <row r="107" spans="1:11" x14ac:dyDescent="0.25">
      <c r="A107" t="s">
        <v>2307</v>
      </c>
      <c r="B107" t="s">
        <v>2736</v>
      </c>
      <c r="C107" t="s">
        <v>16</v>
      </c>
      <c r="D107" t="s">
        <v>4461</v>
      </c>
      <c r="E107" t="s">
        <v>4459</v>
      </c>
      <c r="F107" t="s">
        <v>2739</v>
      </c>
      <c r="G107" s="2">
        <v>45359</v>
      </c>
      <c r="H107">
        <v>0</v>
      </c>
      <c r="I107">
        <v>0</v>
      </c>
      <c r="J107" s="1">
        <v>500</v>
      </c>
      <c r="K107" s="1">
        <v>500</v>
      </c>
    </row>
    <row r="108" spans="1:11" x14ac:dyDescent="0.25">
      <c r="A108" t="s">
        <v>2307</v>
      </c>
      <c r="B108" t="s">
        <v>2736</v>
      </c>
      <c r="C108" t="s">
        <v>16</v>
      </c>
      <c r="D108" t="s">
        <v>4461</v>
      </c>
      <c r="E108" t="s">
        <v>4459</v>
      </c>
      <c r="F108" t="s">
        <v>2739</v>
      </c>
      <c r="G108" s="2">
        <v>45359</v>
      </c>
      <c r="H108">
        <v>0</v>
      </c>
      <c r="I108">
        <v>0</v>
      </c>
      <c r="J108" s="1">
        <v>500</v>
      </c>
      <c r="K108" s="1">
        <v>500</v>
      </c>
    </row>
    <row r="109" spans="1:11" x14ac:dyDescent="0.25">
      <c r="A109" t="s">
        <v>2307</v>
      </c>
      <c r="B109" t="s">
        <v>2736</v>
      </c>
      <c r="C109" t="s">
        <v>16</v>
      </c>
      <c r="D109" t="s">
        <v>4461</v>
      </c>
      <c r="E109" t="s">
        <v>4459</v>
      </c>
      <c r="F109" t="s">
        <v>2739</v>
      </c>
      <c r="G109" s="2">
        <v>45359</v>
      </c>
      <c r="H109">
        <v>0</v>
      </c>
      <c r="I109">
        <v>0</v>
      </c>
      <c r="J109" s="1">
        <v>500</v>
      </c>
      <c r="K109" s="1">
        <v>500</v>
      </c>
    </row>
    <row r="110" spans="1:11" x14ac:dyDescent="0.25">
      <c r="A110" t="s">
        <v>2300</v>
      </c>
      <c r="B110" t="s">
        <v>2711</v>
      </c>
      <c r="C110" t="s">
        <v>16</v>
      </c>
      <c r="D110" t="s">
        <v>4461</v>
      </c>
      <c r="E110" t="s">
        <v>4447</v>
      </c>
      <c r="F110" t="s">
        <v>2739</v>
      </c>
      <c r="G110" s="2">
        <v>45360</v>
      </c>
      <c r="H110">
        <v>0</v>
      </c>
      <c r="I110">
        <v>0</v>
      </c>
      <c r="J110" s="1">
        <v>500</v>
      </c>
      <c r="K110" s="1">
        <v>500</v>
      </c>
    </row>
    <row r="111" spans="1:11" x14ac:dyDescent="0.25">
      <c r="A111" t="s">
        <v>2292</v>
      </c>
      <c r="B111" t="s">
        <v>2698</v>
      </c>
      <c r="C111" t="s">
        <v>16</v>
      </c>
      <c r="D111" t="s">
        <v>4465</v>
      </c>
      <c r="E111" t="s">
        <v>4442</v>
      </c>
      <c r="F111" t="s">
        <v>2739</v>
      </c>
      <c r="G111" s="2">
        <v>45361</v>
      </c>
      <c r="H111">
        <v>0</v>
      </c>
      <c r="I111">
        <v>0</v>
      </c>
      <c r="J111" s="1">
        <v>500</v>
      </c>
      <c r="K111" s="1">
        <v>500</v>
      </c>
    </row>
    <row r="112" spans="1:11" x14ac:dyDescent="0.25">
      <c r="A112" t="s">
        <v>2285</v>
      </c>
      <c r="B112" t="s">
        <v>2725</v>
      </c>
      <c r="C112" t="s">
        <v>16</v>
      </c>
      <c r="D112" t="s">
        <v>4465</v>
      </c>
      <c r="E112" t="s">
        <v>4429</v>
      </c>
      <c r="F112" t="s">
        <v>2739</v>
      </c>
      <c r="G112" s="2">
        <v>45362</v>
      </c>
      <c r="H112">
        <v>0</v>
      </c>
      <c r="I112">
        <v>0</v>
      </c>
      <c r="J112" s="1">
        <v>500</v>
      </c>
      <c r="K112" s="1">
        <v>500</v>
      </c>
    </row>
    <row r="113" spans="1:11" x14ac:dyDescent="0.25">
      <c r="A113" t="s">
        <v>2289</v>
      </c>
      <c r="B113" t="s">
        <v>2722</v>
      </c>
      <c r="C113" t="s">
        <v>16</v>
      </c>
      <c r="D113" t="s">
        <v>4462</v>
      </c>
      <c r="E113" t="s">
        <v>4446</v>
      </c>
      <c r="F113" t="s">
        <v>2739</v>
      </c>
      <c r="G113" s="2">
        <v>45362</v>
      </c>
      <c r="H113">
        <v>0</v>
      </c>
      <c r="I113">
        <v>0</v>
      </c>
      <c r="J113" s="1">
        <v>500</v>
      </c>
      <c r="K113" s="1">
        <v>500</v>
      </c>
    </row>
    <row r="114" spans="1:11" x14ac:dyDescent="0.25">
      <c r="A114" t="s">
        <v>2281</v>
      </c>
      <c r="B114" t="s">
        <v>2718</v>
      </c>
      <c r="C114" t="s">
        <v>16</v>
      </c>
      <c r="D114" t="s">
        <v>4466</v>
      </c>
      <c r="E114" t="s">
        <v>4438</v>
      </c>
      <c r="F114" t="s">
        <v>2739</v>
      </c>
      <c r="G114" s="2">
        <v>45364</v>
      </c>
      <c r="H114">
        <v>0</v>
      </c>
      <c r="I114">
        <v>0</v>
      </c>
      <c r="J114" s="1">
        <v>500</v>
      </c>
      <c r="K114" s="1">
        <v>500</v>
      </c>
    </row>
    <row r="115" spans="1:11" x14ac:dyDescent="0.25">
      <c r="A115" t="s">
        <v>2278</v>
      </c>
      <c r="B115" t="s">
        <v>2728</v>
      </c>
      <c r="C115" t="s">
        <v>16</v>
      </c>
      <c r="D115" t="s">
        <v>4465</v>
      </c>
      <c r="E115" t="s">
        <v>4439</v>
      </c>
      <c r="F115" t="s">
        <v>2739</v>
      </c>
      <c r="G115" s="2">
        <v>45366</v>
      </c>
      <c r="H115">
        <v>0</v>
      </c>
      <c r="I115">
        <v>0</v>
      </c>
      <c r="J115" s="1">
        <v>500</v>
      </c>
      <c r="K115" s="1">
        <v>500</v>
      </c>
    </row>
    <row r="116" spans="1:11" x14ac:dyDescent="0.25">
      <c r="A116" t="s">
        <v>2253</v>
      </c>
      <c r="B116" t="s">
        <v>2723</v>
      </c>
      <c r="C116" t="s">
        <v>16</v>
      </c>
      <c r="D116" t="s">
        <v>4462</v>
      </c>
      <c r="E116" t="s">
        <v>4443</v>
      </c>
      <c r="F116" t="s">
        <v>2739</v>
      </c>
      <c r="G116" s="2">
        <v>45369</v>
      </c>
      <c r="H116">
        <v>0</v>
      </c>
      <c r="I116">
        <v>0</v>
      </c>
      <c r="J116" s="1">
        <v>500</v>
      </c>
      <c r="K116" s="1">
        <v>500</v>
      </c>
    </row>
    <row r="117" spans="1:11" x14ac:dyDescent="0.25">
      <c r="A117" t="s">
        <v>2254</v>
      </c>
      <c r="B117" t="s">
        <v>2706</v>
      </c>
      <c r="C117" t="s">
        <v>27</v>
      </c>
      <c r="D117" t="s">
        <v>4461</v>
      </c>
      <c r="E117" t="s">
        <v>4452</v>
      </c>
      <c r="F117" t="s">
        <v>2739</v>
      </c>
      <c r="G117" s="2">
        <v>45369</v>
      </c>
      <c r="H117">
        <v>0</v>
      </c>
      <c r="I117">
        <v>0</v>
      </c>
      <c r="J117" s="1">
        <v>500</v>
      </c>
      <c r="K117" s="1">
        <v>500</v>
      </c>
    </row>
    <row r="118" spans="1:11" x14ac:dyDescent="0.25">
      <c r="A118" t="s">
        <v>2263</v>
      </c>
      <c r="B118" t="s">
        <v>2726</v>
      </c>
      <c r="C118" t="s">
        <v>16</v>
      </c>
      <c r="D118" t="s">
        <v>4466</v>
      </c>
      <c r="E118" t="s">
        <v>4437</v>
      </c>
      <c r="F118" t="s">
        <v>2739</v>
      </c>
      <c r="G118" s="2">
        <v>45369</v>
      </c>
      <c r="H118">
        <v>0</v>
      </c>
      <c r="I118">
        <v>0</v>
      </c>
      <c r="J118" s="1">
        <v>500</v>
      </c>
      <c r="K118" s="1">
        <v>500</v>
      </c>
    </row>
    <row r="119" spans="1:11" x14ac:dyDescent="0.25">
      <c r="A119" t="s">
        <v>2242</v>
      </c>
      <c r="B119" t="s">
        <v>2733</v>
      </c>
      <c r="C119" t="s">
        <v>16</v>
      </c>
      <c r="D119" t="s">
        <v>4465</v>
      </c>
      <c r="E119" t="s">
        <v>4448</v>
      </c>
      <c r="F119" t="s">
        <v>2739</v>
      </c>
      <c r="G119" s="2">
        <v>45371</v>
      </c>
      <c r="H119">
        <v>0</v>
      </c>
      <c r="I119">
        <v>0</v>
      </c>
      <c r="J119" s="1">
        <v>500</v>
      </c>
      <c r="K119" s="1">
        <v>500</v>
      </c>
    </row>
    <row r="120" spans="1:11" x14ac:dyDescent="0.25">
      <c r="A120" t="s">
        <v>2250</v>
      </c>
      <c r="B120" t="s">
        <v>2715</v>
      </c>
      <c r="C120" t="s">
        <v>16</v>
      </c>
      <c r="D120" t="s">
        <v>4462</v>
      </c>
      <c r="E120" t="s">
        <v>4454</v>
      </c>
      <c r="F120" t="s">
        <v>2739</v>
      </c>
      <c r="G120" s="2">
        <v>45371</v>
      </c>
      <c r="H120">
        <v>0</v>
      </c>
      <c r="I120">
        <v>0</v>
      </c>
      <c r="J120" s="1">
        <v>500</v>
      </c>
      <c r="K120" s="1">
        <v>500</v>
      </c>
    </row>
    <row r="121" spans="1:11" x14ac:dyDescent="0.25">
      <c r="A121" t="s">
        <v>2230</v>
      </c>
      <c r="B121" t="s">
        <v>2727</v>
      </c>
      <c r="C121" t="s">
        <v>16</v>
      </c>
      <c r="D121" t="s">
        <v>4465</v>
      </c>
      <c r="E121" t="s">
        <v>4445</v>
      </c>
      <c r="F121" t="s">
        <v>2739</v>
      </c>
      <c r="G121" s="2">
        <v>45372</v>
      </c>
      <c r="H121">
        <v>0</v>
      </c>
      <c r="I121">
        <v>0</v>
      </c>
      <c r="J121" s="1">
        <v>500</v>
      </c>
      <c r="K121" s="1">
        <v>500</v>
      </c>
    </row>
    <row r="122" spans="1:11" x14ac:dyDescent="0.25">
      <c r="A122" t="s">
        <v>2227</v>
      </c>
      <c r="B122" t="s">
        <v>2737</v>
      </c>
      <c r="C122" t="s">
        <v>16</v>
      </c>
      <c r="D122" t="s">
        <v>4466</v>
      </c>
      <c r="E122" t="s">
        <v>4432</v>
      </c>
      <c r="F122" t="s">
        <v>2739</v>
      </c>
      <c r="G122" s="2">
        <v>45373</v>
      </c>
      <c r="H122">
        <v>0</v>
      </c>
      <c r="I122">
        <v>0</v>
      </c>
      <c r="J122" s="1">
        <v>500</v>
      </c>
      <c r="K122" s="1">
        <v>500</v>
      </c>
    </row>
    <row r="123" spans="1:11" x14ac:dyDescent="0.25">
      <c r="A123" t="s">
        <v>2215</v>
      </c>
      <c r="B123" t="s">
        <v>2735</v>
      </c>
      <c r="C123" t="s">
        <v>16</v>
      </c>
      <c r="D123" t="s">
        <v>4462</v>
      </c>
      <c r="E123" t="s">
        <v>4426</v>
      </c>
      <c r="F123" t="s">
        <v>2739</v>
      </c>
      <c r="G123" s="2">
        <v>45375</v>
      </c>
      <c r="H123">
        <v>0</v>
      </c>
      <c r="I123">
        <v>0</v>
      </c>
      <c r="J123" s="1">
        <v>500</v>
      </c>
      <c r="K123" s="1">
        <v>500</v>
      </c>
    </row>
    <row r="124" spans="1:11" x14ac:dyDescent="0.25">
      <c r="A124" t="s">
        <v>2202</v>
      </c>
      <c r="B124" t="s">
        <v>2730</v>
      </c>
      <c r="C124" t="s">
        <v>42</v>
      </c>
      <c r="D124" t="s">
        <v>4467</v>
      </c>
      <c r="E124" t="s">
        <v>4441</v>
      </c>
      <c r="F124" t="s">
        <v>2739</v>
      </c>
      <c r="G124" s="2">
        <v>45376</v>
      </c>
      <c r="H124">
        <v>0</v>
      </c>
      <c r="I124">
        <v>0</v>
      </c>
      <c r="J124" s="1">
        <v>500</v>
      </c>
      <c r="K124" s="1">
        <v>500</v>
      </c>
    </row>
    <row r="125" spans="1:11" x14ac:dyDescent="0.25">
      <c r="A125" t="s">
        <v>2209</v>
      </c>
      <c r="B125" t="s">
        <v>2708</v>
      </c>
      <c r="C125" t="s">
        <v>16</v>
      </c>
      <c r="D125" t="s">
        <v>4466</v>
      </c>
      <c r="E125" t="s">
        <v>4457</v>
      </c>
      <c r="F125" t="s">
        <v>2739</v>
      </c>
      <c r="G125" s="2">
        <v>45376</v>
      </c>
      <c r="H125">
        <v>0</v>
      </c>
      <c r="I125">
        <v>0</v>
      </c>
      <c r="J125" s="1">
        <v>500</v>
      </c>
      <c r="K125" s="1">
        <v>500</v>
      </c>
    </row>
    <row r="126" spans="1:11" x14ac:dyDescent="0.25">
      <c r="A126" t="s">
        <v>2196</v>
      </c>
      <c r="B126" t="s">
        <v>2716</v>
      </c>
      <c r="C126" t="s">
        <v>16</v>
      </c>
      <c r="D126" t="s">
        <v>4462</v>
      </c>
      <c r="E126" t="s">
        <v>4458</v>
      </c>
      <c r="F126" t="s">
        <v>2739</v>
      </c>
      <c r="G126" s="2">
        <v>45377</v>
      </c>
      <c r="H126">
        <v>0</v>
      </c>
      <c r="I126">
        <v>0</v>
      </c>
      <c r="J126" s="1">
        <v>500</v>
      </c>
      <c r="K126" s="1">
        <v>500</v>
      </c>
    </row>
    <row r="127" spans="1:11" x14ac:dyDescent="0.25">
      <c r="A127" t="s">
        <v>2187</v>
      </c>
      <c r="B127" t="s">
        <v>2709</v>
      </c>
      <c r="C127" t="s">
        <v>42</v>
      </c>
      <c r="D127" t="s">
        <v>4467</v>
      </c>
      <c r="E127" t="s">
        <v>4456</v>
      </c>
      <c r="F127" t="s">
        <v>2739</v>
      </c>
      <c r="G127" s="2">
        <v>45379</v>
      </c>
      <c r="H127">
        <v>0</v>
      </c>
      <c r="I127">
        <v>0</v>
      </c>
      <c r="J127" s="1">
        <v>500</v>
      </c>
      <c r="K127" s="1">
        <v>500</v>
      </c>
    </row>
    <row r="128" spans="1:11" x14ac:dyDescent="0.25">
      <c r="A128" t="s">
        <v>2193</v>
      </c>
      <c r="B128" t="s">
        <v>2717</v>
      </c>
      <c r="C128" t="s">
        <v>16</v>
      </c>
      <c r="D128" t="s">
        <v>4466</v>
      </c>
      <c r="E128" t="s">
        <v>4431</v>
      </c>
      <c r="F128" t="s">
        <v>2739</v>
      </c>
      <c r="G128" s="2">
        <v>45379</v>
      </c>
      <c r="H128">
        <v>0</v>
      </c>
      <c r="I128">
        <v>0</v>
      </c>
      <c r="J128" s="1">
        <v>500</v>
      </c>
      <c r="K128" s="1">
        <v>500</v>
      </c>
    </row>
    <row r="129" spans="1:11" x14ac:dyDescent="0.25">
      <c r="A129" t="s">
        <v>2181</v>
      </c>
      <c r="B129" t="s">
        <v>2721</v>
      </c>
      <c r="C129" t="s">
        <v>16</v>
      </c>
      <c r="D129" t="s">
        <v>4466</v>
      </c>
      <c r="E129" t="s">
        <v>4438</v>
      </c>
      <c r="F129" t="s">
        <v>2739</v>
      </c>
      <c r="G129" s="2">
        <v>45381</v>
      </c>
      <c r="H129">
        <v>0</v>
      </c>
      <c r="I129">
        <v>0</v>
      </c>
      <c r="J129" s="1">
        <v>500</v>
      </c>
      <c r="K129" s="1">
        <v>500</v>
      </c>
    </row>
    <row r="130" spans="1:11" x14ac:dyDescent="0.25">
      <c r="A130" t="s">
        <v>2162</v>
      </c>
      <c r="B130" t="s">
        <v>2719</v>
      </c>
      <c r="C130" t="s">
        <v>16</v>
      </c>
      <c r="D130" t="s">
        <v>4466</v>
      </c>
      <c r="E130" t="s">
        <v>4430</v>
      </c>
      <c r="F130" t="s">
        <v>2739</v>
      </c>
      <c r="G130" s="2">
        <v>45383</v>
      </c>
      <c r="H130">
        <v>0</v>
      </c>
      <c r="I130">
        <v>0</v>
      </c>
      <c r="J130" s="1">
        <v>500</v>
      </c>
      <c r="K130" s="1">
        <v>500</v>
      </c>
    </row>
    <row r="131" spans="1:11" x14ac:dyDescent="0.25">
      <c r="A131" t="s">
        <v>2164</v>
      </c>
      <c r="B131" t="s">
        <v>2732</v>
      </c>
      <c r="C131" t="s">
        <v>16</v>
      </c>
      <c r="D131" t="s">
        <v>4461</v>
      </c>
      <c r="E131" t="s">
        <v>4444</v>
      </c>
      <c r="F131" t="s">
        <v>2739</v>
      </c>
      <c r="G131" s="2">
        <v>45383</v>
      </c>
      <c r="H131">
        <v>0</v>
      </c>
      <c r="I131">
        <v>0</v>
      </c>
      <c r="J131" s="1">
        <v>500</v>
      </c>
      <c r="K131" s="1">
        <v>500</v>
      </c>
    </row>
    <row r="132" spans="1:11" x14ac:dyDescent="0.25">
      <c r="A132" t="s">
        <v>2166</v>
      </c>
      <c r="B132" t="s">
        <v>2729</v>
      </c>
      <c r="C132" t="s">
        <v>16</v>
      </c>
      <c r="D132" t="s">
        <v>4465</v>
      </c>
      <c r="E132" t="s">
        <v>4427</v>
      </c>
      <c r="F132" t="s">
        <v>2739</v>
      </c>
      <c r="G132" s="2">
        <v>45383</v>
      </c>
      <c r="H132">
        <v>0</v>
      </c>
      <c r="I132">
        <v>0</v>
      </c>
      <c r="J132" s="1">
        <v>500</v>
      </c>
      <c r="K132" s="1">
        <v>500</v>
      </c>
    </row>
    <row r="133" spans="1:11" x14ac:dyDescent="0.25">
      <c r="A133" t="s">
        <v>2168</v>
      </c>
      <c r="B133" t="s">
        <v>2713</v>
      </c>
      <c r="C133" t="s">
        <v>16</v>
      </c>
      <c r="D133" t="s">
        <v>4465</v>
      </c>
      <c r="E133" t="s">
        <v>4428</v>
      </c>
      <c r="F133" t="s">
        <v>2739</v>
      </c>
      <c r="G133" s="2">
        <v>45383</v>
      </c>
      <c r="H133">
        <v>0</v>
      </c>
      <c r="I133">
        <v>0</v>
      </c>
      <c r="J133" s="1">
        <v>500</v>
      </c>
      <c r="K133" s="1">
        <v>500</v>
      </c>
    </row>
    <row r="134" spans="1:11" x14ac:dyDescent="0.25">
      <c r="A134" t="s">
        <v>2157</v>
      </c>
      <c r="B134" t="s">
        <v>2707</v>
      </c>
      <c r="C134" t="s">
        <v>16</v>
      </c>
      <c r="D134" t="s">
        <v>4462</v>
      </c>
      <c r="E134" t="s">
        <v>4433</v>
      </c>
      <c r="F134" t="s">
        <v>2739</v>
      </c>
      <c r="G134" s="2">
        <v>45384</v>
      </c>
      <c r="H134">
        <v>0</v>
      </c>
      <c r="I134">
        <v>0</v>
      </c>
      <c r="J134" s="1">
        <v>500</v>
      </c>
      <c r="K134" s="1">
        <v>500</v>
      </c>
    </row>
    <row r="135" spans="1:11" x14ac:dyDescent="0.25">
      <c r="A135" t="s">
        <v>2160</v>
      </c>
      <c r="B135" t="s">
        <v>2712</v>
      </c>
      <c r="C135" t="s">
        <v>16</v>
      </c>
      <c r="D135" t="s">
        <v>4461</v>
      </c>
      <c r="E135" t="s">
        <v>4449</v>
      </c>
      <c r="F135" t="s">
        <v>2739</v>
      </c>
      <c r="G135" s="2">
        <v>45384</v>
      </c>
      <c r="H135">
        <v>0</v>
      </c>
      <c r="I135">
        <v>0</v>
      </c>
      <c r="J135" s="1">
        <v>500</v>
      </c>
      <c r="K135" s="1">
        <v>500</v>
      </c>
    </row>
    <row r="136" spans="1:11" x14ac:dyDescent="0.25">
      <c r="A136" t="s">
        <v>2161</v>
      </c>
      <c r="B136" t="s">
        <v>2717</v>
      </c>
      <c r="C136" t="s">
        <v>16</v>
      </c>
      <c r="D136" t="s">
        <v>4466</v>
      </c>
      <c r="E136" t="s">
        <v>4431</v>
      </c>
      <c r="F136" t="s">
        <v>2739</v>
      </c>
      <c r="G136" s="2">
        <v>45384</v>
      </c>
      <c r="H136">
        <v>0</v>
      </c>
      <c r="I136">
        <v>0</v>
      </c>
      <c r="J136" s="1">
        <v>500</v>
      </c>
      <c r="K136" s="1">
        <v>500</v>
      </c>
    </row>
    <row r="137" spans="1:11" x14ac:dyDescent="0.25">
      <c r="A137" t="s">
        <v>2145</v>
      </c>
      <c r="B137" t="s">
        <v>2705</v>
      </c>
      <c r="C137" t="s">
        <v>42</v>
      </c>
      <c r="D137" t="s">
        <v>4467</v>
      </c>
      <c r="E137" t="s">
        <v>4435</v>
      </c>
      <c r="F137" t="s">
        <v>2739</v>
      </c>
      <c r="G137" s="2">
        <v>45385</v>
      </c>
      <c r="H137">
        <v>0</v>
      </c>
      <c r="I137">
        <v>0</v>
      </c>
      <c r="J137" s="1">
        <v>500</v>
      </c>
      <c r="K137" s="1">
        <v>500</v>
      </c>
    </row>
    <row r="138" spans="1:11" x14ac:dyDescent="0.25">
      <c r="A138" t="s">
        <v>2147</v>
      </c>
      <c r="B138" t="s">
        <v>136</v>
      </c>
      <c r="C138" t="s">
        <v>35</v>
      </c>
      <c r="D138" t="s">
        <v>4462</v>
      </c>
      <c r="E138" t="s">
        <v>3304</v>
      </c>
      <c r="F138" t="s">
        <v>2739</v>
      </c>
      <c r="G138" s="2">
        <v>45385</v>
      </c>
      <c r="H138">
        <v>0</v>
      </c>
      <c r="I138">
        <v>0</v>
      </c>
      <c r="J138" s="1">
        <v>500</v>
      </c>
      <c r="K138" s="1">
        <v>500</v>
      </c>
    </row>
    <row r="139" spans="1:11" x14ac:dyDescent="0.25">
      <c r="A139" t="s">
        <v>2149</v>
      </c>
      <c r="B139" t="s">
        <v>93</v>
      </c>
      <c r="C139" t="s">
        <v>35</v>
      </c>
      <c r="D139" t="s">
        <v>4465</v>
      </c>
      <c r="E139" t="s">
        <v>3304</v>
      </c>
      <c r="F139" t="s">
        <v>2739</v>
      </c>
      <c r="G139" s="2">
        <v>45385</v>
      </c>
      <c r="H139">
        <v>0</v>
      </c>
      <c r="I139">
        <v>0</v>
      </c>
      <c r="J139" s="1">
        <v>500</v>
      </c>
      <c r="K139" s="1">
        <v>500</v>
      </c>
    </row>
    <row r="140" spans="1:11" x14ac:dyDescent="0.25">
      <c r="A140" t="s">
        <v>2151</v>
      </c>
      <c r="B140" t="s">
        <v>4463</v>
      </c>
      <c r="C140" t="s">
        <v>35</v>
      </c>
      <c r="D140" t="s">
        <v>4464</v>
      </c>
      <c r="E140" t="s">
        <v>3304</v>
      </c>
      <c r="F140" t="s">
        <v>2739</v>
      </c>
      <c r="G140" s="2">
        <v>45385</v>
      </c>
      <c r="H140">
        <v>0</v>
      </c>
      <c r="I140">
        <v>0</v>
      </c>
      <c r="J140" s="1">
        <v>500</v>
      </c>
      <c r="K140" s="1">
        <v>500</v>
      </c>
    </row>
    <row r="141" spans="1:11" x14ac:dyDescent="0.25">
      <c r="A141" t="s">
        <v>2153</v>
      </c>
      <c r="B141" t="s">
        <v>2731</v>
      </c>
      <c r="C141" t="s">
        <v>16</v>
      </c>
      <c r="D141" t="s">
        <v>4465</v>
      </c>
      <c r="E141" t="s">
        <v>4460</v>
      </c>
      <c r="F141" t="s">
        <v>2739</v>
      </c>
      <c r="G141" s="2">
        <v>45385</v>
      </c>
      <c r="H141">
        <v>0</v>
      </c>
      <c r="I141">
        <v>0</v>
      </c>
      <c r="J141" s="1">
        <v>500</v>
      </c>
      <c r="K141" s="1">
        <v>500</v>
      </c>
    </row>
    <row r="142" spans="1:11" x14ac:dyDescent="0.25">
      <c r="A142" t="s">
        <v>2156</v>
      </c>
      <c r="B142" t="s">
        <v>2723</v>
      </c>
      <c r="C142" t="s">
        <v>16</v>
      </c>
      <c r="D142" t="s">
        <v>4462</v>
      </c>
      <c r="E142" t="s">
        <v>4443</v>
      </c>
      <c r="F142" t="s">
        <v>2739</v>
      </c>
      <c r="G142" s="2">
        <v>45385</v>
      </c>
      <c r="H142">
        <v>0</v>
      </c>
      <c r="I142">
        <v>0</v>
      </c>
      <c r="J142" s="1">
        <v>500</v>
      </c>
      <c r="K142" s="1">
        <v>500</v>
      </c>
    </row>
    <row r="143" spans="1:11" x14ac:dyDescent="0.25">
      <c r="A143" t="s">
        <v>2155</v>
      </c>
      <c r="B143" t="s">
        <v>2731</v>
      </c>
      <c r="C143" t="s">
        <v>16</v>
      </c>
      <c r="D143" t="s">
        <v>4465</v>
      </c>
      <c r="E143" t="s">
        <v>4460</v>
      </c>
      <c r="F143" t="s">
        <v>2739</v>
      </c>
      <c r="G143" s="2">
        <v>45385</v>
      </c>
      <c r="H143">
        <v>0</v>
      </c>
      <c r="I143">
        <v>0</v>
      </c>
      <c r="J143" s="1">
        <v>500</v>
      </c>
      <c r="K143" s="1">
        <v>500</v>
      </c>
    </row>
    <row r="144" spans="1:11" x14ac:dyDescent="0.25">
      <c r="A144" t="s">
        <v>2155</v>
      </c>
      <c r="B144" t="s">
        <v>2731</v>
      </c>
      <c r="C144" t="s">
        <v>16</v>
      </c>
      <c r="D144" t="s">
        <v>4465</v>
      </c>
      <c r="E144" t="s">
        <v>4460</v>
      </c>
      <c r="F144" t="s">
        <v>2739</v>
      </c>
      <c r="G144" s="2">
        <v>45385</v>
      </c>
      <c r="H144">
        <v>0</v>
      </c>
      <c r="I144">
        <v>0</v>
      </c>
      <c r="J144" s="1">
        <v>500</v>
      </c>
      <c r="K144" s="1">
        <v>500</v>
      </c>
    </row>
    <row r="145" spans="1:11" x14ac:dyDescent="0.25">
      <c r="A145" t="s">
        <v>2155</v>
      </c>
      <c r="B145" t="s">
        <v>2731</v>
      </c>
      <c r="C145" t="s">
        <v>16</v>
      </c>
      <c r="D145" t="s">
        <v>4465</v>
      </c>
      <c r="E145" t="s">
        <v>4460</v>
      </c>
      <c r="F145" t="s">
        <v>2739</v>
      </c>
      <c r="G145" s="2">
        <v>45385</v>
      </c>
      <c r="H145">
        <v>0</v>
      </c>
      <c r="I145">
        <v>0</v>
      </c>
      <c r="J145" s="1">
        <v>500</v>
      </c>
      <c r="K145" s="1">
        <v>500</v>
      </c>
    </row>
    <row r="146" spans="1:11" x14ac:dyDescent="0.25">
      <c r="A146" t="s">
        <v>2134</v>
      </c>
      <c r="B146" t="s">
        <v>2733</v>
      </c>
      <c r="C146" t="s">
        <v>16</v>
      </c>
      <c r="D146" t="s">
        <v>4465</v>
      </c>
      <c r="E146" t="s">
        <v>4448</v>
      </c>
      <c r="F146" t="s">
        <v>2739</v>
      </c>
      <c r="G146" s="2">
        <v>45386</v>
      </c>
      <c r="H146">
        <v>0</v>
      </c>
      <c r="I146">
        <v>0</v>
      </c>
      <c r="J146" s="1">
        <v>500</v>
      </c>
      <c r="K146" s="1">
        <v>500</v>
      </c>
    </row>
    <row r="147" spans="1:11" x14ac:dyDescent="0.25">
      <c r="A147" t="s">
        <v>2140</v>
      </c>
      <c r="B147" t="s">
        <v>2699</v>
      </c>
      <c r="C147" t="s">
        <v>16</v>
      </c>
      <c r="D147" t="s">
        <v>4462</v>
      </c>
      <c r="E147" t="s">
        <v>4440</v>
      </c>
      <c r="F147" t="s">
        <v>2739</v>
      </c>
      <c r="G147" s="2">
        <v>45386</v>
      </c>
      <c r="H147">
        <v>0</v>
      </c>
      <c r="I147">
        <v>0</v>
      </c>
      <c r="J147" s="1">
        <v>500</v>
      </c>
      <c r="K147" s="1">
        <v>500</v>
      </c>
    </row>
    <row r="148" spans="1:11" x14ac:dyDescent="0.25">
      <c r="A148" t="s">
        <v>2144</v>
      </c>
      <c r="B148" t="s">
        <v>2722</v>
      </c>
      <c r="C148" t="s">
        <v>16</v>
      </c>
      <c r="D148" t="s">
        <v>4462</v>
      </c>
      <c r="E148" t="s">
        <v>4446</v>
      </c>
      <c r="F148" t="s">
        <v>2739</v>
      </c>
      <c r="G148" s="2">
        <v>45386</v>
      </c>
      <c r="H148">
        <v>0</v>
      </c>
      <c r="I148">
        <v>0</v>
      </c>
      <c r="J148" s="1">
        <v>500</v>
      </c>
      <c r="K148" s="1">
        <v>500</v>
      </c>
    </row>
    <row r="149" spans="1:11" x14ac:dyDescent="0.25">
      <c r="A149" t="s">
        <v>2132</v>
      </c>
      <c r="B149" t="s">
        <v>2736</v>
      </c>
      <c r="C149" t="s">
        <v>16</v>
      </c>
      <c r="D149" t="s">
        <v>4461</v>
      </c>
      <c r="E149" t="s">
        <v>4459</v>
      </c>
      <c r="F149" t="s">
        <v>2739</v>
      </c>
      <c r="G149" s="2">
        <v>45387</v>
      </c>
      <c r="H149">
        <v>0</v>
      </c>
      <c r="I149">
        <v>0</v>
      </c>
      <c r="J149" s="1">
        <v>500</v>
      </c>
      <c r="K149" s="1">
        <v>500</v>
      </c>
    </row>
    <row r="150" spans="1:11" x14ac:dyDescent="0.25">
      <c r="A150" t="s">
        <v>2118</v>
      </c>
      <c r="B150" t="s">
        <v>2701</v>
      </c>
      <c r="C150" t="s">
        <v>16</v>
      </c>
      <c r="D150" t="s">
        <v>4466</v>
      </c>
      <c r="E150" t="s">
        <v>4453</v>
      </c>
      <c r="F150" t="s">
        <v>2739</v>
      </c>
      <c r="G150" s="2">
        <v>45388</v>
      </c>
      <c r="H150">
        <v>0</v>
      </c>
      <c r="I150">
        <v>0</v>
      </c>
      <c r="J150" s="1">
        <v>500</v>
      </c>
      <c r="K150" s="1">
        <v>500</v>
      </c>
    </row>
    <row r="151" spans="1:11" x14ac:dyDescent="0.25">
      <c r="A151" t="s">
        <v>2120</v>
      </c>
      <c r="B151" t="s">
        <v>2724</v>
      </c>
      <c r="C151" t="s">
        <v>16</v>
      </c>
      <c r="D151" t="s">
        <v>4462</v>
      </c>
      <c r="E151" t="s">
        <v>4451</v>
      </c>
      <c r="F151" t="s">
        <v>2739</v>
      </c>
      <c r="G151" s="2">
        <v>45388</v>
      </c>
      <c r="H151">
        <v>0</v>
      </c>
      <c r="I151">
        <v>0</v>
      </c>
      <c r="J151" s="1">
        <v>500</v>
      </c>
      <c r="K151" s="1">
        <v>500</v>
      </c>
    </row>
    <row r="152" spans="1:11" x14ac:dyDescent="0.25">
      <c r="A152" t="s">
        <v>2122</v>
      </c>
      <c r="B152" t="s">
        <v>2702</v>
      </c>
      <c r="C152" t="s">
        <v>35</v>
      </c>
      <c r="D152" t="s">
        <v>3305</v>
      </c>
      <c r="E152" t="s">
        <v>3304</v>
      </c>
      <c r="F152" t="s">
        <v>2739</v>
      </c>
      <c r="G152" s="2">
        <v>45388</v>
      </c>
      <c r="H152">
        <v>0</v>
      </c>
      <c r="I152">
        <v>0</v>
      </c>
      <c r="J152" s="1">
        <v>500</v>
      </c>
      <c r="K152" s="1">
        <v>500</v>
      </c>
    </row>
    <row r="153" spans="1:11" x14ac:dyDescent="0.25">
      <c r="A153" t="s">
        <v>2124</v>
      </c>
      <c r="B153" t="s">
        <v>66</v>
      </c>
      <c r="C153" t="s">
        <v>35</v>
      </c>
      <c r="D153" t="s">
        <v>4466</v>
      </c>
      <c r="E153" t="s">
        <v>3304</v>
      </c>
      <c r="F153" t="s">
        <v>2739</v>
      </c>
      <c r="G153" s="2">
        <v>45388</v>
      </c>
      <c r="H153">
        <v>0</v>
      </c>
      <c r="I153">
        <v>0</v>
      </c>
      <c r="J153" s="1">
        <v>500</v>
      </c>
      <c r="K153" s="1">
        <v>500</v>
      </c>
    </row>
    <row r="154" spans="1:11" x14ac:dyDescent="0.25">
      <c r="A154" t="s">
        <v>2128</v>
      </c>
      <c r="B154" t="s">
        <v>4471</v>
      </c>
      <c r="C154" t="s">
        <v>35</v>
      </c>
      <c r="D154" t="s">
        <v>4470</v>
      </c>
      <c r="E154" t="s">
        <v>35</v>
      </c>
      <c r="F154" t="s">
        <v>2739</v>
      </c>
      <c r="G154" s="2">
        <v>45388</v>
      </c>
      <c r="H154">
        <v>0</v>
      </c>
      <c r="I154">
        <v>0</v>
      </c>
      <c r="J154" s="1">
        <v>500</v>
      </c>
      <c r="K154" s="1">
        <v>500</v>
      </c>
    </row>
    <row r="155" spans="1:11" x14ac:dyDescent="0.25">
      <c r="A155" t="s">
        <v>2110</v>
      </c>
      <c r="B155" t="s">
        <v>2700</v>
      </c>
      <c r="C155" t="s">
        <v>27</v>
      </c>
      <c r="D155" t="s">
        <v>4466</v>
      </c>
      <c r="E155" t="s">
        <v>4450</v>
      </c>
      <c r="F155" t="s">
        <v>2739</v>
      </c>
      <c r="G155" s="2">
        <v>45389</v>
      </c>
      <c r="H155">
        <v>0</v>
      </c>
      <c r="I155">
        <v>0</v>
      </c>
      <c r="J155" s="1">
        <v>500</v>
      </c>
      <c r="K155" s="1">
        <v>500</v>
      </c>
    </row>
    <row r="156" spans="1:11" x14ac:dyDescent="0.25">
      <c r="A156" t="s">
        <v>2108</v>
      </c>
      <c r="B156" t="s">
        <v>2726</v>
      </c>
      <c r="C156" t="s">
        <v>16</v>
      </c>
      <c r="D156" t="s">
        <v>4466</v>
      </c>
      <c r="E156" t="s">
        <v>4437</v>
      </c>
      <c r="F156" t="s">
        <v>2739</v>
      </c>
      <c r="G156" s="2">
        <v>45390</v>
      </c>
      <c r="H156">
        <v>0</v>
      </c>
      <c r="I156">
        <v>0</v>
      </c>
      <c r="J156" s="1">
        <v>500</v>
      </c>
      <c r="K156" s="1">
        <v>500</v>
      </c>
    </row>
    <row r="157" spans="1:11" x14ac:dyDescent="0.25">
      <c r="A157" t="s">
        <v>2101</v>
      </c>
      <c r="B157" t="s">
        <v>2718</v>
      </c>
      <c r="C157" t="s">
        <v>16</v>
      </c>
      <c r="D157" t="s">
        <v>4466</v>
      </c>
      <c r="E157" t="s">
        <v>4438</v>
      </c>
      <c r="F157" t="s">
        <v>2739</v>
      </c>
      <c r="G157" s="2">
        <v>45391</v>
      </c>
      <c r="H157">
        <v>0</v>
      </c>
      <c r="I157">
        <v>0</v>
      </c>
      <c r="J157" s="1">
        <v>500</v>
      </c>
      <c r="K157" s="1">
        <v>500</v>
      </c>
    </row>
    <row r="158" spans="1:11" x14ac:dyDescent="0.25">
      <c r="A158" t="s">
        <v>2093</v>
      </c>
      <c r="B158" t="s">
        <v>2714</v>
      </c>
      <c r="C158" t="s">
        <v>16</v>
      </c>
      <c r="D158" t="s">
        <v>4466</v>
      </c>
      <c r="E158" t="s">
        <v>4434</v>
      </c>
      <c r="F158" t="s">
        <v>2739</v>
      </c>
      <c r="G158" s="2">
        <v>45393</v>
      </c>
      <c r="H158">
        <v>0</v>
      </c>
      <c r="I158">
        <v>0</v>
      </c>
      <c r="J158" s="1">
        <v>500</v>
      </c>
      <c r="K158" s="1">
        <v>500</v>
      </c>
    </row>
    <row r="159" spans="1:11" x14ac:dyDescent="0.25">
      <c r="A159" t="s">
        <v>2086</v>
      </c>
      <c r="B159" t="s">
        <v>2725</v>
      </c>
      <c r="C159" t="s">
        <v>16</v>
      </c>
      <c r="D159" t="s">
        <v>4465</v>
      </c>
      <c r="E159" t="s">
        <v>4429</v>
      </c>
      <c r="F159" t="s">
        <v>2739</v>
      </c>
      <c r="G159" s="2">
        <v>45394</v>
      </c>
      <c r="H159">
        <v>0</v>
      </c>
      <c r="I159">
        <v>0</v>
      </c>
      <c r="J159" s="1">
        <v>500</v>
      </c>
      <c r="K159" s="1">
        <v>500</v>
      </c>
    </row>
    <row r="160" spans="1:11" x14ac:dyDescent="0.25">
      <c r="A160" t="s">
        <v>2090</v>
      </c>
      <c r="B160" t="s">
        <v>2710</v>
      </c>
      <c r="C160" t="s">
        <v>42</v>
      </c>
      <c r="D160" t="s">
        <v>4467</v>
      </c>
      <c r="E160" t="s">
        <v>4436</v>
      </c>
      <c r="F160" t="s">
        <v>2739</v>
      </c>
      <c r="G160" s="2">
        <v>45394</v>
      </c>
      <c r="H160">
        <v>0</v>
      </c>
      <c r="I160">
        <v>0</v>
      </c>
      <c r="J160" s="1">
        <v>500</v>
      </c>
      <c r="K160" s="1">
        <v>500</v>
      </c>
    </row>
    <row r="161" spans="1:11" x14ac:dyDescent="0.25">
      <c r="A161" t="s">
        <v>2091</v>
      </c>
      <c r="B161" t="s">
        <v>2698</v>
      </c>
      <c r="C161" t="s">
        <v>16</v>
      </c>
      <c r="D161" t="s">
        <v>4465</v>
      </c>
      <c r="E161" t="s">
        <v>4442</v>
      </c>
      <c r="F161" t="s">
        <v>2739</v>
      </c>
      <c r="G161" s="2">
        <v>45394</v>
      </c>
      <c r="H161">
        <v>0</v>
      </c>
      <c r="I161">
        <v>0</v>
      </c>
      <c r="J161" s="1">
        <v>500</v>
      </c>
      <c r="K161" s="1">
        <v>500</v>
      </c>
    </row>
    <row r="162" spans="1:11" x14ac:dyDescent="0.25">
      <c r="A162" t="s">
        <v>2050</v>
      </c>
      <c r="B162" t="s">
        <v>2727</v>
      </c>
      <c r="C162" t="s">
        <v>16</v>
      </c>
      <c r="D162" t="s">
        <v>4465</v>
      </c>
      <c r="E162" t="s">
        <v>4445</v>
      </c>
      <c r="F162" t="s">
        <v>2739</v>
      </c>
      <c r="G162" s="2">
        <v>45395</v>
      </c>
      <c r="H162">
        <v>0</v>
      </c>
      <c r="I162">
        <v>0</v>
      </c>
      <c r="J162" s="1">
        <v>500</v>
      </c>
      <c r="K162" s="1">
        <v>500</v>
      </c>
    </row>
    <row r="163" spans="1:11" x14ac:dyDescent="0.25">
      <c r="A163" t="s">
        <v>2060</v>
      </c>
      <c r="B163" t="s">
        <v>2735</v>
      </c>
      <c r="C163" t="s">
        <v>16</v>
      </c>
      <c r="D163" t="s">
        <v>4462</v>
      </c>
      <c r="E163" t="s">
        <v>4426</v>
      </c>
      <c r="F163" t="s">
        <v>2739</v>
      </c>
      <c r="G163" s="2">
        <v>45395</v>
      </c>
      <c r="H163">
        <v>0</v>
      </c>
      <c r="I163">
        <v>0</v>
      </c>
      <c r="J163" s="1">
        <v>500</v>
      </c>
      <c r="K163" s="1">
        <v>500</v>
      </c>
    </row>
    <row r="164" spans="1:11" x14ac:dyDescent="0.25">
      <c r="A164" t="s">
        <v>2066</v>
      </c>
      <c r="B164" t="s">
        <v>2709</v>
      </c>
      <c r="C164" t="s">
        <v>42</v>
      </c>
      <c r="D164" t="s">
        <v>4467</v>
      </c>
      <c r="E164" t="s">
        <v>4456</v>
      </c>
      <c r="F164" t="s">
        <v>2739</v>
      </c>
      <c r="G164" s="2">
        <v>45395</v>
      </c>
      <c r="H164">
        <v>0</v>
      </c>
      <c r="I164">
        <v>0</v>
      </c>
      <c r="J164" s="1">
        <v>500</v>
      </c>
      <c r="K164" s="1">
        <v>500</v>
      </c>
    </row>
    <row r="165" spans="1:11" x14ac:dyDescent="0.25">
      <c r="A165" t="s">
        <v>2068</v>
      </c>
      <c r="B165" t="s">
        <v>2721</v>
      </c>
      <c r="C165" t="s">
        <v>16</v>
      </c>
      <c r="D165" t="s">
        <v>4466</v>
      </c>
      <c r="E165" t="s">
        <v>4438</v>
      </c>
      <c r="F165" t="s">
        <v>2739</v>
      </c>
      <c r="G165" s="2">
        <v>45395</v>
      </c>
      <c r="H165">
        <v>0</v>
      </c>
      <c r="I165">
        <v>0</v>
      </c>
      <c r="J165" s="1">
        <v>500</v>
      </c>
      <c r="K165" s="1">
        <v>500</v>
      </c>
    </row>
    <row r="166" spans="1:11" x14ac:dyDescent="0.25">
      <c r="A166" t="s">
        <v>2078</v>
      </c>
      <c r="B166" t="s">
        <v>133</v>
      </c>
      <c r="C166" t="s">
        <v>35</v>
      </c>
      <c r="D166" t="s">
        <v>4461</v>
      </c>
      <c r="E166" t="s">
        <v>3304</v>
      </c>
      <c r="F166" t="s">
        <v>2739</v>
      </c>
      <c r="G166" s="2">
        <v>45395</v>
      </c>
      <c r="H166">
        <v>0</v>
      </c>
      <c r="I166">
        <v>0</v>
      </c>
      <c r="J166" s="1">
        <v>500</v>
      </c>
      <c r="K166" s="1">
        <v>500</v>
      </c>
    </row>
    <row r="167" spans="1:11" x14ac:dyDescent="0.25">
      <c r="A167" t="s">
        <v>2043</v>
      </c>
      <c r="B167" t="s">
        <v>2711</v>
      </c>
      <c r="C167" t="s">
        <v>16</v>
      </c>
      <c r="D167" t="s">
        <v>4461</v>
      </c>
      <c r="E167" t="s">
        <v>4447</v>
      </c>
      <c r="F167" t="s">
        <v>2739</v>
      </c>
      <c r="G167" s="2">
        <v>45397</v>
      </c>
      <c r="H167">
        <v>0</v>
      </c>
      <c r="I167">
        <v>0</v>
      </c>
      <c r="J167" s="1">
        <v>500</v>
      </c>
      <c r="K167" s="1">
        <v>500</v>
      </c>
    </row>
    <row r="168" spans="1:11" x14ac:dyDescent="0.25">
      <c r="A168" t="s">
        <v>2048</v>
      </c>
      <c r="B168" t="s">
        <v>2713</v>
      </c>
      <c r="C168" t="s">
        <v>16</v>
      </c>
      <c r="D168" t="s">
        <v>4465</v>
      </c>
      <c r="E168" t="s">
        <v>4428</v>
      </c>
      <c r="F168" t="s">
        <v>2739</v>
      </c>
      <c r="G168" s="2">
        <v>45397</v>
      </c>
      <c r="H168">
        <v>0</v>
      </c>
      <c r="I168">
        <v>0</v>
      </c>
      <c r="J168" s="1">
        <v>500</v>
      </c>
      <c r="K168" s="1">
        <v>500</v>
      </c>
    </row>
    <row r="169" spans="1:11" x14ac:dyDescent="0.25">
      <c r="A169" t="s">
        <v>2010</v>
      </c>
      <c r="B169" t="s">
        <v>2703</v>
      </c>
      <c r="C169" t="s">
        <v>35</v>
      </c>
      <c r="D169" t="s">
        <v>4404</v>
      </c>
      <c r="E169" t="s">
        <v>3275</v>
      </c>
      <c r="F169" t="s">
        <v>2739</v>
      </c>
      <c r="G169" s="2">
        <v>45401</v>
      </c>
      <c r="H169">
        <v>0</v>
      </c>
      <c r="I169">
        <v>0</v>
      </c>
      <c r="J169" s="1">
        <v>500</v>
      </c>
      <c r="K169" s="1">
        <v>500</v>
      </c>
    </row>
    <row r="170" spans="1:11" x14ac:dyDescent="0.25">
      <c r="A170" t="s">
        <v>2012</v>
      </c>
      <c r="B170" t="s">
        <v>2704</v>
      </c>
      <c r="C170" t="s">
        <v>35</v>
      </c>
      <c r="D170" t="s">
        <v>42</v>
      </c>
      <c r="E170" t="s">
        <v>3275</v>
      </c>
      <c r="F170" t="s">
        <v>2739</v>
      </c>
      <c r="G170" s="2">
        <v>45401</v>
      </c>
      <c r="H170">
        <v>0</v>
      </c>
      <c r="I170">
        <v>0</v>
      </c>
      <c r="J170" s="1">
        <v>500</v>
      </c>
      <c r="K170" s="1">
        <v>500</v>
      </c>
    </row>
    <row r="171" spans="1:11" x14ac:dyDescent="0.25">
      <c r="A171" t="s">
        <v>2010</v>
      </c>
      <c r="B171" t="s">
        <v>2703</v>
      </c>
      <c r="C171" t="s">
        <v>35</v>
      </c>
      <c r="D171" t="s">
        <v>4404</v>
      </c>
      <c r="E171" t="s">
        <v>3275</v>
      </c>
      <c r="F171" t="s">
        <v>2739</v>
      </c>
      <c r="G171" s="2">
        <v>45401</v>
      </c>
      <c r="H171">
        <v>0</v>
      </c>
      <c r="I171">
        <v>0</v>
      </c>
      <c r="J171" s="1">
        <v>500</v>
      </c>
      <c r="K171" s="1">
        <v>500</v>
      </c>
    </row>
    <row r="172" spans="1:11" x14ac:dyDescent="0.25">
      <c r="A172" t="s">
        <v>1992</v>
      </c>
      <c r="B172" t="s">
        <v>2737</v>
      </c>
      <c r="C172" t="s">
        <v>16</v>
      </c>
      <c r="D172" t="s">
        <v>4466</v>
      </c>
      <c r="E172" t="s">
        <v>4432</v>
      </c>
      <c r="F172" t="s">
        <v>2739</v>
      </c>
      <c r="G172" s="2">
        <v>45404</v>
      </c>
      <c r="H172">
        <v>0</v>
      </c>
      <c r="I172">
        <v>0</v>
      </c>
      <c r="J172" s="1">
        <v>500</v>
      </c>
      <c r="K172" s="1">
        <v>500</v>
      </c>
    </row>
    <row r="173" spans="1:11" x14ac:dyDescent="0.25">
      <c r="A173" t="s">
        <v>1967</v>
      </c>
      <c r="B173" t="s">
        <v>2708</v>
      </c>
      <c r="C173" t="s">
        <v>16</v>
      </c>
      <c r="D173" t="s">
        <v>4466</v>
      </c>
      <c r="E173" t="s">
        <v>4457</v>
      </c>
      <c r="F173" t="s">
        <v>2739</v>
      </c>
      <c r="G173" s="2">
        <v>45406</v>
      </c>
      <c r="H173">
        <v>0</v>
      </c>
      <c r="I173">
        <v>0</v>
      </c>
      <c r="J173" s="1">
        <v>500</v>
      </c>
      <c r="K173" s="1">
        <v>500</v>
      </c>
    </row>
    <row r="174" spans="1:11" x14ac:dyDescent="0.25">
      <c r="A174" t="s">
        <v>1963</v>
      </c>
      <c r="B174" t="s">
        <v>2716</v>
      </c>
      <c r="C174" t="s">
        <v>16</v>
      </c>
      <c r="D174" t="s">
        <v>4462</v>
      </c>
      <c r="E174" t="s">
        <v>4458</v>
      </c>
      <c r="F174" t="s">
        <v>2739</v>
      </c>
      <c r="G174" s="2">
        <v>45407</v>
      </c>
      <c r="H174">
        <v>0</v>
      </c>
      <c r="I174">
        <v>0</v>
      </c>
      <c r="J174" s="1">
        <v>500</v>
      </c>
      <c r="K174" s="1">
        <v>500</v>
      </c>
    </row>
    <row r="175" spans="1:11" x14ac:dyDescent="0.25">
      <c r="A175" t="s">
        <v>1954</v>
      </c>
      <c r="B175" t="s">
        <v>2730</v>
      </c>
      <c r="C175" t="s">
        <v>42</v>
      </c>
      <c r="D175" t="s">
        <v>4467</v>
      </c>
      <c r="E175" t="s">
        <v>4441</v>
      </c>
      <c r="F175" t="s">
        <v>2739</v>
      </c>
      <c r="G175" s="2">
        <v>45409</v>
      </c>
      <c r="H175">
        <v>0</v>
      </c>
      <c r="I175">
        <v>0</v>
      </c>
      <c r="J175" s="1">
        <v>500</v>
      </c>
      <c r="K175" s="1">
        <v>500</v>
      </c>
    </row>
    <row r="176" spans="1:11" x14ac:dyDescent="0.25">
      <c r="A176" t="s">
        <v>1902</v>
      </c>
      <c r="B176" t="s">
        <v>2705</v>
      </c>
      <c r="C176" t="s">
        <v>42</v>
      </c>
      <c r="D176" t="s">
        <v>4467</v>
      </c>
      <c r="E176" t="s">
        <v>4435</v>
      </c>
      <c r="F176" t="s">
        <v>2739</v>
      </c>
      <c r="G176" s="2">
        <v>45413</v>
      </c>
      <c r="H176">
        <v>0</v>
      </c>
      <c r="I176">
        <v>0</v>
      </c>
      <c r="J176" s="1">
        <v>500</v>
      </c>
      <c r="K176" s="1">
        <v>500</v>
      </c>
    </row>
    <row r="177" spans="1:11" x14ac:dyDescent="0.25">
      <c r="A177" t="s">
        <v>1904</v>
      </c>
      <c r="B177" t="s">
        <v>2733</v>
      </c>
      <c r="C177" t="s">
        <v>16</v>
      </c>
      <c r="D177" t="s">
        <v>4465</v>
      </c>
      <c r="E177" t="s">
        <v>4448</v>
      </c>
      <c r="F177" t="s">
        <v>2739</v>
      </c>
      <c r="G177" s="2">
        <v>45413</v>
      </c>
      <c r="H177">
        <v>0</v>
      </c>
      <c r="I177">
        <v>0</v>
      </c>
      <c r="J177" s="1">
        <v>500</v>
      </c>
      <c r="K177" s="1">
        <v>500</v>
      </c>
    </row>
    <row r="178" spans="1:11" x14ac:dyDescent="0.25">
      <c r="A178" t="s">
        <v>1905</v>
      </c>
      <c r="B178" t="s">
        <v>2729</v>
      </c>
      <c r="C178" t="s">
        <v>16</v>
      </c>
      <c r="D178" t="s">
        <v>4465</v>
      </c>
      <c r="E178" t="s">
        <v>4427</v>
      </c>
      <c r="F178" t="s">
        <v>2739</v>
      </c>
      <c r="G178" s="2">
        <v>45413</v>
      </c>
      <c r="H178">
        <v>0</v>
      </c>
      <c r="I178">
        <v>0</v>
      </c>
      <c r="J178" s="1">
        <v>500</v>
      </c>
      <c r="K178" s="1">
        <v>500</v>
      </c>
    </row>
    <row r="179" spans="1:11" x14ac:dyDescent="0.25">
      <c r="A179" t="s">
        <v>1906</v>
      </c>
      <c r="B179" t="s">
        <v>2728</v>
      </c>
      <c r="C179" t="s">
        <v>16</v>
      </c>
      <c r="D179" t="s">
        <v>4465</v>
      </c>
      <c r="E179" t="s">
        <v>4439</v>
      </c>
      <c r="F179" t="s">
        <v>2739</v>
      </c>
      <c r="G179" s="2">
        <v>45413</v>
      </c>
      <c r="H179">
        <v>0</v>
      </c>
      <c r="I179">
        <v>0</v>
      </c>
      <c r="J179" s="1">
        <v>500</v>
      </c>
      <c r="K179" s="1">
        <v>500</v>
      </c>
    </row>
    <row r="180" spans="1:11" x14ac:dyDescent="0.25">
      <c r="A180" t="s">
        <v>1907</v>
      </c>
      <c r="B180" t="s">
        <v>2707</v>
      </c>
      <c r="C180" t="s">
        <v>16</v>
      </c>
      <c r="D180" t="s">
        <v>4462</v>
      </c>
      <c r="E180" t="s">
        <v>4433</v>
      </c>
      <c r="F180" t="s">
        <v>2739</v>
      </c>
      <c r="G180" s="2">
        <v>45413</v>
      </c>
      <c r="H180">
        <v>0</v>
      </c>
      <c r="I180">
        <v>0</v>
      </c>
      <c r="J180" s="1">
        <v>500</v>
      </c>
      <c r="K180" s="1">
        <v>500</v>
      </c>
    </row>
    <row r="181" spans="1:11" x14ac:dyDescent="0.25">
      <c r="A181" t="s">
        <v>1906</v>
      </c>
      <c r="B181" t="s">
        <v>2728</v>
      </c>
      <c r="C181" t="s">
        <v>16</v>
      </c>
      <c r="D181" t="s">
        <v>4465</v>
      </c>
      <c r="E181" t="s">
        <v>4439</v>
      </c>
      <c r="F181" t="s">
        <v>2739</v>
      </c>
      <c r="G181" s="2">
        <v>45413</v>
      </c>
      <c r="H181">
        <v>0</v>
      </c>
      <c r="I181">
        <v>0</v>
      </c>
      <c r="J181" s="1">
        <v>500</v>
      </c>
      <c r="K181" s="1">
        <v>500</v>
      </c>
    </row>
    <row r="182" spans="1:11" x14ac:dyDescent="0.25">
      <c r="A182" t="s">
        <v>1895</v>
      </c>
      <c r="B182" t="s">
        <v>2712</v>
      </c>
      <c r="C182" t="s">
        <v>16</v>
      </c>
      <c r="D182" t="s">
        <v>4461</v>
      </c>
      <c r="E182" t="s">
        <v>4449</v>
      </c>
      <c r="F182" t="s">
        <v>2739</v>
      </c>
      <c r="G182" s="2">
        <v>45414</v>
      </c>
      <c r="H182">
        <v>0</v>
      </c>
      <c r="I182">
        <v>0</v>
      </c>
      <c r="J182" s="1">
        <v>500</v>
      </c>
      <c r="K182" s="1">
        <v>500</v>
      </c>
    </row>
    <row r="183" spans="1:11" x14ac:dyDescent="0.25">
      <c r="A183" t="s">
        <v>1898</v>
      </c>
      <c r="B183" t="s">
        <v>2734</v>
      </c>
      <c r="C183" t="s">
        <v>16</v>
      </c>
      <c r="D183" t="s">
        <v>4461</v>
      </c>
      <c r="E183" t="s">
        <v>4455</v>
      </c>
      <c r="F183" t="s">
        <v>2739</v>
      </c>
      <c r="G183" s="2">
        <v>45414</v>
      </c>
      <c r="H183">
        <v>0</v>
      </c>
      <c r="I183">
        <v>0</v>
      </c>
      <c r="J183" s="1">
        <v>500</v>
      </c>
      <c r="K183" s="1">
        <v>500</v>
      </c>
    </row>
    <row r="184" spans="1:11" x14ac:dyDescent="0.25">
      <c r="A184" t="s">
        <v>1899</v>
      </c>
      <c r="B184" t="s">
        <v>2723</v>
      </c>
      <c r="C184" t="s">
        <v>16</v>
      </c>
      <c r="D184" t="s">
        <v>4462</v>
      </c>
      <c r="E184" t="s">
        <v>4443</v>
      </c>
      <c r="F184" t="s">
        <v>2739</v>
      </c>
      <c r="G184" s="2">
        <v>45414</v>
      </c>
      <c r="H184">
        <v>0</v>
      </c>
      <c r="I184">
        <v>0</v>
      </c>
      <c r="J184" s="1">
        <v>500</v>
      </c>
      <c r="K184" s="1">
        <v>2000</v>
      </c>
    </row>
    <row r="185" spans="1:11" x14ac:dyDescent="0.25">
      <c r="A185" t="s">
        <v>1900</v>
      </c>
      <c r="B185" t="s">
        <v>2719</v>
      </c>
      <c r="C185" t="s">
        <v>16</v>
      </c>
      <c r="D185" t="s">
        <v>4466</v>
      </c>
      <c r="E185" t="s">
        <v>4430</v>
      </c>
      <c r="F185" t="s">
        <v>2739</v>
      </c>
      <c r="G185" s="2">
        <v>45414</v>
      </c>
      <c r="H185">
        <v>0</v>
      </c>
      <c r="I185">
        <v>0</v>
      </c>
      <c r="J185" s="1">
        <v>500</v>
      </c>
      <c r="K185" s="1">
        <v>500</v>
      </c>
    </row>
    <row r="186" spans="1:11" x14ac:dyDescent="0.25">
      <c r="A186" t="s">
        <v>1898</v>
      </c>
      <c r="B186" t="s">
        <v>2734</v>
      </c>
      <c r="C186" t="s">
        <v>16</v>
      </c>
      <c r="D186" t="s">
        <v>4461</v>
      </c>
      <c r="E186" t="s">
        <v>4455</v>
      </c>
      <c r="F186" t="s">
        <v>2739</v>
      </c>
      <c r="G186" s="2">
        <v>45414</v>
      </c>
      <c r="H186">
        <v>0</v>
      </c>
      <c r="I186">
        <v>0</v>
      </c>
      <c r="J186" s="1">
        <v>500</v>
      </c>
      <c r="K186" s="1">
        <v>500</v>
      </c>
    </row>
    <row r="187" spans="1:11" x14ac:dyDescent="0.25">
      <c r="A187" t="s">
        <v>1898</v>
      </c>
      <c r="B187" t="s">
        <v>2734</v>
      </c>
      <c r="C187" t="s">
        <v>16</v>
      </c>
      <c r="D187" t="s">
        <v>4461</v>
      </c>
      <c r="E187" t="s">
        <v>4455</v>
      </c>
      <c r="F187" t="s">
        <v>2739</v>
      </c>
      <c r="G187" s="2">
        <v>45414</v>
      </c>
      <c r="H187">
        <v>0</v>
      </c>
      <c r="I187">
        <v>0</v>
      </c>
      <c r="J187" s="1">
        <v>500</v>
      </c>
      <c r="K187" s="1">
        <v>500</v>
      </c>
    </row>
    <row r="188" spans="1:11" x14ac:dyDescent="0.25">
      <c r="A188" t="s">
        <v>1898</v>
      </c>
      <c r="B188" t="s">
        <v>2734</v>
      </c>
      <c r="C188" t="s">
        <v>16</v>
      </c>
      <c r="D188" t="s">
        <v>4461</v>
      </c>
      <c r="E188" t="s">
        <v>4455</v>
      </c>
      <c r="F188" t="s">
        <v>2739</v>
      </c>
      <c r="G188" s="2">
        <v>45414</v>
      </c>
      <c r="H188">
        <v>0</v>
      </c>
      <c r="I188">
        <v>0</v>
      </c>
      <c r="J188" s="1">
        <v>500</v>
      </c>
      <c r="K188" s="1">
        <v>500</v>
      </c>
    </row>
    <row r="189" spans="1:11" x14ac:dyDescent="0.25">
      <c r="A189" t="s">
        <v>1886</v>
      </c>
      <c r="B189" t="s">
        <v>2736</v>
      </c>
      <c r="C189" t="s">
        <v>16</v>
      </c>
      <c r="D189" t="s">
        <v>4461</v>
      </c>
      <c r="E189" t="s">
        <v>4459</v>
      </c>
      <c r="F189" t="s">
        <v>2739</v>
      </c>
      <c r="G189" s="2">
        <v>45415</v>
      </c>
      <c r="H189">
        <v>0</v>
      </c>
      <c r="I189">
        <v>0</v>
      </c>
      <c r="J189" s="1">
        <v>500</v>
      </c>
      <c r="K189" s="1">
        <v>500</v>
      </c>
    </row>
    <row r="190" spans="1:11" x14ac:dyDescent="0.25">
      <c r="A190" t="s">
        <v>1887</v>
      </c>
      <c r="B190" t="s">
        <v>2724</v>
      </c>
      <c r="C190" t="s">
        <v>16</v>
      </c>
      <c r="D190" t="s">
        <v>4462</v>
      </c>
      <c r="E190" t="s">
        <v>4451</v>
      </c>
      <c r="F190" t="s">
        <v>2739</v>
      </c>
      <c r="G190" s="2">
        <v>45415</v>
      </c>
      <c r="H190">
        <v>0</v>
      </c>
      <c r="I190">
        <v>0</v>
      </c>
      <c r="J190" s="1">
        <v>500</v>
      </c>
      <c r="K190" s="1">
        <v>500</v>
      </c>
    </row>
    <row r="191" spans="1:11" x14ac:dyDescent="0.25">
      <c r="A191" t="s">
        <v>1889</v>
      </c>
      <c r="B191" t="s">
        <v>4471</v>
      </c>
      <c r="C191" t="s">
        <v>35</v>
      </c>
      <c r="D191" t="s">
        <v>4470</v>
      </c>
      <c r="E191" t="s">
        <v>35</v>
      </c>
      <c r="F191" t="s">
        <v>2739</v>
      </c>
      <c r="G191" s="2">
        <v>45415</v>
      </c>
      <c r="H191">
        <v>0</v>
      </c>
      <c r="I191">
        <v>0</v>
      </c>
      <c r="J191" s="1">
        <v>500</v>
      </c>
      <c r="K191" s="1">
        <v>500</v>
      </c>
    </row>
    <row r="192" spans="1:11" x14ac:dyDescent="0.25">
      <c r="A192" t="s">
        <v>1893</v>
      </c>
      <c r="B192" t="s">
        <v>2699</v>
      </c>
      <c r="C192" t="s">
        <v>16</v>
      </c>
      <c r="D192" t="s">
        <v>4462</v>
      </c>
      <c r="E192" t="s">
        <v>4440</v>
      </c>
      <c r="F192" t="s">
        <v>2739</v>
      </c>
      <c r="G192" s="2">
        <v>45415</v>
      </c>
      <c r="H192">
        <v>0</v>
      </c>
      <c r="I192">
        <v>0</v>
      </c>
      <c r="J192" s="1">
        <v>500</v>
      </c>
      <c r="K192" s="1">
        <v>500</v>
      </c>
    </row>
    <row r="193" spans="1:11" x14ac:dyDescent="0.25">
      <c r="A193" t="s">
        <v>1878</v>
      </c>
      <c r="B193" t="s">
        <v>2717</v>
      </c>
      <c r="C193" t="s">
        <v>16</v>
      </c>
      <c r="D193" t="s">
        <v>4466</v>
      </c>
      <c r="E193" t="s">
        <v>4431</v>
      </c>
      <c r="F193" t="s">
        <v>2739</v>
      </c>
      <c r="G193" s="2">
        <v>45416</v>
      </c>
      <c r="H193">
        <v>0</v>
      </c>
      <c r="I193">
        <v>0</v>
      </c>
      <c r="J193" s="1">
        <v>500</v>
      </c>
      <c r="K193" s="1">
        <v>500</v>
      </c>
    </row>
    <row r="194" spans="1:11" x14ac:dyDescent="0.25">
      <c r="A194" t="s">
        <v>1880</v>
      </c>
      <c r="B194" t="s">
        <v>2702</v>
      </c>
      <c r="C194" t="s">
        <v>35</v>
      </c>
      <c r="D194" t="s">
        <v>3305</v>
      </c>
      <c r="E194" t="s">
        <v>3304</v>
      </c>
      <c r="F194" t="s">
        <v>2739</v>
      </c>
      <c r="G194" s="2">
        <v>45416</v>
      </c>
      <c r="H194">
        <v>0</v>
      </c>
      <c r="I194">
        <v>0</v>
      </c>
      <c r="J194" s="1">
        <v>500</v>
      </c>
      <c r="K194" s="1">
        <v>500</v>
      </c>
    </row>
    <row r="195" spans="1:11" x14ac:dyDescent="0.25">
      <c r="A195" t="s">
        <v>1882</v>
      </c>
      <c r="B195" t="s">
        <v>4463</v>
      </c>
      <c r="C195" t="s">
        <v>35</v>
      </c>
      <c r="D195" t="s">
        <v>4464</v>
      </c>
      <c r="E195" t="s">
        <v>3304</v>
      </c>
      <c r="F195" t="s">
        <v>2739</v>
      </c>
      <c r="G195" s="2">
        <v>45416</v>
      </c>
      <c r="H195">
        <v>0</v>
      </c>
      <c r="I195">
        <v>0</v>
      </c>
      <c r="J195" s="1">
        <v>500</v>
      </c>
      <c r="K195" s="1">
        <v>500</v>
      </c>
    </row>
    <row r="196" spans="1:11" x14ac:dyDescent="0.25">
      <c r="A196" t="s">
        <v>1870</v>
      </c>
      <c r="B196" t="s">
        <v>2722</v>
      </c>
      <c r="C196" t="s">
        <v>16</v>
      </c>
      <c r="D196" t="s">
        <v>4462</v>
      </c>
      <c r="E196" t="s">
        <v>4446</v>
      </c>
      <c r="F196" t="s">
        <v>2739</v>
      </c>
      <c r="G196" s="2">
        <v>45418</v>
      </c>
      <c r="H196">
        <v>0</v>
      </c>
      <c r="I196">
        <v>0</v>
      </c>
      <c r="J196" s="1">
        <v>500</v>
      </c>
      <c r="K196" s="1">
        <v>500</v>
      </c>
    </row>
    <row r="197" spans="1:11" x14ac:dyDescent="0.25">
      <c r="A197" t="s">
        <v>1872</v>
      </c>
      <c r="B197" t="s">
        <v>2710</v>
      </c>
      <c r="C197" t="s">
        <v>42</v>
      </c>
      <c r="D197" t="s">
        <v>4467</v>
      </c>
      <c r="E197" t="s">
        <v>4436</v>
      </c>
      <c r="F197" t="s">
        <v>2739</v>
      </c>
      <c r="G197" s="2">
        <v>45418</v>
      </c>
      <c r="H197">
        <v>0</v>
      </c>
      <c r="I197">
        <v>0</v>
      </c>
      <c r="J197" s="1">
        <v>500</v>
      </c>
      <c r="K197" s="1">
        <v>500</v>
      </c>
    </row>
    <row r="198" spans="1:11" x14ac:dyDescent="0.25">
      <c r="A198" t="s">
        <v>1871</v>
      </c>
      <c r="B198" t="s">
        <v>2706</v>
      </c>
      <c r="C198" t="s">
        <v>27</v>
      </c>
      <c r="D198" t="s">
        <v>4461</v>
      </c>
      <c r="E198" t="s">
        <v>4452</v>
      </c>
      <c r="F198" t="s">
        <v>2739</v>
      </c>
      <c r="G198" s="2">
        <v>45418</v>
      </c>
      <c r="H198">
        <v>0</v>
      </c>
      <c r="I198">
        <v>0</v>
      </c>
      <c r="J198" s="1">
        <v>500</v>
      </c>
      <c r="K198" s="1">
        <v>500</v>
      </c>
    </row>
    <row r="199" spans="1:11" x14ac:dyDescent="0.25">
      <c r="A199" t="s">
        <v>1866</v>
      </c>
      <c r="B199" t="s">
        <v>2700</v>
      </c>
      <c r="C199" t="s">
        <v>27</v>
      </c>
      <c r="D199" t="s">
        <v>4466</v>
      </c>
      <c r="E199" t="s">
        <v>4450</v>
      </c>
      <c r="F199" t="s">
        <v>2739</v>
      </c>
      <c r="G199" s="2">
        <v>45419</v>
      </c>
      <c r="H199">
        <v>0</v>
      </c>
      <c r="I199">
        <v>0</v>
      </c>
      <c r="J199" s="1">
        <v>500</v>
      </c>
      <c r="K199" s="1">
        <v>500</v>
      </c>
    </row>
    <row r="200" spans="1:11" x14ac:dyDescent="0.25">
      <c r="A200" t="s">
        <v>1868</v>
      </c>
      <c r="B200" t="s">
        <v>2716</v>
      </c>
      <c r="C200" t="s">
        <v>16</v>
      </c>
      <c r="D200" t="s">
        <v>4462</v>
      </c>
      <c r="E200" t="s">
        <v>4458</v>
      </c>
      <c r="F200" t="s">
        <v>2739</v>
      </c>
      <c r="G200" s="2">
        <v>45419</v>
      </c>
      <c r="H200">
        <v>0</v>
      </c>
      <c r="I200">
        <v>0</v>
      </c>
      <c r="J200" s="1">
        <v>500</v>
      </c>
      <c r="K200" s="1">
        <v>500</v>
      </c>
    </row>
    <row r="201" spans="1:11" x14ac:dyDescent="0.25">
      <c r="A201" t="s">
        <v>1848</v>
      </c>
      <c r="B201" t="s">
        <v>2701</v>
      </c>
      <c r="C201" t="s">
        <v>16</v>
      </c>
      <c r="D201" t="s">
        <v>4466</v>
      </c>
      <c r="E201" t="s">
        <v>4453</v>
      </c>
      <c r="F201" t="s">
        <v>2739</v>
      </c>
      <c r="G201" s="2">
        <v>45420</v>
      </c>
      <c r="H201">
        <v>0</v>
      </c>
      <c r="I201">
        <v>0</v>
      </c>
      <c r="J201" s="1">
        <v>500</v>
      </c>
      <c r="K201" s="1">
        <v>500</v>
      </c>
    </row>
    <row r="202" spans="1:11" x14ac:dyDescent="0.25">
      <c r="A202" t="s">
        <v>1849</v>
      </c>
      <c r="B202" t="s">
        <v>133</v>
      </c>
      <c r="C202" t="s">
        <v>35</v>
      </c>
      <c r="D202" t="s">
        <v>4461</v>
      </c>
      <c r="E202" t="s">
        <v>3304</v>
      </c>
      <c r="F202" t="s">
        <v>2739</v>
      </c>
      <c r="G202" s="2">
        <v>45420</v>
      </c>
      <c r="H202">
        <v>0</v>
      </c>
      <c r="I202">
        <v>0</v>
      </c>
      <c r="J202" s="1">
        <v>500</v>
      </c>
      <c r="K202" s="1">
        <v>500</v>
      </c>
    </row>
    <row r="203" spans="1:11" x14ac:dyDescent="0.25">
      <c r="A203" t="s">
        <v>1851</v>
      </c>
      <c r="B203" t="s">
        <v>93</v>
      </c>
      <c r="C203" t="s">
        <v>35</v>
      </c>
      <c r="D203" t="s">
        <v>4465</v>
      </c>
      <c r="E203" t="s">
        <v>3304</v>
      </c>
      <c r="F203" t="s">
        <v>2739</v>
      </c>
      <c r="G203" s="2">
        <v>45420</v>
      </c>
      <c r="H203">
        <v>0</v>
      </c>
      <c r="I203">
        <v>0</v>
      </c>
      <c r="J203" s="1">
        <v>500</v>
      </c>
      <c r="K203" s="1">
        <v>500</v>
      </c>
    </row>
    <row r="204" spans="1:11" x14ac:dyDescent="0.25">
      <c r="A204" t="s">
        <v>1853</v>
      </c>
      <c r="B204" t="s">
        <v>136</v>
      </c>
      <c r="C204" t="s">
        <v>35</v>
      </c>
      <c r="D204" t="s">
        <v>4462</v>
      </c>
      <c r="E204" t="s">
        <v>3304</v>
      </c>
      <c r="F204" t="s">
        <v>2739</v>
      </c>
      <c r="G204" s="2">
        <v>45420</v>
      </c>
      <c r="H204">
        <v>0</v>
      </c>
      <c r="I204">
        <v>0</v>
      </c>
      <c r="J204" s="1">
        <v>500</v>
      </c>
      <c r="K204" s="1">
        <v>500</v>
      </c>
    </row>
    <row r="205" spans="1:11" x14ac:dyDescent="0.25">
      <c r="A205" t="s">
        <v>1855</v>
      </c>
      <c r="B205" t="s">
        <v>66</v>
      </c>
      <c r="C205" t="s">
        <v>35</v>
      </c>
      <c r="D205" t="s">
        <v>4466</v>
      </c>
      <c r="E205" t="s">
        <v>3304</v>
      </c>
      <c r="F205" t="s">
        <v>2739</v>
      </c>
      <c r="G205" s="2">
        <v>45420</v>
      </c>
      <c r="H205">
        <v>0</v>
      </c>
      <c r="I205">
        <v>0</v>
      </c>
      <c r="J205" s="1">
        <v>500</v>
      </c>
      <c r="K205" s="1">
        <v>500</v>
      </c>
    </row>
    <row r="206" spans="1:11" x14ac:dyDescent="0.25">
      <c r="A206" t="s">
        <v>1864</v>
      </c>
      <c r="B206" t="s">
        <v>4472</v>
      </c>
      <c r="C206" t="s">
        <v>16</v>
      </c>
      <c r="D206" t="s">
        <v>4461</v>
      </c>
      <c r="E206" t="s">
        <v>4373</v>
      </c>
      <c r="F206" t="s">
        <v>2739</v>
      </c>
      <c r="G206" s="2">
        <v>45420</v>
      </c>
      <c r="H206">
        <v>0</v>
      </c>
      <c r="I206">
        <v>0</v>
      </c>
      <c r="J206" s="1">
        <v>500</v>
      </c>
      <c r="K206" s="1">
        <v>1000</v>
      </c>
    </row>
    <row r="207" spans="1:11" x14ac:dyDescent="0.25">
      <c r="A207" t="s">
        <v>1836</v>
      </c>
      <c r="B207" t="s">
        <v>2732</v>
      </c>
      <c r="C207" t="s">
        <v>16</v>
      </c>
      <c r="D207" t="s">
        <v>4461</v>
      </c>
      <c r="E207" t="s">
        <v>4444</v>
      </c>
      <c r="F207" t="s">
        <v>2739</v>
      </c>
      <c r="G207" s="2">
        <v>45422</v>
      </c>
      <c r="H207">
        <v>0</v>
      </c>
      <c r="I207">
        <v>0</v>
      </c>
      <c r="J207" s="1">
        <v>500</v>
      </c>
      <c r="K207" s="1">
        <v>500</v>
      </c>
    </row>
    <row r="208" spans="1:11" x14ac:dyDescent="0.25">
      <c r="A208" t="s">
        <v>1826</v>
      </c>
      <c r="B208" t="s">
        <v>2704</v>
      </c>
      <c r="C208" t="s">
        <v>35</v>
      </c>
      <c r="D208" t="s">
        <v>42</v>
      </c>
      <c r="E208" t="s">
        <v>3275</v>
      </c>
      <c r="F208" t="s">
        <v>2739</v>
      </c>
      <c r="G208" s="2">
        <v>45423</v>
      </c>
      <c r="H208">
        <v>0</v>
      </c>
      <c r="I208">
        <v>0</v>
      </c>
      <c r="J208" s="1">
        <v>500</v>
      </c>
      <c r="K208" s="1">
        <v>500</v>
      </c>
    </row>
    <row r="209" spans="1:11" x14ac:dyDescent="0.25">
      <c r="A209" t="s">
        <v>1828</v>
      </c>
      <c r="B209" t="s">
        <v>2703</v>
      </c>
      <c r="C209" t="s">
        <v>35</v>
      </c>
      <c r="D209" t="s">
        <v>4404</v>
      </c>
      <c r="E209" t="s">
        <v>3275</v>
      </c>
      <c r="F209" t="s">
        <v>2739</v>
      </c>
      <c r="G209" s="2">
        <v>45423</v>
      </c>
      <c r="H209">
        <v>0</v>
      </c>
      <c r="I209">
        <v>0</v>
      </c>
      <c r="J209" s="1">
        <v>500</v>
      </c>
      <c r="K209" s="1">
        <v>500</v>
      </c>
    </row>
    <row r="210" spans="1:11" x14ac:dyDescent="0.25">
      <c r="A210" t="s">
        <v>1816</v>
      </c>
      <c r="B210" t="s">
        <v>2718</v>
      </c>
      <c r="C210" t="s">
        <v>16</v>
      </c>
      <c r="D210" t="s">
        <v>4466</v>
      </c>
      <c r="E210" t="s">
        <v>4438</v>
      </c>
      <c r="F210" t="s">
        <v>2739</v>
      </c>
      <c r="G210" s="2">
        <v>45425</v>
      </c>
      <c r="H210">
        <v>0</v>
      </c>
      <c r="I210">
        <v>0</v>
      </c>
      <c r="J210" s="1">
        <v>500</v>
      </c>
      <c r="K210" s="1">
        <v>500</v>
      </c>
    </row>
    <row r="211" spans="1:11" x14ac:dyDescent="0.25">
      <c r="A211" t="s">
        <v>1815</v>
      </c>
      <c r="B211" t="s">
        <v>2731</v>
      </c>
      <c r="C211" t="s">
        <v>16</v>
      </c>
      <c r="D211" t="s">
        <v>4465</v>
      </c>
      <c r="E211" t="s">
        <v>4460</v>
      </c>
      <c r="F211" t="s">
        <v>2739</v>
      </c>
      <c r="G211" s="2">
        <v>45426</v>
      </c>
      <c r="H211">
        <v>0</v>
      </c>
      <c r="I211">
        <v>0</v>
      </c>
      <c r="J211" s="1">
        <v>500</v>
      </c>
      <c r="K211" s="1">
        <v>500</v>
      </c>
    </row>
    <row r="212" spans="1:11" x14ac:dyDescent="0.25">
      <c r="A212" t="s">
        <v>1796</v>
      </c>
      <c r="B212" t="s">
        <v>2725</v>
      </c>
      <c r="C212" t="s">
        <v>16</v>
      </c>
      <c r="D212" t="s">
        <v>4465</v>
      </c>
      <c r="E212" t="s">
        <v>4429</v>
      </c>
      <c r="F212" t="s">
        <v>2739</v>
      </c>
      <c r="G212" s="2">
        <v>45428</v>
      </c>
      <c r="H212">
        <v>0</v>
      </c>
      <c r="I212">
        <v>0</v>
      </c>
      <c r="J212" s="1">
        <v>500</v>
      </c>
      <c r="K212" s="1">
        <v>500</v>
      </c>
    </row>
    <row r="213" spans="1:11" x14ac:dyDescent="0.25">
      <c r="A213" t="s">
        <v>1798</v>
      </c>
      <c r="B213" t="s">
        <v>2698</v>
      </c>
      <c r="C213" t="s">
        <v>16</v>
      </c>
      <c r="D213" t="s">
        <v>4465</v>
      </c>
      <c r="E213" t="s">
        <v>4442</v>
      </c>
      <c r="F213" t="s">
        <v>2739</v>
      </c>
      <c r="G213" s="2">
        <v>45428</v>
      </c>
      <c r="H213">
        <v>0</v>
      </c>
      <c r="I213">
        <v>0</v>
      </c>
      <c r="J213" s="1">
        <v>500</v>
      </c>
      <c r="K213" s="1">
        <v>500</v>
      </c>
    </row>
    <row r="214" spans="1:11" x14ac:dyDescent="0.25">
      <c r="A214" t="s">
        <v>1753</v>
      </c>
      <c r="B214" t="s">
        <v>2737</v>
      </c>
      <c r="C214" t="s">
        <v>16</v>
      </c>
      <c r="D214" t="s">
        <v>4466</v>
      </c>
      <c r="E214" t="s">
        <v>4432</v>
      </c>
      <c r="F214" t="s">
        <v>2739</v>
      </c>
      <c r="G214" s="2">
        <v>45432</v>
      </c>
      <c r="H214">
        <v>0</v>
      </c>
      <c r="I214">
        <v>0</v>
      </c>
      <c r="J214" s="1">
        <v>500</v>
      </c>
      <c r="K214" s="1">
        <v>500</v>
      </c>
    </row>
    <row r="215" spans="1:11" x14ac:dyDescent="0.25">
      <c r="A215" t="s">
        <v>1765</v>
      </c>
      <c r="B215" t="s">
        <v>2727</v>
      </c>
      <c r="C215" t="s">
        <v>16</v>
      </c>
      <c r="D215" t="s">
        <v>4465</v>
      </c>
      <c r="E215" t="s">
        <v>4445</v>
      </c>
      <c r="F215" t="s">
        <v>2739</v>
      </c>
      <c r="G215" s="2">
        <v>45432</v>
      </c>
      <c r="H215">
        <v>0</v>
      </c>
      <c r="I215">
        <v>0</v>
      </c>
      <c r="J215" s="1">
        <v>500</v>
      </c>
      <c r="K215" s="1">
        <v>500</v>
      </c>
    </row>
    <row r="216" spans="1:11" x14ac:dyDescent="0.25">
      <c r="A216" t="s">
        <v>1767</v>
      </c>
      <c r="B216" t="s">
        <v>2726</v>
      </c>
      <c r="C216" t="s">
        <v>16</v>
      </c>
      <c r="D216" t="s">
        <v>4466</v>
      </c>
      <c r="E216" t="s">
        <v>4437</v>
      </c>
      <c r="F216" t="s">
        <v>2739</v>
      </c>
      <c r="G216" s="2">
        <v>45432</v>
      </c>
      <c r="H216">
        <v>0</v>
      </c>
      <c r="I216">
        <v>0</v>
      </c>
      <c r="J216" s="1">
        <v>500</v>
      </c>
      <c r="K216" s="1">
        <v>500</v>
      </c>
    </row>
    <row r="217" spans="1:11" x14ac:dyDescent="0.25">
      <c r="A217" t="s">
        <v>1747</v>
      </c>
      <c r="B217" t="s">
        <v>2706</v>
      </c>
      <c r="C217" t="s">
        <v>27</v>
      </c>
      <c r="D217" t="s">
        <v>4461</v>
      </c>
      <c r="E217" t="s">
        <v>4452</v>
      </c>
      <c r="F217" t="s">
        <v>2739</v>
      </c>
      <c r="G217" s="2">
        <v>45433</v>
      </c>
      <c r="H217">
        <v>0</v>
      </c>
      <c r="I217">
        <v>0</v>
      </c>
      <c r="J217" s="1">
        <v>500</v>
      </c>
      <c r="K217" s="1">
        <v>500</v>
      </c>
    </row>
    <row r="218" spans="1:11" x14ac:dyDescent="0.25">
      <c r="A218" t="s">
        <v>1739</v>
      </c>
      <c r="B218" t="s">
        <v>2711</v>
      </c>
      <c r="C218" t="s">
        <v>16</v>
      </c>
      <c r="D218" t="s">
        <v>4461</v>
      </c>
      <c r="E218" t="s">
        <v>4447</v>
      </c>
      <c r="F218" t="s">
        <v>2739</v>
      </c>
      <c r="G218" s="2">
        <v>45434</v>
      </c>
      <c r="H218">
        <v>0</v>
      </c>
      <c r="I218">
        <v>0</v>
      </c>
      <c r="J218" s="1">
        <v>500</v>
      </c>
      <c r="K218" s="1">
        <v>500</v>
      </c>
    </row>
    <row r="219" spans="1:11" x14ac:dyDescent="0.25">
      <c r="A219" t="s">
        <v>1705</v>
      </c>
      <c r="B219" t="s">
        <v>2708</v>
      </c>
      <c r="C219" t="s">
        <v>16</v>
      </c>
      <c r="D219" t="s">
        <v>4466</v>
      </c>
      <c r="E219" t="s">
        <v>4457</v>
      </c>
      <c r="F219" t="s">
        <v>2739</v>
      </c>
      <c r="G219" s="2">
        <v>45437</v>
      </c>
      <c r="H219">
        <v>0</v>
      </c>
      <c r="I219">
        <v>0</v>
      </c>
      <c r="J219" s="1">
        <v>500</v>
      </c>
      <c r="K219" s="1">
        <v>500</v>
      </c>
    </row>
    <row r="220" spans="1:11" x14ac:dyDescent="0.25">
      <c r="A220" t="s">
        <v>1706</v>
      </c>
      <c r="B220" t="s">
        <v>2730</v>
      </c>
      <c r="C220" t="s">
        <v>42</v>
      </c>
      <c r="D220" t="s">
        <v>4467</v>
      </c>
      <c r="E220" t="s">
        <v>4441</v>
      </c>
      <c r="F220" t="s">
        <v>2739</v>
      </c>
      <c r="G220" s="2">
        <v>45437</v>
      </c>
      <c r="H220">
        <v>0</v>
      </c>
      <c r="I220">
        <v>0</v>
      </c>
      <c r="J220" s="1">
        <v>500</v>
      </c>
      <c r="K220" s="1">
        <v>500</v>
      </c>
    </row>
    <row r="221" spans="1:11" x14ac:dyDescent="0.25">
      <c r="A221" t="s">
        <v>1674</v>
      </c>
      <c r="B221" t="s">
        <v>2735</v>
      </c>
      <c r="C221" t="s">
        <v>16</v>
      </c>
      <c r="D221" t="s">
        <v>4462</v>
      </c>
      <c r="E221" t="s">
        <v>4426</v>
      </c>
      <c r="F221" t="s">
        <v>2739</v>
      </c>
      <c r="G221" s="2">
        <v>45441</v>
      </c>
      <c r="H221">
        <v>0</v>
      </c>
      <c r="I221">
        <v>0</v>
      </c>
      <c r="J221" s="1">
        <v>500</v>
      </c>
      <c r="K221" s="1">
        <v>500</v>
      </c>
    </row>
    <row r="222" spans="1:11" x14ac:dyDescent="0.25">
      <c r="A222" t="s">
        <v>1662</v>
      </c>
      <c r="B222" t="s">
        <v>2713</v>
      </c>
      <c r="C222" t="s">
        <v>16</v>
      </c>
      <c r="D222" t="s">
        <v>4465</v>
      </c>
      <c r="E222" t="s">
        <v>4428</v>
      </c>
      <c r="F222" t="s">
        <v>2739</v>
      </c>
      <c r="G222" s="2">
        <v>45443</v>
      </c>
      <c r="H222">
        <v>0</v>
      </c>
      <c r="I222">
        <v>0</v>
      </c>
      <c r="J222" s="1">
        <v>500</v>
      </c>
      <c r="K222" s="1">
        <v>500</v>
      </c>
    </row>
    <row r="223" spans="1:11" x14ac:dyDescent="0.25">
      <c r="A223" t="s">
        <v>1667</v>
      </c>
      <c r="B223" t="s">
        <v>2709</v>
      </c>
      <c r="C223" t="s">
        <v>42</v>
      </c>
      <c r="D223" t="s">
        <v>4467</v>
      </c>
      <c r="E223" t="s">
        <v>4456</v>
      </c>
      <c r="F223" t="s">
        <v>2739</v>
      </c>
      <c r="G223" s="2">
        <v>45443</v>
      </c>
      <c r="H223">
        <v>0</v>
      </c>
      <c r="I223">
        <v>0</v>
      </c>
      <c r="J223" s="1">
        <v>500</v>
      </c>
      <c r="K223" s="1">
        <v>500</v>
      </c>
    </row>
    <row r="224" spans="1:11" x14ac:dyDescent="0.25">
      <c r="A224" t="s">
        <v>1641</v>
      </c>
      <c r="B224" t="s">
        <v>2707</v>
      </c>
      <c r="C224" t="s">
        <v>16</v>
      </c>
      <c r="D224" t="s">
        <v>4462</v>
      </c>
      <c r="E224" t="s">
        <v>4433</v>
      </c>
      <c r="F224" t="s">
        <v>2739</v>
      </c>
      <c r="G224" s="2">
        <v>45444</v>
      </c>
      <c r="H224">
        <v>0</v>
      </c>
      <c r="I224">
        <v>0</v>
      </c>
      <c r="J224" s="1">
        <v>500</v>
      </c>
      <c r="K224" s="1">
        <v>500</v>
      </c>
    </row>
    <row r="225" spans="1:11" x14ac:dyDescent="0.25">
      <c r="A225" t="s">
        <v>1643</v>
      </c>
      <c r="B225" t="s">
        <v>2712</v>
      </c>
      <c r="C225" t="s">
        <v>16</v>
      </c>
      <c r="D225" t="s">
        <v>4461</v>
      </c>
      <c r="E225" t="s">
        <v>4449</v>
      </c>
      <c r="F225" t="s">
        <v>2739</v>
      </c>
      <c r="G225" s="2">
        <v>45444</v>
      </c>
      <c r="H225">
        <v>0</v>
      </c>
      <c r="I225">
        <v>0</v>
      </c>
      <c r="J225" s="1">
        <v>500</v>
      </c>
      <c r="K225" s="1">
        <v>500</v>
      </c>
    </row>
    <row r="226" spans="1:11" x14ac:dyDescent="0.25">
      <c r="A226" t="s">
        <v>1645</v>
      </c>
      <c r="B226" t="s">
        <v>2717</v>
      </c>
      <c r="C226" t="s">
        <v>16</v>
      </c>
      <c r="D226" t="s">
        <v>4466</v>
      </c>
      <c r="E226" t="s">
        <v>4431</v>
      </c>
      <c r="F226" t="s">
        <v>2739</v>
      </c>
      <c r="G226" s="2">
        <v>45444</v>
      </c>
      <c r="H226">
        <v>0</v>
      </c>
      <c r="I226">
        <v>0</v>
      </c>
      <c r="J226" s="1">
        <v>500</v>
      </c>
      <c r="K226" s="1">
        <v>500</v>
      </c>
    </row>
    <row r="227" spans="1:11" x14ac:dyDescent="0.25">
      <c r="A227" t="s">
        <v>1646</v>
      </c>
      <c r="B227" t="s">
        <v>2698</v>
      </c>
      <c r="C227" t="s">
        <v>16</v>
      </c>
      <c r="D227" t="s">
        <v>4465</v>
      </c>
      <c r="E227" t="s">
        <v>4442</v>
      </c>
      <c r="F227" t="s">
        <v>2739</v>
      </c>
      <c r="G227" s="2">
        <v>45444</v>
      </c>
      <c r="H227">
        <v>0</v>
      </c>
      <c r="I227">
        <v>0</v>
      </c>
      <c r="J227" s="1">
        <v>500</v>
      </c>
      <c r="K227" s="1">
        <v>500</v>
      </c>
    </row>
    <row r="228" spans="1:11" x14ac:dyDescent="0.25">
      <c r="A228" t="s">
        <v>1648</v>
      </c>
      <c r="B228" t="s">
        <v>133</v>
      </c>
      <c r="C228" t="s">
        <v>35</v>
      </c>
      <c r="D228" t="s">
        <v>4461</v>
      </c>
      <c r="E228" t="s">
        <v>3304</v>
      </c>
      <c r="F228" t="s">
        <v>2739</v>
      </c>
      <c r="G228" s="2">
        <v>45444</v>
      </c>
      <c r="H228">
        <v>0</v>
      </c>
      <c r="I228">
        <v>0</v>
      </c>
      <c r="J228" s="1">
        <v>500</v>
      </c>
      <c r="K228" s="1">
        <v>500</v>
      </c>
    </row>
    <row r="229" spans="1:11" x14ac:dyDescent="0.25">
      <c r="A229" t="s">
        <v>1650</v>
      </c>
      <c r="B229" t="s">
        <v>136</v>
      </c>
      <c r="C229" t="s">
        <v>35</v>
      </c>
      <c r="D229" t="s">
        <v>4462</v>
      </c>
      <c r="E229" t="s">
        <v>3304</v>
      </c>
      <c r="F229" t="s">
        <v>2739</v>
      </c>
      <c r="G229" s="2">
        <v>45444</v>
      </c>
      <c r="H229">
        <v>0</v>
      </c>
      <c r="I229">
        <v>0</v>
      </c>
      <c r="J229" s="1">
        <v>500</v>
      </c>
      <c r="K229" s="1">
        <v>500</v>
      </c>
    </row>
    <row r="230" spans="1:11" x14ac:dyDescent="0.25">
      <c r="A230" t="s">
        <v>1652</v>
      </c>
      <c r="B230" t="s">
        <v>2702</v>
      </c>
      <c r="C230" t="s">
        <v>35</v>
      </c>
      <c r="D230" t="s">
        <v>3305</v>
      </c>
      <c r="E230" t="s">
        <v>3304</v>
      </c>
      <c r="F230" t="s">
        <v>2739</v>
      </c>
      <c r="G230" s="2">
        <v>45444</v>
      </c>
      <c r="H230">
        <v>0</v>
      </c>
      <c r="I230">
        <v>0</v>
      </c>
      <c r="J230" s="1">
        <v>500</v>
      </c>
      <c r="K230" s="1">
        <v>500</v>
      </c>
    </row>
    <row r="231" spans="1:11" x14ac:dyDescent="0.25">
      <c r="A231" t="s">
        <v>1654</v>
      </c>
      <c r="B231" t="s">
        <v>2714</v>
      </c>
      <c r="C231" t="s">
        <v>16</v>
      </c>
      <c r="D231" t="s">
        <v>4466</v>
      </c>
      <c r="E231" t="s">
        <v>4434</v>
      </c>
      <c r="F231" t="s">
        <v>2739</v>
      </c>
      <c r="G231" s="2">
        <v>45444</v>
      </c>
      <c r="H231">
        <v>0</v>
      </c>
      <c r="I231">
        <v>0</v>
      </c>
      <c r="J231" s="1">
        <v>500</v>
      </c>
      <c r="K231" s="1">
        <v>500</v>
      </c>
    </row>
    <row r="232" spans="1:11" x14ac:dyDescent="0.25">
      <c r="A232" t="s">
        <v>1655</v>
      </c>
      <c r="B232" t="s">
        <v>2726</v>
      </c>
      <c r="C232" t="s">
        <v>16</v>
      </c>
      <c r="D232" t="s">
        <v>4466</v>
      </c>
      <c r="E232" t="s">
        <v>4437</v>
      </c>
      <c r="F232" t="s">
        <v>2739</v>
      </c>
      <c r="G232" s="2">
        <v>45444</v>
      </c>
      <c r="H232">
        <v>0</v>
      </c>
      <c r="I232">
        <v>0</v>
      </c>
      <c r="J232" s="1">
        <v>500</v>
      </c>
      <c r="K232" s="1">
        <v>500</v>
      </c>
    </row>
    <row r="233" spans="1:11" x14ac:dyDescent="0.25">
      <c r="A233" t="s">
        <v>1654</v>
      </c>
      <c r="B233" t="s">
        <v>2714</v>
      </c>
      <c r="C233" t="s">
        <v>16</v>
      </c>
      <c r="D233" t="s">
        <v>4466</v>
      </c>
      <c r="E233" t="s">
        <v>4434</v>
      </c>
      <c r="F233" t="s">
        <v>2739</v>
      </c>
      <c r="G233" s="2">
        <v>45444</v>
      </c>
      <c r="H233">
        <v>0</v>
      </c>
      <c r="I233">
        <v>0</v>
      </c>
      <c r="J233" s="1">
        <v>500</v>
      </c>
      <c r="K233" s="1">
        <v>500</v>
      </c>
    </row>
    <row r="234" spans="1:11" x14ac:dyDescent="0.25">
      <c r="A234" t="s">
        <v>1636</v>
      </c>
      <c r="B234" t="s">
        <v>2701</v>
      </c>
      <c r="C234" t="s">
        <v>16</v>
      </c>
      <c r="D234" t="s">
        <v>4466</v>
      </c>
      <c r="E234" t="s">
        <v>4453</v>
      </c>
      <c r="F234" t="s">
        <v>2739</v>
      </c>
      <c r="G234" s="2">
        <v>45445</v>
      </c>
      <c r="H234">
        <v>0</v>
      </c>
      <c r="I234">
        <v>0</v>
      </c>
      <c r="J234" s="1">
        <v>500</v>
      </c>
      <c r="K234" s="1">
        <v>500</v>
      </c>
    </row>
    <row r="235" spans="1:11" x14ac:dyDescent="0.25">
      <c r="A235" t="s">
        <v>1629</v>
      </c>
      <c r="B235" t="s">
        <v>2705</v>
      </c>
      <c r="C235" t="s">
        <v>42</v>
      </c>
      <c r="D235" t="s">
        <v>4467</v>
      </c>
      <c r="E235" t="s">
        <v>4435</v>
      </c>
      <c r="F235" t="s">
        <v>2739</v>
      </c>
      <c r="G235" s="2">
        <v>45446</v>
      </c>
      <c r="H235">
        <v>0</v>
      </c>
      <c r="I235">
        <v>0</v>
      </c>
      <c r="J235" s="1">
        <v>500</v>
      </c>
      <c r="K235" s="1">
        <v>500</v>
      </c>
    </row>
    <row r="236" spans="1:11" x14ac:dyDescent="0.25">
      <c r="A236" t="s">
        <v>1633</v>
      </c>
      <c r="B236" t="s">
        <v>2729</v>
      </c>
      <c r="C236" t="s">
        <v>16</v>
      </c>
      <c r="D236" t="s">
        <v>4465</v>
      </c>
      <c r="E236" t="s">
        <v>4427</v>
      </c>
      <c r="F236" t="s">
        <v>2739</v>
      </c>
      <c r="G236" s="2">
        <v>45446</v>
      </c>
      <c r="H236">
        <v>0</v>
      </c>
      <c r="I236">
        <v>0</v>
      </c>
      <c r="J236" s="1">
        <v>500</v>
      </c>
      <c r="K236" s="1">
        <v>500</v>
      </c>
    </row>
    <row r="237" spans="1:11" x14ac:dyDescent="0.25">
      <c r="A237" t="s">
        <v>1634</v>
      </c>
      <c r="B237" t="s">
        <v>2699</v>
      </c>
      <c r="C237" t="s">
        <v>16</v>
      </c>
      <c r="D237" t="s">
        <v>4462</v>
      </c>
      <c r="E237" t="s">
        <v>4440</v>
      </c>
      <c r="F237" t="s">
        <v>2739</v>
      </c>
      <c r="G237" s="2">
        <v>45446</v>
      </c>
      <c r="H237">
        <v>0</v>
      </c>
      <c r="I237">
        <v>0</v>
      </c>
      <c r="J237" s="1">
        <v>500</v>
      </c>
      <c r="K237" s="1">
        <v>500</v>
      </c>
    </row>
    <row r="238" spans="1:11" x14ac:dyDescent="0.25">
      <c r="A238" t="s">
        <v>1627</v>
      </c>
      <c r="B238" t="s">
        <v>4463</v>
      </c>
      <c r="C238" t="s">
        <v>35</v>
      </c>
      <c r="D238" t="s">
        <v>4464</v>
      </c>
      <c r="E238" t="s">
        <v>3304</v>
      </c>
      <c r="F238" t="s">
        <v>2739</v>
      </c>
      <c r="G238" s="2">
        <v>45447</v>
      </c>
      <c r="H238">
        <v>0</v>
      </c>
      <c r="I238">
        <v>0</v>
      </c>
      <c r="J238" s="1">
        <v>500</v>
      </c>
      <c r="K238" s="1">
        <v>500</v>
      </c>
    </row>
    <row r="239" spans="1:11" x14ac:dyDescent="0.25">
      <c r="A239" t="s">
        <v>1607</v>
      </c>
      <c r="B239" t="s">
        <v>2710</v>
      </c>
      <c r="C239" t="s">
        <v>42</v>
      </c>
      <c r="D239" t="s">
        <v>4467</v>
      </c>
      <c r="E239" t="s">
        <v>4436</v>
      </c>
      <c r="F239" t="s">
        <v>2739</v>
      </c>
      <c r="G239" s="2">
        <v>45448</v>
      </c>
      <c r="H239">
        <v>0</v>
      </c>
      <c r="I239">
        <v>0</v>
      </c>
      <c r="J239" s="1">
        <v>500</v>
      </c>
      <c r="K239" s="1">
        <v>500</v>
      </c>
    </row>
    <row r="240" spans="1:11" x14ac:dyDescent="0.25">
      <c r="A240" t="s">
        <v>1609</v>
      </c>
      <c r="B240" t="s">
        <v>2719</v>
      </c>
      <c r="C240" t="s">
        <v>16</v>
      </c>
      <c r="D240" t="s">
        <v>4466</v>
      </c>
      <c r="E240" t="s">
        <v>4430</v>
      </c>
      <c r="F240" t="s">
        <v>2739</v>
      </c>
      <c r="G240" s="2">
        <v>45448</v>
      </c>
      <c r="H240">
        <v>0</v>
      </c>
      <c r="I240">
        <v>0</v>
      </c>
      <c r="J240" s="1">
        <v>500</v>
      </c>
      <c r="K240" s="1">
        <v>500</v>
      </c>
    </row>
    <row r="241" spans="1:11" x14ac:dyDescent="0.25">
      <c r="A241" t="s">
        <v>1611</v>
      </c>
      <c r="B241" t="s">
        <v>2731</v>
      </c>
      <c r="C241" t="s">
        <v>16</v>
      </c>
      <c r="D241" t="s">
        <v>4465</v>
      </c>
      <c r="E241" t="s">
        <v>4460</v>
      </c>
      <c r="F241" t="s">
        <v>2739</v>
      </c>
      <c r="G241" s="2">
        <v>45448</v>
      </c>
      <c r="H241">
        <v>0</v>
      </c>
      <c r="I241">
        <v>0</v>
      </c>
      <c r="J241" s="1">
        <v>500</v>
      </c>
      <c r="K241" s="1">
        <v>500</v>
      </c>
    </row>
    <row r="242" spans="1:11" x14ac:dyDescent="0.25">
      <c r="A242" t="s">
        <v>1612</v>
      </c>
      <c r="B242" t="s">
        <v>2724</v>
      </c>
      <c r="C242" t="s">
        <v>16</v>
      </c>
      <c r="D242" t="s">
        <v>4462</v>
      </c>
      <c r="E242" t="s">
        <v>4451</v>
      </c>
      <c r="F242" t="s">
        <v>2739</v>
      </c>
      <c r="G242" s="2">
        <v>45448</v>
      </c>
      <c r="H242">
        <v>0</v>
      </c>
      <c r="I242">
        <v>0</v>
      </c>
      <c r="J242" s="1">
        <v>500</v>
      </c>
      <c r="K242" s="1">
        <v>500</v>
      </c>
    </row>
    <row r="243" spans="1:11" x14ac:dyDescent="0.25">
      <c r="A243" t="s">
        <v>1618</v>
      </c>
      <c r="B243" t="s">
        <v>2735</v>
      </c>
      <c r="C243" t="s">
        <v>16</v>
      </c>
      <c r="D243" t="s">
        <v>4462</v>
      </c>
      <c r="E243" t="s">
        <v>4426</v>
      </c>
      <c r="F243" t="s">
        <v>2739</v>
      </c>
      <c r="G243" s="2">
        <v>45448</v>
      </c>
      <c r="H243">
        <v>0</v>
      </c>
      <c r="I243">
        <v>0</v>
      </c>
      <c r="J243" s="1">
        <v>500</v>
      </c>
      <c r="K243" s="1">
        <v>500</v>
      </c>
    </row>
    <row r="244" spans="1:11" x14ac:dyDescent="0.25">
      <c r="A244" t="s">
        <v>1620</v>
      </c>
      <c r="B244" t="s">
        <v>2732</v>
      </c>
      <c r="C244" t="s">
        <v>16</v>
      </c>
      <c r="D244" t="s">
        <v>4461</v>
      </c>
      <c r="E244" t="s">
        <v>4444</v>
      </c>
      <c r="F244" t="s">
        <v>2739</v>
      </c>
      <c r="G244" s="2">
        <v>45448</v>
      </c>
      <c r="H244">
        <v>0</v>
      </c>
      <c r="I244">
        <v>0</v>
      </c>
      <c r="J244" s="1">
        <v>500</v>
      </c>
      <c r="K244" s="1">
        <v>500</v>
      </c>
    </row>
    <row r="245" spans="1:11" x14ac:dyDescent="0.25">
      <c r="A245" t="s">
        <v>1622</v>
      </c>
      <c r="B245" t="s">
        <v>2736</v>
      </c>
      <c r="C245" t="s">
        <v>16</v>
      </c>
      <c r="D245" t="s">
        <v>4461</v>
      </c>
      <c r="E245" t="s">
        <v>4459</v>
      </c>
      <c r="F245" t="s">
        <v>2739</v>
      </c>
      <c r="G245" s="2">
        <v>45448</v>
      </c>
      <c r="H245">
        <v>0</v>
      </c>
      <c r="I245">
        <v>0</v>
      </c>
      <c r="J245" s="1">
        <v>500</v>
      </c>
      <c r="K245" s="1">
        <v>500</v>
      </c>
    </row>
    <row r="246" spans="1:11" x14ac:dyDescent="0.25">
      <c r="A246" t="s">
        <v>1623</v>
      </c>
      <c r="B246" t="s">
        <v>2722</v>
      </c>
      <c r="C246" t="s">
        <v>16</v>
      </c>
      <c r="D246" t="s">
        <v>4462</v>
      </c>
      <c r="E246" t="s">
        <v>4446</v>
      </c>
      <c r="F246" t="s">
        <v>2739</v>
      </c>
      <c r="G246" s="2">
        <v>45448</v>
      </c>
      <c r="H246">
        <v>0</v>
      </c>
      <c r="I246">
        <v>0</v>
      </c>
      <c r="J246" s="1">
        <v>500</v>
      </c>
      <c r="K246" s="1">
        <v>500</v>
      </c>
    </row>
    <row r="247" spans="1:11" x14ac:dyDescent="0.25">
      <c r="A247" t="s">
        <v>1625</v>
      </c>
      <c r="B247" t="s">
        <v>2734</v>
      </c>
      <c r="C247" t="s">
        <v>16</v>
      </c>
      <c r="D247" t="s">
        <v>4461</v>
      </c>
      <c r="E247" t="s">
        <v>4455</v>
      </c>
      <c r="F247" t="s">
        <v>2739</v>
      </c>
      <c r="G247" s="2">
        <v>45448</v>
      </c>
      <c r="H247">
        <v>0</v>
      </c>
      <c r="I247">
        <v>0</v>
      </c>
      <c r="J247" s="1">
        <v>500</v>
      </c>
      <c r="K247" s="1">
        <v>500</v>
      </c>
    </row>
    <row r="248" spans="1:11" x14ac:dyDescent="0.25">
      <c r="A248" t="s">
        <v>1626</v>
      </c>
      <c r="B248" t="s">
        <v>2721</v>
      </c>
      <c r="C248" t="s">
        <v>16</v>
      </c>
      <c r="D248" t="s">
        <v>4466</v>
      </c>
      <c r="E248" t="s">
        <v>4438</v>
      </c>
      <c r="F248" t="s">
        <v>2739</v>
      </c>
      <c r="G248" s="2">
        <v>45448</v>
      </c>
      <c r="H248">
        <v>0</v>
      </c>
      <c r="I248">
        <v>0</v>
      </c>
      <c r="J248" s="1">
        <v>500</v>
      </c>
      <c r="K248" s="1">
        <v>500</v>
      </c>
    </row>
    <row r="249" spans="1:11" x14ac:dyDescent="0.25">
      <c r="A249" t="s">
        <v>1626</v>
      </c>
      <c r="B249" t="s">
        <v>2721</v>
      </c>
      <c r="C249" t="s">
        <v>16</v>
      </c>
      <c r="D249" t="s">
        <v>4466</v>
      </c>
      <c r="E249" t="s">
        <v>4438</v>
      </c>
      <c r="F249" t="s">
        <v>2739</v>
      </c>
      <c r="G249" s="2">
        <v>45448</v>
      </c>
      <c r="H249">
        <v>0</v>
      </c>
      <c r="I249">
        <v>0</v>
      </c>
      <c r="J249" s="1">
        <v>500</v>
      </c>
      <c r="K249" s="1">
        <v>500</v>
      </c>
    </row>
    <row r="250" spans="1:11" x14ac:dyDescent="0.25">
      <c r="A250" t="s">
        <v>1598</v>
      </c>
      <c r="B250" t="s">
        <v>2733</v>
      </c>
      <c r="C250" t="s">
        <v>16</v>
      </c>
      <c r="D250" t="s">
        <v>4465</v>
      </c>
      <c r="E250" t="s">
        <v>4448</v>
      </c>
      <c r="F250" t="s">
        <v>2739</v>
      </c>
      <c r="G250" s="2">
        <v>45449</v>
      </c>
      <c r="H250">
        <v>0</v>
      </c>
      <c r="I250">
        <v>0</v>
      </c>
      <c r="J250" s="1">
        <v>500</v>
      </c>
      <c r="K250" s="1">
        <v>500</v>
      </c>
    </row>
    <row r="251" spans="1:11" x14ac:dyDescent="0.25">
      <c r="A251" t="s">
        <v>1601</v>
      </c>
      <c r="B251" t="s">
        <v>4471</v>
      </c>
      <c r="C251" t="s">
        <v>35</v>
      </c>
      <c r="D251" t="s">
        <v>4470</v>
      </c>
      <c r="E251" t="s">
        <v>35</v>
      </c>
      <c r="F251" t="s">
        <v>2739</v>
      </c>
      <c r="G251" s="2">
        <v>45449</v>
      </c>
      <c r="H251">
        <v>0</v>
      </c>
      <c r="I251">
        <v>0</v>
      </c>
      <c r="J251" s="1">
        <v>500</v>
      </c>
      <c r="K251" s="1">
        <v>500</v>
      </c>
    </row>
    <row r="252" spans="1:11" x14ac:dyDescent="0.25">
      <c r="A252" t="s">
        <v>1592</v>
      </c>
      <c r="B252" t="s">
        <v>2718</v>
      </c>
      <c r="C252" t="s">
        <v>16</v>
      </c>
      <c r="D252" t="s">
        <v>4466</v>
      </c>
      <c r="E252" t="s">
        <v>4438</v>
      </c>
      <c r="F252" t="s">
        <v>2739</v>
      </c>
      <c r="G252" s="2">
        <v>45450</v>
      </c>
      <c r="H252">
        <v>0</v>
      </c>
      <c r="I252">
        <v>0</v>
      </c>
      <c r="J252" s="1">
        <v>500</v>
      </c>
      <c r="K252" s="1">
        <v>500</v>
      </c>
    </row>
    <row r="253" spans="1:11" x14ac:dyDescent="0.25">
      <c r="A253" t="s">
        <v>1579</v>
      </c>
      <c r="B253" t="s">
        <v>2700</v>
      </c>
      <c r="C253" t="s">
        <v>27</v>
      </c>
      <c r="D253" t="s">
        <v>4466</v>
      </c>
      <c r="E253" t="s">
        <v>4450</v>
      </c>
      <c r="F253" t="s">
        <v>2739</v>
      </c>
      <c r="G253" s="2">
        <v>45453</v>
      </c>
      <c r="H253">
        <v>0</v>
      </c>
      <c r="I253">
        <v>0</v>
      </c>
      <c r="J253" s="1">
        <v>500</v>
      </c>
      <c r="K253" s="1">
        <v>500</v>
      </c>
    </row>
    <row r="254" spans="1:11" x14ac:dyDescent="0.25">
      <c r="A254" t="s">
        <v>1581</v>
      </c>
      <c r="B254" t="s">
        <v>2737</v>
      </c>
      <c r="C254" t="s">
        <v>16</v>
      </c>
      <c r="D254" t="s">
        <v>4466</v>
      </c>
      <c r="E254" t="s">
        <v>4432</v>
      </c>
      <c r="F254" t="s">
        <v>2739</v>
      </c>
      <c r="G254" s="2">
        <v>45453</v>
      </c>
      <c r="H254">
        <v>0</v>
      </c>
      <c r="I254">
        <v>0</v>
      </c>
      <c r="J254" s="1">
        <v>500</v>
      </c>
      <c r="K254" s="1">
        <v>1000</v>
      </c>
    </row>
    <row r="255" spans="1:11" x14ac:dyDescent="0.25">
      <c r="A255" t="s">
        <v>1571</v>
      </c>
      <c r="B255" t="s">
        <v>66</v>
      </c>
      <c r="C255" t="s">
        <v>35</v>
      </c>
      <c r="D255" t="s">
        <v>4466</v>
      </c>
      <c r="E255" t="s">
        <v>3304</v>
      </c>
      <c r="F255" t="s">
        <v>2739</v>
      </c>
      <c r="G255" s="2">
        <v>45454</v>
      </c>
      <c r="H255">
        <v>0</v>
      </c>
      <c r="I255">
        <v>0</v>
      </c>
      <c r="J255" s="1">
        <v>500</v>
      </c>
      <c r="K255" s="1">
        <v>500</v>
      </c>
    </row>
    <row r="256" spans="1:11" x14ac:dyDescent="0.25">
      <c r="A256" t="s">
        <v>1573</v>
      </c>
      <c r="B256" t="s">
        <v>2730</v>
      </c>
      <c r="C256" t="s">
        <v>42</v>
      </c>
      <c r="D256" t="s">
        <v>4467</v>
      </c>
      <c r="E256" t="s">
        <v>4441</v>
      </c>
      <c r="F256" t="s">
        <v>2739</v>
      </c>
      <c r="G256" s="2">
        <v>45454</v>
      </c>
      <c r="H256">
        <v>0</v>
      </c>
      <c r="I256">
        <v>0</v>
      </c>
      <c r="J256" s="1">
        <v>500</v>
      </c>
      <c r="K256" s="1">
        <v>500</v>
      </c>
    </row>
    <row r="257" spans="1:11" x14ac:dyDescent="0.25">
      <c r="A257" t="s">
        <v>1554</v>
      </c>
      <c r="B257" t="s">
        <v>2725</v>
      </c>
      <c r="C257" t="s">
        <v>16</v>
      </c>
      <c r="D257" t="s">
        <v>4465</v>
      </c>
      <c r="E257" t="s">
        <v>4429</v>
      </c>
      <c r="F257" t="s">
        <v>2739</v>
      </c>
      <c r="G257" s="2">
        <v>45457</v>
      </c>
      <c r="H257">
        <v>0</v>
      </c>
      <c r="I257">
        <v>0</v>
      </c>
      <c r="J257" s="1">
        <v>500</v>
      </c>
      <c r="K257" s="1">
        <v>1000</v>
      </c>
    </row>
    <row r="258" spans="1:11" x14ac:dyDescent="0.25">
      <c r="A258" t="s">
        <v>1542</v>
      </c>
      <c r="B258" t="s">
        <v>93</v>
      </c>
      <c r="C258" t="s">
        <v>35</v>
      </c>
      <c r="D258" t="s">
        <v>4465</v>
      </c>
      <c r="E258" t="s">
        <v>3304</v>
      </c>
      <c r="F258" t="s">
        <v>2739</v>
      </c>
      <c r="G258" s="2">
        <v>45458</v>
      </c>
      <c r="H258">
        <v>0</v>
      </c>
      <c r="I258">
        <v>0</v>
      </c>
      <c r="J258" s="1">
        <v>500</v>
      </c>
      <c r="K258" s="1">
        <v>500</v>
      </c>
    </row>
    <row r="259" spans="1:11" x14ac:dyDescent="0.25">
      <c r="A259" t="s">
        <v>1536</v>
      </c>
      <c r="B259" t="s">
        <v>2708</v>
      </c>
      <c r="C259" t="s">
        <v>16</v>
      </c>
      <c r="D259" t="s">
        <v>4466</v>
      </c>
      <c r="E259" t="s">
        <v>4457</v>
      </c>
      <c r="F259" t="s">
        <v>2739</v>
      </c>
      <c r="G259" s="2">
        <v>45459</v>
      </c>
      <c r="H259">
        <v>0</v>
      </c>
      <c r="I259">
        <v>0</v>
      </c>
      <c r="J259" s="1">
        <v>500</v>
      </c>
      <c r="K259" s="1">
        <v>500</v>
      </c>
    </row>
    <row r="260" spans="1:11" x14ac:dyDescent="0.25">
      <c r="A260" t="s">
        <v>1533</v>
      </c>
      <c r="B260" t="s">
        <v>2706</v>
      </c>
      <c r="C260" t="s">
        <v>27</v>
      </c>
      <c r="D260" t="s">
        <v>4461</v>
      </c>
      <c r="E260" t="s">
        <v>4452</v>
      </c>
      <c r="F260" t="s">
        <v>2739</v>
      </c>
      <c r="G260" s="2">
        <v>45460</v>
      </c>
      <c r="H260">
        <v>0</v>
      </c>
      <c r="I260">
        <v>0</v>
      </c>
      <c r="J260" s="1">
        <v>500</v>
      </c>
      <c r="K260" s="1">
        <v>500</v>
      </c>
    </row>
    <row r="261" spans="1:11" x14ac:dyDescent="0.25">
      <c r="A261" t="s">
        <v>1501</v>
      </c>
      <c r="B261" t="s">
        <v>2709</v>
      </c>
      <c r="C261" t="s">
        <v>42</v>
      </c>
      <c r="D261" t="s">
        <v>4467</v>
      </c>
      <c r="E261" t="s">
        <v>4456</v>
      </c>
      <c r="F261" t="s">
        <v>2739</v>
      </c>
      <c r="G261" s="2">
        <v>45464</v>
      </c>
      <c r="H261">
        <v>0</v>
      </c>
      <c r="I261">
        <v>0</v>
      </c>
      <c r="J261" s="1">
        <v>500</v>
      </c>
      <c r="K261" s="1">
        <v>500</v>
      </c>
    </row>
    <row r="262" spans="1:11" x14ac:dyDescent="0.25">
      <c r="A262" t="s">
        <v>1503</v>
      </c>
      <c r="B262" t="s">
        <v>2711</v>
      </c>
      <c r="C262" t="s">
        <v>16</v>
      </c>
      <c r="D262" t="s">
        <v>4461</v>
      </c>
      <c r="E262" t="s">
        <v>4447</v>
      </c>
      <c r="F262" t="s">
        <v>2739</v>
      </c>
      <c r="G262" s="2">
        <v>45464</v>
      </c>
      <c r="H262">
        <v>0</v>
      </c>
      <c r="I262">
        <v>0</v>
      </c>
      <c r="J262" s="1">
        <v>500</v>
      </c>
      <c r="K262" s="1">
        <v>500</v>
      </c>
    </row>
    <row r="263" spans="1:11" x14ac:dyDescent="0.25">
      <c r="A263" t="s">
        <v>1459</v>
      </c>
      <c r="B263" t="s">
        <v>2716</v>
      </c>
      <c r="C263" t="s">
        <v>16</v>
      </c>
      <c r="D263" t="s">
        <v>4462</v>
      </c>
      <c r="E263" t="s">
        <v>4458</v>
      </c>
      <c r="F263" t="s">
        <v>2739</v>
      </c>
      <c r="G263" s="2">
        <v>45469</v>
      </c>
      <c r="H263">
        <v>0</v>
      </c>
      <c r="I263">
        <v>0</v>
      </c>
      <c r="J263" s="1">
        <v>500</v>
      </c>
      <c r="K263" s="1">
        <v>500</v>
      </c>
    </row>
    <row r="264" spans="1:11" x14ac:dyDescent="0.25">
      <c r="A264" t="s">
        <v>1463</v>
      </c>
      <c r="B264" t="s">
        <v>2727</v>
      </c>
      <c r="C264" t="s">
        <v>16</v>
      </c>
      <c r="D264" t="s">
        <v>4465</v>
      </c>
      <c r="E264" t="s">
        <v>4445</v>
      </c>
      <c r="F264" t="s">
        <v>2739</v>
      </c>
      <c r="G264" s="2">
        <v>45469</v>
      </c>
      <c r="H264">
        <v>0</v>
      </c>
      <c r="I264">
        <v>0</v>
      </c>
      <c r="J264" s="1">
        <v>500</v>
      </c>
      <c r="K264" s="1">
        <v>500</v>
      </c>
    </row>
    <row r="265" spans="1:11" x14ac:dyDescent="0.25">
      <c r="A265" t="s">
        <v>1458</v>
      </c>
      <c r="B265" t="s">
        <v>2713</v>
      </c>
      <c r="C265" t="s">
        <v>16</v>
      </c>
      <c r="D265" t="s">
        <v>4465</v>
      </c>
      <c r="E265" t="s">
        <v>4428</v>
      </c>
      <c r="F265" t="s">
        <v>2739</v>
      </c>
      <c r="G265" s="2">
        <v>45470</v>
      </c>
      <c r="H265">
        <v>0</v>
      </c>
      <c r="I265">
        <v>0</v>
      </c>
      <c r="J265" s="1">
        <v>500</v>
      </c>
      <c r="K265" s="1">
        <v>500</v>
      </c>
    </row>
    <row r="266" spans="1:11" x14ac:dyDescent="0.25">
      <c r="A266" t="s">
        <v>1444</v>
      </c>
      <c r="B266" t="s">
        <v>2728</v>
      </c>
      <c r="C266" t="s">
        <v>16</v>
      </c>
      <c r="D266" t="s">
        <v>4465</v>
      </c>
      <c r="E266" t="s">
        <v>4439</v>
      </c>
      <c r="F266" t="s">
        <v>2739</v>
      </c>
      <c r="G266" s="2">
        <v>45471</v>
      </c>
      <c r="H266">
        <v>0</v>
      </c>
      <c r="I266">
        <v>0</v>
      </c>
      <c r="J266" s="1">
        <v>500</v>
      </c>
      <c r="K266" s="1">
        <v>500</v>
      </c>
    </row>
    <row r="267" spans="1:11" x14ac:dyDescent="0.25">
      <c r="A267" t="s">
        <v>1415</v>
      </c>
      <c r="B267" t="s">
        <v>2726</v>
      </c>
      <c r="C267" t="s">
        <v>16</v>
      </c>
      <c r="D267" t="s">
        <v>4466</v>
      </c>
      <c r="E267" t="s">
        <v>4437</v>
      </c>
      <c r="F267" t="s">
        <v>2739</v>
      </c>
      <c r="G267" s="2">
        <v>45474</v>
      </c>
      <c r="H267">
        <v>0</v>
      </c>
      <c r="I267">
        <v>0</v>
      </c>
      <c r="J267" s="1">
        <v>500</v>
      </c>
      <c r="K267" s="1">
        <v>500</v>
      </c>
    </row>
    <row r="268" spans="1:11" x14ac:dyDescent="0.25">
      <c r="A268" t="s">
        <v>1416</v>
      </c>
      <c r="B268" t="s">
        <v>2730</v>
      </c>
      <c r="C268" t="s">
        <v>42</v>
      </c>
      <c r="D268" t="s">
        <v>4467</v>
      </c>
      <c r="E268" t="s">
        <v>4441</v>
      </c>
      <c r="F268" t="s">
        <v>2739</v>
      </c>
      <c r="G268" s="2">
        <v>45474</v>
      </c>
      <c r="H268">
        <v>0</v>
      </c>
      <c r="I268">
        <v>0</v>
      </c>
      <c r="J268" s="1">
        <v>500</v>
      </c>
      <c r="K268" s="1">
        <v>500</v>
      </c>
    </row>
    <row r="269" spans="1:11" x14ac:dyDescent="0.25">
      <c r="A269" t="s">
        <v>1417</v>
      </c>
      <c r="B269" t="s">
        <v>4463</v>
      </c>
      <c r="C269" t="s">
        <v>35</v>
      </c>
      <c r="D269" t="s">
        <v>4464</v>
      </c>
      <c r="E269" t="s">
        <v>3304</v>
      </c>
      <c r="F269" t="s">
        <v>2739</v>
      </c>
      <c r="G269" s="2">
        <v>45474</v>
      </c>
      <c r="H269">
        <v>0</v>
      </c>
      <c r="I269">
        <v>0</v>
      </c>
      <c r="J269" s="1">
        <v>500</v>
      </c>
      <c r="K269" s="1">
        <v>500</v>
      </c>
    </row>
    <row r="270" spans="1:11" x14ac:dyDescent="0.25">
      <c r="A270" t="s">
        <v>1419</v>
      </c>
      <c r="B270" t="s">
        <v>2700</v>
      </c>
      <c r="C270" t="s">
        <v>27</v>
      </c>
      <c r="D270" t="s">
        <v>4466</v>
      </c>
      <c r="E270" t="s">
        <v>4450</v>
      </c>
      <c r="F270" t="s">
        <v>2739</v>
      </c>
      <c r="G270" s="2">
        <v>45474</v>
      </c>
      <c r="H270">
        <v>0</v>
      </c>
      <c r="I270">
        <v>0</v>
      </c>
      <c r="J270" s="1">
        <v>500</v>
      </c>
      <c r="K270" s="1">
        <v>500</v>
      </c>
    </row>
    <row r="271" spans="1:11" x14ac:dyDescent="0.25">
      <c r="A271" t="s">
        <v>1421</v>
      </c>
      <c r="B271" t="s">
        <v>2714</v>
      </c>
      <c r="C271" t="s">
        <v>16</v>
      </c>
      <c r="D271" t="s">
        <v>4466</v>
      </c>
      <c r="E271" t="s">
        <v>4434</v>
      </c>
      <c r="F271" t="s">
        <v>2739</v>
      </c>
      <c r="G271" s="2">
        <v>45474</v>
      </c>
      <c r="H271">
        <v>0</v>
      </c>
      <c r="I271">
        <v>0</v>
      </c>
      <c r="J271" s="1">
        <v>500</v>
      </c>
      <c r="K271" s="1">
        <v>500</v>
      </c>
    </row>
    <row r="272" spans="1:11" x14ac:dyDescent="0.25">
      <c r="A272" t="s">
        <v>1422</v>
      </c>
      <c r="B272" t="s">
        <v>2698</v>
      </c>
      <c r="C272" t="s">
        <v>16</v>
      </c>
      <c r="D272" t="s">
        <v>4465</v>
      </c>
      <c r="E272" t="s">
        <v>4442</v>
      </c>
      <c r="F272" t="s">
        <v>2739</v>
      </c>
      <c r="G272" s="2">
        <v>45474</v>
      </c>
      <c r="H272">
        <v>0</v>
      </c>
      <c r="I272">
        <v>0</v>
      </c>
      <c r="J272" s="1">
        <v>500</v>
      </c>
      <c r="K272" s="1">
        <v>500</v>
      </c>
    </row>
    <row r="273" spans="1:11" x14ac:dyDescent="0.25">
      <c r="A273" t="s">
        <v>1424</v>
      </c>
      <c r="B273" t="s">
        <v>2717</v>
      </c>
      <c r="C273" t="s">
        <v>16</v>
      </c>
      <c r="D273" t="s">
        <v>4466</v>
      </c>
      <c r="E273" t="s">
        <v>4431</v>
      </c>
      <c r="F273" t="s">
        <v>2739</v>
      </c>
      <c r="G273" s="2">
        <v>45474</v>
      </c>
      <c r="H273">
        <v>0</v>
      </c>
      <c r="I273">
        <v>0</v>
      </c>
      <c r="J273" s="1">
        <v>500</v>
      </c>
      <c r="K273" s="1">
        <v>500</v>
      </c>
    </row>
    <row r="274" spans="1:11" x14ac:dyDescent="0.25">
      <c r="A274" t="s">
        <v>1425</v>
      </c>
      <c r="B274" t="s">
        <v>2707</v>
      </c>
      <c r="C274" t="s">
        <v>16</v>
      </c>
      <c r="D274" t="s">
        <v>4462</v>
      </c>
      <c r="E274" t="s">
        <v>4433</v>
      </c>
      <c r="F274" t="s">
        <v>2739</v>
      </c>
      <c r="G274" s="2">
        <v>45474</v>
      </c>
      <c r="H274">
        <v>0</v>
      </c>
      <c r="I274">
        <v>0</v>
      </c>
      <c r="J274" s="1">
        <v>500</v>
      </c>
      <c r="K274" s="1">
        <v>500</v>
      </c>
    </row>
    <row r="275" spans="1:11" x14ac:dyDescent="0.25">
      <c r="A275" t="s">
        <v>1426</v>
      </c>
      <c r="B275" t="s">
        <v>2733</v>
      </c>
      <c r="C275" t="s">
        <v>16</v>
      </c>
      <c r="D275" t="s">
        <v>4465</v>
      </c>
      <c r="E275" t="s">
        <v>4448</v>
      </c>
      <c r="F275" t="s">
        <v>2739</v>
      </c>
      <c r="G275" s="2">
        <v>45474</v>
      </c>
      <c r="H275">
        <v>0</v>
      </c>
      <c r="I275">
        <v>0</v>
      </c>
      <c r="J275" s="1">
        <v>500</v>
      </c>
      <c r="K275" s="1">
        <v>500</v>
      </c>
    </row>
    <row r="276" spans="1:11" x14ac:dyDescent="0.25">
      <c r="A276" t="s">
        <v>1413</v>
      </c>
      <c r="B276" t="s">
        <v>2705</v>
      </c>
      <c r="C276" t="s">
        <v>42</v>
      </c>
      <c r="D276" t="s">
        <v>4467</v>
      </c>
      <c r="E276" t="s">
        <v>4435</v>
      </c>
      <c r="F276" t="s">
        <v>2739</v>
      </c>
      <c r="G276" s="2">
        <v>45475</v>
      </c>
      <c r="H276">
        <v>0</v>
      </c>
      <c r="I276">
        <v>0</v>
      </c>
      <c r="J276" s="1">
        <v>500</v>
      </c>
      <c r="K276" s="1">
        <v>500</v>
      </c>
    </row>
    <row r="277" spans="1:11" x14ac:dyDescent="0.25">
      <c r="A277" t="s">
        <v>1394</v>
      </c>
      <c r="B277" t="s">
        <v>2701</v>
      </c>
      <c r="C277" t="s">
        <v>16</v>
      </c>
      <c r="D277" t="s">
        <v>4466</v>
      </c>
      <c r="E277" t="s">
        <v>4453</v>
      </c>
      <c r="F277" t="s">
        <v>2739</v>
      </c>
      <c r="G277" s="2">
        <v>45476</v>
      </c>
      <c r="H277">
        <v>0</v>
      </c>
      <c r="I277">
        <v>0</v>
      </c>
      <c r="J277" s="1">
        <v>500</v>
      </c>
      <c r="K277" s="1">
        <v>500</v>
      </c>
    </row>
    <row r="278" spans="1:11" x14ac:dyDescent="0.25">
      <c r="A278" t="s">
        <v>1397</v>
      </c>
      <c r="B278" t="s">
        <v>93</v>
      </c>
      <c r="C278" t="s">
        <v>35</v>
      </c>
      <c r="D278" t="s">
        <v>4465</v>
      </c>
      <c r="E278" t="s">
        <v>3304</v>
      </c>
      <c r="F278" t="s">
        <v>2739</v>
      </c>
      <c r="G278" s="2">
        <v>45476</v>
      </c>
      <c r="H278">
        <v>0</v>
      </c>
      <c r="I278">
        <v>0</v>
      </c>
      <c r="J278" s="1">
        <v>500</v>
      </c>
      <c r="K278" s="1">
        <v>500</v>
      </c>
    </row>
    <row r="279" spans="1:11" x14ac:dyDescent="0.25">
      <c r="A279" t="s">
        <v>1399</v>
      </c>
      <c r="B279" t="s">
        <v>133</v>
      </c>
      <c r="C279" t="s">
        <v>35</v>
      </c>
      <c r="D279" t="s">
        <v>4461</v>
      </c>
      <c r="E279" t="s">
        <v>3304</v>
      </c>
      <c r="F279" t="s">
        <v>2739</v>
      </c>
      <c r="G279" s="2">
        <v>45476</v>
      </c>
      <c r="H279">
        <v>0</v>
      </c>
      <c r="I279">
        <v>0</v>
      </c>
      <c r="J279" s="1">
        <v>500</v>
      </c>
      <c r="K279" s="1">
        <v>500</v>
      </c>
    </row>
    <row r="280" spans="1:11" x14ac:dyDescent="0.25">
      <c r="A280" t="s">
        <v>1401</v>
      </c>
      <c r="B280" t="s">
        <v>2702</v>
      </c>
      <c r="C280" t="s">
        <v>35</v>
      </c>
      <c r="D280" t="s">
        <v>3305</v>
      </c>
      <c r="E280" t="s">
        <v>3304</v>
      </c>
      <c r="F280" t="s">
        <v>2739</v>
      </c>
      <c r="G280" s="2">
        <v>45476</v>
      </c>
      <c r="H280">
        <v>0</v>
      </c>
      <c r="I280">
        <v>0</v>
      </c>
      <c r="J280" s="1">
        <v>500</v>
      </c>
      <c r="K280" s="1">
        <v>500</v>
      </c>
    </row>
    <row r="281" spans="1:11" x14ac:dyDescent="0.25">
      <c r="A281" t="s">
        <v>1407</v>
      </c>
      <c r="B281" t="s">
        <v>2728</v>
      </c>
      <c r="C281" t="s">
        <v>16</v>
      </c>
      <c r="D281" t="s">
        <v>4465</v>
      </c>
      <c r="E281" t="s">
        <v>4439</v>
      </c>
      <c r="F281" t="s">
        <v>2739</v>
      </c>
      <c r="G281" s="2">
        <v>45476</v>
      </c>
      <c r="H281">
        <v>0</v>
      </c>
      <c r="I281">
        <v>0</v>
      </c>
      <c r="J281" s="1">
        <v>500</v>
      </c>
      <c r="K281" s="1">
        <v>500</v>
      </c>
    </row>
    <row r="282" spans="1:11" x14ac:dyDescent="0.25">
      <c r="A282" t="s">
        <v>1410</v>
      </c>
      <c r="B282" t="s">
        <v>2732</v>
      </c>
      <c r="C282" t="s">
        <v>16</v>
      </c>
      <c r="D282" t="s">
        <v>4461</v>
      </c>
      <c r="E282" t="s">
        <v>4444</v>
      </c>
      <c r="F282" t="s">
        <v>2739</v>
      </c>
      <c r="G282" s="2">
        <v>45476</v>
      </c>
      <c r="H282">
        <v>0</v>
      </c>
      <c r="I282">
        <v>0</v>
      </c>
      <c r="J282" s="1">
        <v>500</v>
      </c>
      <c r="K282" s="1">
        <v>500</v>
      </c>
    </row>
    <row r="283" spans="1:11" x14ac:dyDescent="0.25">
      <c r="A283" t="s">
        <v>1411</v>
      </c>
      <c r="B283" t="s">
        <v>66</v>
      </c>
      <c r="C283" t="s">
        <v>35</v>
      </c>
      <c r="D283" t="s">
        <v>4466</v>
      </c>
      <c r="E283" t="s">
        <v>3304</v>
      </c>
      <c r="F283" t="s">
        <v>2739</v>
      </c>
      <c r="G283" s="2">
        <v>45476</v>
      </c>
      <c r="H283">
        <v>0</v>
      </c>
      <c r="I283">
        <v>0</v>
      </c>
      <c r="J283" s="1">
        <v>500</v>
      </c>
      <c r="K283" s="1">
        <v>500</v>
      </c>
    </row>
    <row r="284" spans="1:11" x14ac:dyDescent="0.25">
      <c r="A284" t="s">
        <v>1375</v>
      </c>
      <c r="B284" t="s">
        <v>2719</v>
      </c>
      <c r="C284" t="s">
        <v>16</v>
      </c>
      <c r="D284" t="s">
        <v>4466</v>
      </c>
      <c r="E284" t="s">
        <v>4430</v>
      </c>
      <c r="F284" t="s">
        <v>2739</v>
      </c>
      <c r="G284" s="2">
        <v>45477</v>
      </c>
      <c r="H284">
        <v>0</v>
      </c>
      <c r="I284">
        <v>0</v>
      </c>
      <c r="J284" s="1">
        <v>500</v>
      </c>
      <c r="K284" s="1">
        <v>500</v>
      </c>
    </row>
    <row r="285" spans="1:11" x14ac:dyDescent="0.25">
      <c r="A285" t="s">
        <v>1379</v>
      </c>
      <c r="B285" t="s">
        <v>2722</v>
      </c>
      <c r="C285" t="s">
        <v>16</v>
      </c>
      <c r="D285" t="s">
        <v>4462</v>
      </c>
      <c r="E285" t="s">
        <v>4446</v>
      </c>
      <c r="F285" t="s">
        <v>2739</v>
      </c>
      <c r="G285" s="2">
        <v>45477</v>
      </c>
      <c r="H285">
        <v>0</v>
      </c>
      <c r="I285">
        <v>0</v>
      </c>
      <c r="J285" s="1">
        <v>500</v>
      </c>
      <c r="K285" s="1">
        <v>500</v>
      </c>
    </row>
    <row r="286" spans="1:11" x14ac:dyDescent="0.25">
      <c r="A286" t="s">
        <v>1383</v>
      </c>
      <c r="B286" t="s">
        <v>2721</v>
      </c>
      <c r="C286" t="s">
        <v>16</v>
      </c>
      <c r="D286" t="s">
        <v>4466</v>
      </c>
      <c r="E286" t="s">
        <v>4438</v>
      </c>
      <c r="F286" t="s">
        <v>2739</v>
      </c>
      <c r="G286" s="2">
        <v>45477</v>
      </c>
      <c r="H286">
        <v>0</v>
      </c>
      <c r="I286">
        <v>0</v>
      </c>
      <c r="J286" s="1">
        <v>500</v>
      </c>
      <c r="K286" s="1">
        <v>500</v>
      </c>
    </row>
    <row r="287" spans="1:11" x14ac:dyDescent="0.25">
      <c r="A287" t="s">
        <v>1385</v>
      </c>
      <c r="B287" t="s">
        <v>2735</v>
      </c>
      <c r="C287" t="s">
        <v>16</v>
      </c>
      <c r="D287" t="s">
        <v>4462</v>
      </c>
      <c r="E287" t="s">
        <v>4426</v>
      </c>
      <c r="F287" t="s">
        <v>2739</v>
      </c>
      <c r="G287" s="2">
        <v>45477</v>
      </c>
      <c r="H287">
        <v>0</v>
      </c>
      <c r="I287">
        <v>0</v>
      </c>
      <c r="J287" s="1">
        <v>500</v>
      </c>
      <c r="K287" s="1">
        <v>500</v>
      </c>
    </row>
    <row r="288" spans="1:11" x14ac:dyDescent="0.25">
      <c r="A288" t="s">
        <v>1387</v>
      </c>
      <c r="B288" t="s">
        <v>4472</v>
      </c>
      <c r="C288" t="s">
        <v>16</v>
      </c>
      <c r="D288" t="s">
        <v>4461</v>
      </c>
      <c r="E288" t="s">
        <v>4373</v>
      </c>
      <c r="F288" t="s">
        <v>2739</v>
      </c>
      <c r="G288" s="2">
        <v>45477</v>
      </c>
      <c r="H288">
        <v>0</v>
      </c>
      <c r="I288">
        <v>0</v>
      </c>
      <c r="J288" s="1">
        <v>500</v>
      </c>
      <c r="K288" s="1">
        <v>1500</v>
      </c>
    </row>
    <row r="289" spans="1:11" x14ac:dyDescent="0.25">
      <c r="A289" t="s">
        <v>1388</v>
      </c>
      <c r="B289" t="s">
        <v>2713</v>
      </c>
      <c r="C289" t="s">
        <v>16</v>
      </c>
      <c r="D289" t="s">
        <v>4465</v>
      </c>
      <c r="E289" t="s">
        <v>4428</v>
      </c>
      <c r="F289" t="s">
        <v>2739</v>
      </c>
      <c r="G289" s="2">
        <v>45477</v>
      </c>
      <c r="H289">
        <v>0</v>
      </c>
      <c r="I289">
        <v>0</v>
      </c>
      <c r="J289" s="1">
        <v>500</v>
      </c>
      <c r="K289" s="1">
        <v>500</v>
      </c>
    </row>
    <row r="290" spans="1:11" x14ac:dyDescent="0.25">
      <c r="A290" t="s">
        <v>1368</v>
      </c>
      <c r="B290" t="s">
        <v>2724</v>
      </c>
      <c r="C290" t="s">
        <v>16</v>
      </c>
      <c r="D290" t="s">
        <v>4462</v>
      </c>
      <c r="E290" t="s">
        <v>4451</v>
      </c>
      <c r="F290" t="s">
        <v>2739</v>
      </c>
      <c r="G290" s="2">
        <v>45478</v>
      </c>
      <c r="H290">
        <v>0</v>
      </c>
      <c r="I290">
        <v>0</v>
      </c>
      <c r="J290" s="1">
        <v>500</v>
      </c>
      <c r="K290" s="1">
        <v>500</v>
      </c>
    </row>
    <row r="291" spans="1:11" x14ac:dyDescent="0.25">
      <c r="A291" t="s">
        <v>1371</v>
      </c>
      <c r="B291" t="s">
        <v>2736</v>
      </c>
      <c r="C291" t="s">
        <v>16</v>
      </c>
      <c r="D291" t="s">
        <v>4461</v>
      </c>
      <c r="E291" t="s">
        <v>4459</v>
      </c>
      <c r="F291" t="s">
        <v>2739</v>
      </c>
      <c r="G291" s="2">
        <v>45478</v>
      </c>
      <c r="H291">
        <v>0</v>
      </c>
      <c r="I291">
        <v>0</v>
      </c>
      <c r="J291" s="1">
        <v>500</v>
      </c>
      <c r="K291" s="1">
        <v>500</v>
      </c>
    </row>
    <row r="292" spans="1:11" x14ac:dyDescent="0.25">
      <c r="A292" t="s">
        <v>1373</v>
      </c>
      <c r="B292" t="s">
        <v>2718</v>
      </c>
      <c r="C292" t="s">
        <v>16</v>
      </c>
      <c r="D292" t="s">
        <v>4466</v>
      </c>
      <c r="E292" t="s">
        <v>4438</v>
      </c>
      <c r="F292" t="s">
        <v>2739</v>
      </c>
      <c r="G292" s="2">
        <v>45478</v>
      </c>
      <c r="H292">
        <v>0</v>
      </c>
      <c r="I292">
        <v>0</v>
      </c>
      <c r="J292" s="1">
        <v>500</v>
      </c>
      <c r="K292" s="1">
        <v>500</v>
      </c>
    </row>
    <row r="293" spans="1:11" x14ac:dyDescent="0.25">
      <c r="A293" t="s">
        <v>1361</v>
      </c>
      <c r="B293" t="s">
        <v>2712</v>
      </c>
      <c r="C293" t="s">
        <v>16</v>
      </c>
      <c r="D293" t="s">
        <v>4461</v>
      </c>
      <c r="E293" t="s">
        <v>4449</v>
      </c>
      <c r="F293" t="s">
        <v>2739</v>
      </c>
      <c r="G293" s="2">
        <v>45481</v>
      </c>
      <c r="H293">
        <v>0</v>
      </c>
      <c r="I293">
        <v>0</v>
      </c>
      <c r="J293" s="1">
        <v>500</v>
      </c>
      <c r="K293" s="1">
        <v>500</v>
      </c>
    </row>
    <row r="294" spans="1:11" x14ac:dyDescent="0.25">
      <c r="A294" t="s">
        <v>1353</v>
      </c>
      <c r="B294" t="s">
        <v>2706</v>
      </c>
      <c r="C294" t="s">
        <v>27</v>
      </c>
      <c r="D294" t="s">
        <v>4461</v>
      </c>
      <c r="E294" t="s">
        <v>4452</v>
      </c>
      <c r="F294" t="s">
        <v>2739</v>
      </c>
      <c r="G294" s="2">
        <v>45483</v>
      </c>
      <c r="H294">
        <v>0</v>
      </c>
      <c r="I294">
        <v>0</v>
      </c>
      <c r="J294" s="1">
        <v>500</v>
      </c>
      <c r="K294" s="1">
        <v>500</v>
      </c>
    </row>
    <row r="295" spans="1:11" x14ac:dyDescent="0.25">
      <c r="A295" t="s">
        <v>1354</v>
      </c>
      <c r="B295" t="s">
        <v>136</v>
      </c>
      <c r="C295" t="s">
        <v>35</v>
      </c>
      <c r="D295" t="s">
        <v>4462</v>
      </c>
      <c r="E295" t="s">
        <v>3304</v>
      </c>
      <c r="F295" t="s">
        <v>2739</v>
      </c>
      <c r="G295" s="2">
        <v>45483</v>
      </c>
      <c r="H295">
        <v>0</v>
      </c>
      <c r="I295">
        <v>0</v>
      </c>
      <c r="J295" s="1">
        <v>500</v>
      </c>
      <c r="K295" s="1">
        <v>500</v>
      </c>
    </row>
    <row r="296" spans="1:11" x14ac:dyDescent="0.25">
      <c r="A296" t="s">
        <v>1349</v>
      </c>
      <c r="B296" t="s">
        <v>4471</v>
      </c>
      <c r="C296" t="s">
        <v>35</v>
      </c>
      <c r="D296" t="s">
        <v>4470</v>
      </c>
      <c r="E296" t="s">
        <v>35</v>
      </c>
      <c r="F296" t="s">
        <v>2739</v>
      </c>
      <c r="G296" s="2">
        <v>45484</v>
      </c>
      <c r="H296">
        <v>0</v>
      </c>
      <c r="I296">
        <v>0</v>
      </c>
      <c r="J296" s="1">
        <v>500</v>
      </c>
      <c r="K296" s="1">
        <v>500</v>
      </c>
    </row>
    <row r="297" spans="1:11" x14ac:dyDescent="0.25">
      <c r="A297" t="s">
        <v>1328</v>
      </c>
      <c r="B297" t="s">
        <v>2731</v>
      </c>
      <c r="C297" t="s">
        <v>16</v>
      </c>
      <c r="D297" t="s">
        <v>4465</v>
      </c>
      <c r="E297" t="s">
        <v>4460</v>
      </c>
      <c r="F297" t="s">
        <v>2739</v>
      </c>
      <c r="G297" s="2">
        <v>45487</v>
      </c>
      <c r="H297">
        <v>0</v>
      </c>
      <c r="I297">
        <v>0</v>
      </c>
      <c r="J297" s="1">
        <v>500</v>
      </c>
      <c r="K297" s="1">
        <v>500</v>
      </c>
    </row>
    <row r="298" spans="1:11" x14ac:dyDescent="0.25">
      <c r="A298" t="s">
        <v>1323</v>
      </c>
      <c r="B298" t="s">
        <v>2699</v>
      </c>
      <c r="C298" t="s">
        <v>16</v>
      </c>
      <c r="D298" t="s">
        <v>4462</v>
      </c>
      <c r="E298" t="s">
        <v>4440</v>
      </c>
      <c r="F298" t="s">
        <v>2739</v>
      </c>
      <c r="G298" s="2">
        <v>45488</v>
      </c>
      <c r="H298">
        <v>0</v>
      </c>
      <c r="I298">
        <v>0</v>
      </c>
      <c r="J298" s="1">
        <v>500</v>
      </c>
      <c r="K298" s="1">
        <v>500</v>
      </c>
    </row>
    <row r="299" spans="1:11" x14ac:dyDescent="0.25">
      <c r="A299" t="s">
        <v>1325</v>
      </c>
      <c r="B299" t="s">
        <v>2729</v>
      </c>
      <c r="C299" t="s">
        <v>16</v>
      </c>
      <c r="D299" t="s">
        <v>4465</v>
      </c>
      <c r="E299" t="s">
        <v>4427</v>
      </c>
      <c r="F299" t="s">
        <v>2739</v>
      </c>
      <c r="G299" s="2">
        <v>45488</v>
      </c>
      <c r="H299">
        <v>0</v>
      </c>
      <c r="I299">
        <v>0</v>
      </c>
      <c r="J299" s="1">
        <v>500</v>
      </c>
      <c r="K299" s="1">
        <v>500</v>
      </c>
    </row>
    <row r="300" spans="1:11" x14ac:dyDescent="0.25">
      <c r="A300" t="s">
        <v>1315</v>
      </c>
      <c r="B300" t="s">
        <v>2710</v>
      </c>
      <c r="C300" t="s">
        <v>42</v>
      </c>
      <c r="D300" t="s">
        <v>4467</v>
      </c>
      <c r="E300" t="s">
        <v>4436</v>
      </c>
      <c r="F300" t="s">
        <v>2739</v>
      </c>
      <c r="G300" s="2">
        <v>45489</v>
      </c>
      <c r="H300">
        <v>0</v>
      </c>
      <c r="I300">
        <v>0</v>
      </c>
      <c r="J300" s="1">
        <v>500</v>
      </c>
      <c r="K300" s="1">
        <v>500</v>
      </c>
    </row>
    <row r="301" spans="1:11" x14ac:dyDescent="0.25">
      <c r="A301" t="s">
        <v>1288</v>
      </c>
      <c r="B301" t="s">
        <v>2704</v>
      </c>
      <c r="C301" t="s">
        <v>35</v>
      </c>
      <c r="D301" t="s">
        <v>42</v>
      </c>
      <c r="E301" t="s">
        <v>3275</v>
      </c>
      <c r="F301" t="s">
        <v>2739</v>
      </c>
      <c r="G301" s="2">
        <v>45492</v>
      </c>
      <c r="H301">
        <v>0</v>
      </c>
      <c r="I301">
        <v>0</v>
      </c>
      <c r="J301" s="1">
        <v>500</v>
      </c>
      <c r="K301" s="1">
        <v>500</v>
      </c>
    </row>
    <row r="302" spans="1:11" x14ac:dyDescent="0.25">
      <c r="A302" t="s">
        <v>1290</v>
      </c>
      <c r="B302" t="s">
        <v>2703</v>
      </c>
      <c r="C302" t="s">
        <v>35</v>
      </c>
      <c r="D302" t="s">
        <v>4404</v>
      </c>
      <c r="E302" t="s">
        <v>3275</v>
      </c>
      <c r="F302" t="s">
        <v>2739</v>
      </c>
      <c r="G302" s="2">
        <v>45492</v>
      </c>
      <c r="H302">
        <v>0</v>
      </c>
      <c r="I302">
        <v>0</v>
      </c>
      <c r="J302" s="1">
        <v>500</v>
      </c>
      <c r="K302" s="1">
        <v>500</v>
      </c>
    </row>
    <row r="303" spans="1:11" x14ac:dyDescent="0.25">
      <c r="A303" t="s">
        <v>1288</v>
      </c>
      <c r="B303" t="s">
        <v>2704</v>
      </c>
      <c r="C303" t="s">
        <v>35</v>
      </c>
      <c r="D303" t="s">
        <v>42</v>
      </c>
      <c r="E303" t="s">
        <v>3275</v>
      </c>
      <c r="F303" t="s">
        <v>2739</v>
      </c>
      <c r="G303" s="2">
        <v>45492</v>
      </c>
      <c r="H303">
        <v>0</v>
      </c>
      <c r="I303">
        <v>0</v>
      </c>
      <c r="J303" s="1">
        <v>500</v>
      </c>
      <c r="K303" s="1">
        <v>500</v>
      </c>
    </row>
    <row r="304" spans="1:11" x14ac:dyDescent="0.25">
      <c r="A304" t="s">
        <v>1290</v>
      </c>
      <c r="B304" t="s">
        <v>2703</v>
      </c>
      <c r="C304" t="s">
        <v>35</v>
      </c>
      <c r="D304" t="s">
        <v>4404</v>
      </c>
      <c r="E304" t="s">
        <v>3275</v>
      </c>
      <c r="F304" t="s">
        <v>2739</v>
      </c>
      <c r="G304" s="2">
        <v>45492</v>
      </c>
      <c r="H304">
        <v>0</v>
      </c>
      <c r="I304">
        <v>0</v>
      </c>
      <c r="J304" s="1">
        <v>500</v>
      </c>
      <c r="K304" s="1">
        <v>500</v>
      </c>
    </row>
    <row r="305" spans="1:11" x14ac:dyDescent="0.25">
      <c r="A305" t="s">
        <v>1258</v>
      </c>
      <c r="B305" t="s">
        <v>2711</v>
      </c>
      <c r="C305" t="s">
        <v>16</v>
      </c>
      <c r="D305" t="s">
        <v>4461</v>
      </c>
      <c r="E305" t="s">
        <v>4447</v>
      </c>
      <c r="F305" t="s">
        <v>2739</v>
      </c>
      <c r="G305" s="2">
        <v>45495</v>
      </c>
      <c r="H305">
        <v>0</v>
      </c>
      <c r="I305">
        <v>0</v>
      </c>
      <c r="J305" s="1">
        <v>500</v>
      </c>
      <c r="K305" s="1">
        <v>500</v>
      </c>
    </row>
    <row r="306" spans="1:11" x14ac:dyDescent="0.25">
      <c r="A306" t="s">
        <v>1260</v>
      </c>
      <c r="B306" t="s">
        <v>2716</v>
      </c>
      <c r="C306" t="s">
        <v>16</v>
      </c>
      <c r="D306" t="s">
        <v>4462</v>
      </c>
      <c r="E306" t="s">
        <v>4458</v>
      </c>
      <c r="F306" t="s">
        <v>2739</v>
      </c>
      <c r="G306" s="2">
        <v>45495</v>
      </c>
      <c r="H306">
        <v>0</v>
      </c>
      <c r="I306">
        <v>0</v>
      </c>
      <c r="J306" s="1">
        <v>500</v>
      </c>
      <c r="K306" s="1">
        <v>500</v>
      </c>
    </row>
    <row r="307" spans="1:11" x14ac:dyDescent="0.25">
      <c r="A307" t="s">
        <v>1246</v>
      </c>
      <c r="B307" t="s">
        <v>2709</v>
      </c>
      <c r="C307" t="s">
        <v>42</v>
      </c>
      <c r="D307" t="s">
        <v>4467</v>
      </c>
      <c r="E307" t="s">
        <v>4456</v>
      </c>
      <c r="F307" t="s">
        <v>2739</v>
      </c>
      <c r="G307" s="2">
        <v>45498</v>
      </c>
      <c r="H307">
        <v>0</v>
      </c>
      <c r="I307">
        <v>0</v>
      </c>
      <c r="J307" s="1">
        <v>500</v>
      </c>
      <c r="K307" s="1">
        <v>500</v>
      </c>
    </row>
    <row r="308" spans="1:11" x14ac:dyDescent="0.25">
      <c r="A308" t="s">
        <v>1240</v>
      </c>
      <c r="B308" t="s">
        <v>2708</v>
      </c>
      <c r="C308" t="s">
        <v>16</v>
      </c>
      <c r="D308" t="s">
        <v>4466</v>
      </c>
      <c r="E308" t="s">
        <v>4457</v>
      </c>
      <c r="F308" t="s">
        <v>2739</v>
      </c>
      <c r="G308" s="2">
        <v>45499</v>
      </c>
      <c r="H308">
        <v>0</v>
      </c>
      <c r="I308">
        <v>0</v>
      </c>
      <c r="J308" s="1">
        <v>500</v>
      </c>
      <c r="K308" s="1">
        <v>500</v>
      </c>
    </row>
    <row r="309" spans="1:11" x14ac:dyDescent="0.25">
      <c r="A309" t="s">
        <v>1232</v>
      </c>
      <c r="B309" t="s">
        <v>2727</v>
      </c>
      <c r="C309" t="s">
        <v>16</v>
      </c>
      <c r="D309" t="s">
        <v>4465</v>
      </c>
      <c r="E309" t="s">
        <v>4445</v>
      </c>
      <c r="F309" t="s">
        <v>2739</v>
      </c>
      <c r="G309" s="2">
        <v>45500</v>
      </c>
      <c r="H309">
        <v>0</v>
      </c>
      <c r="I309">
        <v>0</v>
      </c>
      <c r="J309" s="1">
        <v>500</v>
      </c>
      <c r="K309" s="1">
        <v>500</v>
      </c>
    </row>
    <row r="310" spans="1:11" x14ac:dyDescent="0.25">
      <c r="A310" t="s">
        <v>1190</v>
      </c>
      <c r="B310" t="s">
        <v>2707</v>
      </c>
      <c r="C310" t="s">
        <v>16</v>
      </c>
      <c r="D310" t="s">
        <v>4462</v>
      </c>
      <c r="E310" t="s">
        <v>4433</v>
      </c>
      <c r="F310" t="s">
        <v>2739</v>
      </c>
      <c r="G310" s="2">
        <v>45505</v>
      </c>
      <c r="H310">
        <v>0</v>
      </c>
      <c r="I310">
        <v>0</v>
      </c>
      <c r="J310" s="1">
        <v>500</v>
      </c>
      <c r="K310" s="1">
        <v>500</v>
      </c>
    </row>
    <row r="311" spans="1:11" x14ac:dyDescent="0.25">
      <c r="A311" t="s">
        <v>1178</v>
      </c>
      <c r="B311" t="s">
        <v>2712</v>
      </c>
      <c r="C311" t="s">
        <v>16</v>
      </c>
      <c r="D311" t="s">
        <v>4461</v>
      </c>
      <c r="E311" t="s">
        <v>4449</v>
      </c>
      <c r="F311" t="s">
        <v>2739</v>
      </c>
      <c r="G311" s="2">
        <v>45506</v>
      </c>
      <c r="H311">
        <v>0</v>
      </c>
      <c r="I311">
        <v>0</v>
      </c>
      <c r="J311" s="1">
        <v>500</v>
      </c>
      <c r="K311" s="1">
        <v>500</v>
      </c>
    </row>
    <row r="312" spans="1:11" x14ac:dyDescent="0.25">
      <c r="A312" t="s">
        <v>1179</v>
      </c>
      <c r="B312" t="s">
        <v>2735</v>
      </c>
      <c r="C312" t="s">
        <v>16</v>
      </c>
      <c r="D312" t="s">
        <v>4462</v>
      </c>
      <c r="E312" t="s">
        <v>4426</v>
      </c>
      <c r="F312" t="s">
        <v>2739</v>
      </c>
      <c r="G312" s="2">
        <v>45506</v>
      </c>
      <c r="H312">
        <v>0</v>
      </c>
      <c r="I312">
        <v>0</v>
      </c>
      <c r="J312" s="1">
        <v>500</v>
      </c>
      <c r="K312" s="1">
        <v>500</v>
      </c>
    </row>
    <row r="313" spans="1:11" x14ac:dyDescent="0.25">
      <c r="A313" t="s">
        <v>1181</v>
      </c>
      <c r="B313" t="s">
        <v>2726</v>
      </c>
      <c r="C313" t="s">
        <v>16</v>
      </c>
      <c r="D313" t="s">
        <v>4466</v>
      </c>
      <c r="E313" t="s">
        <v>4437</v>
      </c>
      <c r="F313" t="s">
        <v>2739</v>
      </c>
      <c r="G313" s="2">
        <v>45506</v>
      </c>
      <c r="H313">
        <v>0</v>
      </c>
      <c r="I313">
        <v>0</v>
      </c>
      <c r="J313" s="1">
        <v>500</v>
      </c>
      <c r="K313" s="1">
        <v>500</v>
      </c>
    </row>
    <row r="314" spans="1:11" x14ac:dyDescent="0.25">
      <c r="A314" t="s">
        <v>1182</v>
      </c>
      <c r="B314" t="s">
        <v>2705</v>
      </c>
      <c r="C314" t="s">
        <v>42</v>
      </c>
      <c r="D314" t="s">
        <v>4467</v>
      </c>
      <c r="E314" t="s">
        <v>4435</v>
      </c>
      <c r="F314" t="s">
        <v>2739</v>
      </c>
      <c r="G314" s="2">
        <v>45506</v>
      </c>
      <c r="H314">
        <v>0</v>
      </c>
      <c r="I314">
        <v>0</v>
      </c>
      <c r="J314" s="1">
        <v>500</v>
      </c>
      <c r="K314" s="1">
        <v>500</v>
      </c>
    </row>
    <row r="315" spans="1:11" x14ac:dyDescent="0.25">
      <c r="A315" t="s">
        <v>1183</v>
      </c>
      <c r="B315" t="s">
        <v>2698</v>
      </c>
      <c r="C315" t="s">
        <v>16</v>
      </c>
      <c r="D315" t="s">
        <v>4465</v>
      </c>
      <c r="E315" t="s">
        <v>4442</v>
      </c>
      <c r="F315" t="s">
        <v>2739</v>
      </c>
      <c r="G315" s="2">
        <v>45506</v>
      </c>
      <c r="H315">
        <v>0</v>
      </c>
      <c r="I315">
        <v>0</v>
      </c>
      <c r="J315" s="1">
        <v>500</v>
      </c>
      <c r="K315" s="1">
        <v>500</v>
      </c>
    </row>
    <row r="316" spans="1:11" x14ac:dyDescent="0.25">
      <c r="A316" t="s">
        <v>1185</v>
      </c>
      <c r="B316" t="s">
        <v>2730</v>
      </c>
      <c r="C316" t="s">
        <v>42</v>
      </c>
      <c r="D316" t="s">
        <v>4467</v>
      </c>
      <c r="E316" t="s">
        <v>4441</v>
      </c>
      <c r="F316" t="s">
        <v>2739</v>
      </c>
      <c r="G316" s="2">
        <v>45506</v>
      </c>
      <c r="H316">
        <v>0</v>
      </c>
      <c r="I316">
        <v>0</v>
      </c>
      <c r="J316" s="1">
        <v>500</v>
      </c>
      <c r="K316" s="1">
        <v>500</v>
      </c>
    </row>
    <row r="317" spans="1:11" x14ac:dyDescent="0.25">
      <c r="A317" t="s">
        <v>1186</v>
      </c>
      <c r="B317" t="s">
        <v>2709</v>
      </c>
      <c r="C317" t="s">
        <v>42</v>
      </c>
      <c r="D317" t="s">
        <v>4467</v>
      </c>
      <c r="E317" t="s">
        <v>4456</v>
      </c>
      <c r="F317" t="s">
        <v>2739</v>
      </c>
      <c r="G317" s="2">
        <v>45506</v>
      </c>
      <c r="H317">
        <v>0</v>
      </c>
      <c r="I317">
        <v>0</v>
      </c>
      <c r="J317" s="1">
        <v>500</v>
      </c>
      <c r="K317" s="1">
        <v>500</v>
      </c>
    </row>
    <row r="318" spans="1:11" x14ac:dyDescent="0.25">
      <c r="A318" t="s">
        <v>1162</v>
      </c>
      <c r="B318" t="s">
        <v>2733</v>
      </c>
      <c r="C318" t="s">
        <v>16</v>
      </c>
      <c r="D318" t="s">
        <v>4465</v>
      </c>
      <c r="E318" t="s">
        <v>4448</v>
      </c>
      <c r="F318" t="s">
        <v>2739</v>
      </c>
      <c r="G318" s="2">
        <v>45507</v>
      </c>
      <c r="H318">
        <v>0</v>
      </c>
      <c r="I318">
        <v>0</v>
      </c>
      <c r="J318" s="1">
        <v>500</v>
      </c>
      <c r="K318" s="1">
        <v>500</v>
      </c>
    </row>
    <row r="319" spans="1:11" x14ac:dyDescent="0.25">
      <c r="A319" t="s">
        <v>1164</v>
      </c>
      <c r="B319" t="s">
        <v>2719</v>
      </c>
      <c r="C319" t="s">
        <v>16</v>
      </c>
      <c r="D319" t="s">
        <v>4466</v>
      </c>
      <c r="E319" t="s">
        <v>4430</v>
      </c>
      <c r="F319" t="s">
        <v>2739</v>
      </c>
      <c r="G319" s="2">
        <v>45507</v>
      </c>
      <c r="H319">
        <v>0</v>
      </c>
      <c r="I319">
        <v>0</v>
      </c>
      <c r="J319" s="1">
        <v>500</v>
      </c>
      <c r="K319" s="1">
        <v>500</v>
      </c>
    </row>
    <row r="320" spans="1:11" x14ac:dyDescent="0.25">
      <c r="A320" t="s">
        <v>1166</v>
      </c>
      <c r="B320" t="s">
        <v>133</v>
      </c>
      <c r="C320" t="s">
        <v>35</v>
      </c>
      <c r="D320" t="s">
        <v>4461</v>
      </c>
      <c r="E320" t="s">
        <v>3304</v>
      </c>
      <c r="F320" t="s">
        <v>2739</v>
      </c>
      <c r="G320" s="2">
        <v>45507</v>
      </c>
      <c r="H320">
        <v>0</v>
      </c>
      <c r="I320">
        <v>0</v>
      </c>
      <c r="J320" s="1">
        <v>500</v>
      </c>
      <c r="K320" s="1">
        <v>500</v>
      </c>
    </row>
    <row r="321" spans="1:11" x14ac:dyDescent="0.25">
      <c r="A321" t="s">
        <v>1168</v>
      </c>
      <c r="B321" t="s">
        <v>93</v>
      </c>
      <c r="C321" t="s">
        <v>35</v>
      </c>
      <c r="D321" t="s">
        <v>4465</v>
      </c>
      <c r="E321" t="s">
        <v>3304</v>
      </c>
      <c r="F321" t="s">
        <v>2739</v>
      </c>
      <c r="G321" s="2">
        <v>45507</v>
      </c>
      <c r="H321">
        <v>0</v>
      </c>
      <c r="I321">
        <v>0</v>
      </c>
      <c r="J321" s="1">
        <v>500</v>
      </c>
      <c r="K321" s="1">
        <v>500</v>
      </c>
    </row>
    <row r="322" spans="1:11" x14ac:dyDescent="0.25">
      <c r="A322" t="s">
        <v>1170</v>
      </c>
      <c r="B322" t="s">
        <v>136</v>
      </c>
      <c r="C322" t="s">
        <v>35</v>
      </c>
      <c r="D322" t="s">
        <v>4462</v>
      </c>
      <c r="E322" t="s">
        <v>3304</v>
      </c>
      <c r="F322" t="s">
        <v>2739</v>
      </c>
      <c r="G322" s="2">
        <v>45507</v>
      </c>
      <c r="H322">
        <v>0</v>
      </c>
      <c r="I322">
        <v>0</v>
      </c>
      <c r="J322" s="1">
        <v>500</v>
      </c>
      <c r="K322" s="1">
        <v>500</v>
      </c>
    </row>
    <row r="323" spans="1:11" x14ac:dyDescent="0.25">
      <c r="A323" t="s">
        <v>1172</v>
      </c>
      <c r="B323" t="s">
        <v>2702</v>
      </c>
      <c r="C323" t="s">
        <v>35</v>
      </c>
      <c r="D323" t="s">
        <v>3305</v>
      </c>
      <c r="E323" t="s">
        <v>3304</v>
      </c>
      <c r="F323" t="s">
        <v>2739</v>
      </c>
      <c r="G323" s="2">
        <v>45507</v>
      </c>
      <c r="H323">
        <v>0</v>
      </c>
      <c r="I323">
        <v>0</v>
      </c>
      <c r="J323" s="1">
        <v>500</v>
      </c>
      <c r="K323" s="1">
        <v>500</v>
      </c>
    </row>
    <row r="324" spans="1:11" x14ac:dyDescent="0.25">
      <c r="A324" t="s">
        <v>1174</v>
      </c>
      <c r="B324" t="s">
        <v>66</v>
      </c>
      <c r="C324" t="s">
        <v>35</v>
      </c>
      <c r="D324" t="s">
        <v>4466</v>
      </c>
      <c r="E324" t="s">
        <v>3304</v>
      </c>
      <c r="F324" t="s">
        <v>2739</v>
      </c>
      <c r="G324" s="2">
        <v>45507</v>
      </c>
      <c r="H324">
        <v>0</v>
      </c>
      <c r="I324">
        <v>0</v>
      </c>
      <c r="J324" s="1">
        <v>500</v>
      </c>
      <c r="K324" s="1">
        <v>500</v>
      </c>
    </row>
    <row r="325" spans="1:11" x14ac:dyDescent="0.25">
      <c r="A325" t="s">
        <v>1176</v>
      </c>
      <c r="B325" t="s">
        <v>4463</v>
      </c>
      <c r="C325" t="s">
        <v>35</v>
      </c>
      <c r="D325" t="s">
        <v>4464</v>
      </c>
      <c r="E325" t="s">
        <v>3304</v>
      </c>
      <c r="F325" t="s">
        <v>2739</v>
      </c>
      <c r="G325" s="2">
        <v>45507</v>
      </c>
      <c r="H325">
        <v>0</v>
      </c>
      <c r="I325">
        <v>0</v>
      </c>
      <c r="J325" s="1">
        <v>500</v>
      </c>
      <c r="K325" s="1">
        <v>500</v>
      </c>
    </row>
    <row r="326" spans="1:11" x14ac:dyDescent="0.25">
      <c r="A326" t="s">
        <v>1151</v>
      </c>
      <c r="B326" t="s">
        <v>2725</v>
      </c>
      <c r="C326" t="s">
        <v>16</v>
      </c>
      <c r="D326" t="s">
        <v>4465</v>
      </c>
      <c r="E326" t="s">
        <v>4429</v>
      </c>
      <c r="F326" t="s">
        <v>2739</v>
      </c>
      <c r="G326" s="2">
        <v>45508</v>
      </c>
      <c r="H326">
        <v>0</v>
      </c>
      <c r="I326">
        <v>0</v>
      </c>
      <c r="J326" s="1">
        <v>500</v>
      </c>
      <c r="K326" s="1">
        <v>500</v>
      </c>
    </row>
    <row r="327" spans="1:11" x14ac:dyDescent="0.25">
      <c r="A327" t="s">
        <v>1153</v>
      </c>
      <c r="B327" t="s">
        <v>2728</v>
      </c>
      <c r="C327" t="s">
        <v>16</v>
      </c>
      <c r="D327" t="s">
        <v>4465</v>
      </c>
      <c r="E327" t="s">
        <v>4439</v>
      </c>
      <c r="F327" t="s">
        <v>2739</v>
      </c>
      <c r="G327" s="2">
        <v>45508</v>
      </c>
      <c r="H327">
        <v>0</v>
      </c>
      <c r="I327">
        <v>0</v>
      </c>
      <c r="J327" s="1">
        <v>500</v>
      </c>
      <c r="K327" s="1">
        <v>500</v>
      </c>
    </row>
    <row r="328" spans="1:11" x14ac:dyDescent="0.25">
      <c r="A328" t="s">
        <v>1157</v>
      </c>
      <c r="B328" t="s">
        <v>2700</v>
      </c>
      <c r="C328" t="s">
        <v>27</v>
      </c>
      <c r="D328" t="s">
        <v>4466</v>
      </c>
      <c r="E328" t="s">
        <v>4450</v>
      </c>
      <c r="F328" t="s">
        <v>2739</v>
      </c>
      <c r="G328" s="2">
        <v>45508</v>
      </c>
      <c r="H328">
        <v>0</v>
      </c>
      <c r="I328">
        <v>0</v>
      </c>
      <c r="J328" s="1">
        <v>500</v>
      </c>
      <c r="K328" s="1">
        <v>500</v>
      </c>
    </row>
    <row r="329" spans="1:11" x14ac:dyDescent="0.25">
      <c r="A329" t="s">
        <v>1158</v>
      </c>
      <c r="B329" t="s">
        <v>2710</v>
      </c>
      <c r="C329" t="s">
        <v>42</v>
      </c>
      <c r="D329" t="s">
        <v>4467</v>
      </c>
      <c r="E329" t="s">
        <v>4436</v>
      </c>
      <c r="F329" t="s">
        <v>2739</v>
      </c>
      <c r="G329" s="2">
        <v>45508</v>
      </c>
      <c r="H329">
        <v>0</v>
      </c>
      <c r="I329">
        <v>0</v>
      </c>
      <c r="J329" s="1">
        <v>500</v>
      </c>
      <c r="K329" s="1">
        <v>500</v>
      </c>
    </row>
    <row r="330" spans="1:11" x14ac:dyDescent="0.25">
      <c r="A330" t="s">
        <v>1145</v>
      </c>
      <c r="B330" t="s">
        <v>2732</v>
      </c>
      <c r="C330" t="s">
        <v>16</v>
      </c>
      <c r="D330" t="s">
        <v>4461</v>
      </c>
      <c r="E330" t="s">
        <v>4444</v>
      </c>
      <c r="F330" t="s">
        <v>2739</v>
      </c>
      <c r="G330" s="2">
        <v>45510</v>
      </c>
      <c r="H330">
        <v>0</v>
      </c>
      <c r="I330">
        <v>0</v>
      </c>
      <c r="J330" s="1">
        <v>500</v>
      </c>
      <c r="K330" s="1">
        <v>500</v>
      </c>
    </row>
    <row r="331" spans="1:11" x14ac:dyDescent="0.25">
      <c r="A331" t="s">
        <v>1148</v>
      </c>
      <c r="B331" t="s">
        <v>2717</v>
      </c>
      <c r="C331" t="s">
        <v>16</v>
      </c>
      <c r="D331" t="s">
        <v>4466</v>
      </c>
      <c r="E331" t="s">
        <v>4431</v>
      </c>
      <c r="F331" t="s">
        <v>2739</v>
      </c>
      <c r="G331" s="2">
        <v>45510</v>
      </c>
      <c r="H331">
        <v>0</v>
      </c>
      <c r="I331">
        <v>0</v>
      </c>
      <c r="J331" s="1">
        <v>500</v>
      </c>
      <c r="K331" s="1">
        <v>500</v>
      </c>
    </row>
    <row r="332" spans="1:11" x14ac:dyDescent="0.25">
      <c r="A332" t="s">
        <v>1136</v>
      </c>
      <c r="B332" t="s">
        <v>2724</v>
      </c>
      <c r="C332" t="s">
        <v>16</v>
      </c>
      <c r="D332" t="s">
        <v>4462</v>
      </c>
      <c r="E332" t="s">
        <v>4451</v>
      </c>
      <c r="F332" t="s">
        <v>2739</v>
      </c>
      <c r="G332" s="2">
        <v>45511</v>
      </c>
      <c r="H332">
        <v>0</v>
      </c>
      <c r="I332">
        <v>0</v>
      </c>
      <c r="J332" s="1">
        <v>500</v>
      </c>
      <c r="K332" s="1">
        <v>500</v>
      </c>
    </row>
    <row r="333" spans="1:11" x14ac:dyDescent="0.25">
      <c r="A333" t="s">
        <v>1142</v>
      </c>
      <c r="B333" t="s">
        <v>2701</v>
      </c>
      <c r="C333" t="s">
        <v>16</v>
      </c>
      <c r="D333" t="s">
        <v>4466</v>
      </c>
      <c r="E333" t="s">
        <v>4453</v>
      </c>
      <c r="F333" t="s">
        <v>2739</v>
      </c>
      <c r="G333" s="2">
        <v>45511</v>
      </c>
      <c r="H333">
        <v>0</v>
      </c>
      <c r="I333">
        <v>0</v>
      </c>
      <c r="J333" s="1">
        <v>500</v>
      </c>
      <c r="K333" s="1">
        <v>500</v>
      </c>
    </row>
    <row r="334" spans="1:11" x14ac:dyDescent="0.25">
      <c r="A334" t="s">
        <v>1130</v>
      </c>
      <c r="B334" t="s">
        <v>2713</v>
      </c>
      <c r="C334" t="s">
        <v>16</v>
      </c>
      <c r="D334" t="s">
        <v>4465</v>
      </c>
      <c r="E334" t="s">
        <v>4428</v>
      </c>
      <c r="F334" t="s">
        <v>2739</v>
      </c>
      <c r="G334" s="2">
        <v>45512</v>
      </c>
      <c r="H334">
        <v>0</v>
      </c>
      <c r="I334">
        <v>0</v>
      </c>
      <c r="J334" s="1">
        <v>500</v>
      </c>
      <c r="K334" s="1">
        <v>500</v>
      </c>
    </row>
    <row r="335" spans="1:11" x14ac:dyDescent="0.25">
      <c r="A335" t="s">
        <v>1132</v>
      </c>
      <c r="B335" t="s">
        <v>4471</v>
      </c>
      <c r="C335" t="s">
        <v>35</v>
      </c>
      <c r="D335" t="s">
        <v>4470</v>
      </c>
      <c r="E335" t="s">
        <v>35</v>
      </c>
      <c r="F335" t="s">
        <v>2739</v>
      </c>
      <c r="G335" s="2">
        <v>45512</v>
      </c>
      <c r="H335">
        <v>0</v>
      </c>
      <c r="I335">
        <v>0</v>
      </c>
      <c r="J335" s="1">
        <v>500</v>
      </c>
      <c r="K335" s="1">
        <v>500</v>
      </c>
    </row>
    <row r="336" spans="1:11" x14ac:dyDescent="0.25">
      <c r="A336" t="s">
        <v>1134</v>
      </c>
      <c r="B336" t="s">
        <v>2737</v>
      </c>
      <c r="C336" t="s">
        <v>16</v>
      </c>
      <c r="D336" t="s">
        <v>4466</v>
      </c>
      <c r="E336" t="s">
        <v>4432</v>
      </c>
      <c r="F336" t="s">
        <v>2739</v>
      </c>
      <c r="G336" s="2">
        <v>45512</v>
      </c>
      <c r="H336">
        <v>0</v>
      </c>
      <c r="I336">
        <v>0</v>
      </c>
      <c r="J336" s="1">
        <v>500</v>
      </c>
      <c r="K336" s="1">
        <v>1000</v>
      </c>
    </row>
    <row r="337" spans="1:11" x14ac:dyDescent="0.25">
      <c r="A337" t="s">
        <v>1124</v>
      </c>
      <c r="B337" t="s">
        <v>2731</v>
      </c>
      <c r="C337" t="s">
        <v>16</v>
      </c>
      <c r="D337" t="s">
        <v>4465</v>
      </c>
      <c r="E337" t="s">
        <v>4460</v>
      </c>
      <c r="F337" t="s">
        <v>2739</v>
      </c>
      <c r="G337" s="2">
        <v>45513</v>
      </c>
      <c r="H337">
        <v>0</v>
      </c>
      <c r="I337">
        <v>0</v>
      </c>
      <c r="J337" s="1">
        <v>500</v>
      </c>
      <c r="K337" s="1">
        <v>500</v>
      </c>
    </row>
    <row r="338" spans="1:11" x14ac:dyDescent="0.25">
      <c r="A338" t="s">
        <v>1125</v>
      </c>
      <c r="B338" t="s">
        <v>2704</v>
      </c>
      <c r="C338" t="s">
        <v>35</v>
      </c>
      <c r="D338" t="s">
        <v>42</v>
      </c>
      <c r="E338" t="s">
        <v>3275</v>
      </c>
      <c r="F338" t="s">
        <v>2739</v>
      </c>
      <c r="G338" s="2">
        <v>45513</v>
      </c>
      <c r="H338">
        <v>0</v>
      </c>
      <c r="I338">
        <v>0</v>
      </c>
      <c r="J338" s="1">
        <v>500</v>
      </c>
      <c r="K338" s="1">
        <v>500</v>
      </c>
    </row>
    <row r="339" spans="1:11" x14ac:dyDescent="0.25">
      <c r="A339" t="s">
        <v>1087</v>
      </c>
      <c r="B339" t="s">
        <v>2714</v>
      </c>
      <c r="C339" t="s">
        <v>16</v>
      </c>
      <c r="D339" t="s">
        <v>4466</v>
      </c>
      <c r="E339" t="s">
        <v>4434</v>
      </c>
      <c r="F339" t="s">
        <v>2739</v>
      </c>
      <c r="G339" s="2">
        <v>45515</v>
      </c>
      <c r="H339">
        <v>0</v>
      </c>
      <c r="I339">
        <v>0</v>
      </c>
      <c r="J339" s="1">
        <v>500</v>
      </c>
      <c r="K339" s="1">
        <v>500</v>
      </c>
    </row>
    <row r="340" spans="1:11" x14ac:dyDescent="0.25">
      <c r="A340" t="s">
        <v>1089</v>
      </c>
      <c r="B340" t="s">
        <v>2722</v>
      </c>
      <c r="C340" t="s">
        <v>16</v>
      </c>
      <c r="D340" t="s">
        <v>4462</v>
      </c>
      <c r="E340" t="s">
        <v>4446</v>
      </c>
      <c r="F340" t="s">
        <v>2739</v>
      </c>
      <c r="G340" s="2">
        <v>45515</v>
      </c>
      <c r="H340">
        <v>0</v>
      </c>
      <c r="I340">
        <v>0</v>
      </c>
      <c r="J340" s="1">
        <v>500</v>
      </c>
      <c r="K340" s="1">
        <v>500</v>
      </c>
    </row>
    <row r="341" spans="1:11" x14ac:dyDescent="0.25">
      <c r="A341" t="s">
        <v>1072</v>
      </c>
      <c r="B341" t="s">
        <v>2729</v>
      </c>
      <c r="C341" t="s">
        <v>16</v>
      </c>
      <c r="D341" t="s">
        <v>4465</v>
      </c>
      <c r="E341" t="s">
        <v>4427</v>
      </c>
      <c r="F341" t="s">
        <v>2739</v>
      </c>
      <c r="G341" s="2">
        <v>45518</v>
      </c>
      <c r="H341">
        <v>0</v>
      </c>
      <c r="I341">
        <v>0</v>
      </c>
      <c r="J341" s="1">
        <v>500</v>
      </c>
      <c r="K341" s="1">
        <v>500</v>
      </c>
    </row>
    <row r="342" spans="1:11" x14ac:dyDescent="0.25">
      <c r="A342" t="s">
        <v>1037</v>
      </c>
      <c r="B342" t="s">
        <v>2699</v>
      </c>
      <c r="C342" t="s">
        <v>16</v>
      </c>
      <c r="D342" t="s">
        <v>4462</v>
      </c>
      <c r="E342" t="s">
        <v>4440</v>
      </c>
      <c r="F342" t="s">
        <v>2739</v>
      </c>
      <c r="G342" s="2">
        <v>45525</v>
      </c>
      <c r="H342">
        <v>0</v>
      </c>
      <c r="I342">
        <v>0</v>
      </c>
      <c r="J342" s="1">
        <v>500</v>
      </c>
      <c r="K342" s="1">
        <v>500</v>
      </c>
    </row>
    <row r="343" spans="1:11" x14ac:dyDescent="0.25">
      <c r="A343" t="s">
        <v>1032</v>
      </c>
      <c r="B343" t="s">
        <v>2711</v>
      </c>
      <c r="C343" t="s">
        <v>16</v>
      </c>
      <c r="D343" t="s">
        <v>4461</v>
      </c>
      <c r="E343" t="s">
        <v>4447</v>
      </c>
      <c r="F343" t="s">
        <v>2739</v>
      </c>
      <c r="G343" s="2">
        <v>45526</v>
      </c>
      <c r="H343">
        <v>0</v>
      </c>
      <c r="I343">
        <v>0</v>
      </c>
      <c r="J343" s="1">
        <v>500</v>
      </c>
      <c r="K343" s="1">
        <v>500</v>
      </c>
    </row>
    <row r="344" spans="1:11" x14ac:dyDescent="0.25">
      <c r="A344" t="s">
        <v>1033</v>
      </c>
      <c r="B344" t="s">
        <v>2718</v>
      </c>
      <c r="C344" t="s">
        <v>16</v>
      </c>
      <c r="D344" t="s">
        <v>4466</v>
      </c>
      <c r="E344" t="s">
        <v>4438</v>
      </c>
      <c r="F344" t="s">
        <v>2739</v>
      </c>
      <c r="G344" s="2">
        <v>45526</v>
      </c>
      <c r="H344">
        <v>0</v>
      </c>
      <c r="I344">
        <v>0</v>
      </c>
      <c r="J344" s="1">
        <v>500</v>
      </c>
      <c r="K344" s="1">
        <v>500</v>
      </c>
    </row>
    <row r="345" spans="1:11" x14ac:dyDescent="0.25">
      <c r="A345" t="s">
        <v>1026</v>
      </c>
      <c r="B345" t="s">
        <v>2708</v>
      </c>
      <c r="C345" t="s">
        <v>16</v>
      </c>
      <c r="D345" t="s">
        <v>4466</v>
      </c>
      <c r="E345" t="s">
        <v>4457</v>
      </c>
      <c r="F345" t="s">
        <v>2739</v>
      </c>
      <c r="G345" s="2">
        <v>45528</v>
      </c>
      <c r="H345">
        <v>0</v>
      </c>
      <c r="I345">
        <v>0</v>
      </c>
      <c r="J345" s="1">
        <v>500</v>
      </c>
      <c r="K345" s="1">
        <v>500</v>
      </c>
    </row>
    <row r="346" spans="1:11" x14ac:dyDescent="0.25">
      <c r="A346" t="s">
        <v>1004</v>
      </c>
      <c r="B346" t="s">
        <v>2716</v>
      </c>
      <c r="C346" t="s">
        <v>16</v>
      </c>
      <c r="D346" t="s">
        <v>4462</v>
      </c>
      <c r="E346" t="s">
        <v>4458</v>
      </c>
      <c r="F346" t="s">
        <v>2739</v>
      </c>
      <c r="G346" s="2">
        <v>45530</v>
      </c>
      <c r="H346">
        <v>0</v>
      </c>
      <c r="I346">
        <v>0</v>
      </c>
      <c r="J346" s="1">
        <v>500</v>
      </c>
      <c r="K346" s="1">
        <v>500</v>
      </c>
    </row>
    <row r="347" spans="1:11" x14ac:dyDescent="0.25">
      <c r="A347" t="s">
        <v>1008</v>
      </c>
      <c r="B347" t="s">
        <v>2736</v>
      </c>
      <c r="C347" t="s">
        <v>16</v>
      </c>
      <c r="D347" t="s">
        <v>4461</v>
      </c>
      <c r="E347" t="s">
        <v>4459</v>
      </c>
      <c r="F347" t="s">
        <v>2739</v>
      </c>
      <c r="G347" s="2">
        <v>45530</v>
      </c>
      <c r="H347">
        <v>0</v>
      </c>
      <c r="I347">
        <v>0</v>
      </c>
      <c r="J347" s="1">
        <v>500</v>
      </c>
      <c r="K347" s="1">
        <v>500</v>
      </c>
    </row>
    <row r="348" spans="1:11" x14ac:dyDescent="0.25">
      <c r="A348" t="s">
        <v>973</v>
      </c>
      <c r="B348" t="s">
        <v>2721</v>
      </c>
      <c r="C348" t="s">
        <v>16</v>
      </c>
      <c r="D348" t="s">
        <v>4466</v>
      </c>
      <c r="E348" t="s">
        <v>4438</v>
      </c>
      <c r="F348" t="s">
        <v>2739</v>
      </c>
      <c r="G348" s="2">
        <v>45532</v>
      </c>
      <c r="H348">
        <v>0</v>
      </c>
      <c r="I348">
        <v>0</v>
      </c>
      <c r="J348" s="1">
        <v>500</v>
      </c>
      <c r="K348" s="1">
        <v>500</v>
      </c>
    </row>
    <row r="349" spans="1:11" x14ac:dyDescent="0.25">
      <c r="A349" t="s">
        <v>988</v>
      </c>
      <c r="B349" t="s">
        <v>2727</v>
      </c>
      <c r="C349" t="s">
        <v>16</v>
      </c>
      <c r="D349" t="s">
        <v>4465</v>
      </c>
      <c r="E349" t="s">
        <v>4445</v>
      </c>
      <c r="F349" t="s">
        <v>2739</v>
      </c>
      <c r="G349" s="2">
        <v>45532</v>
      </c>
      <c r="H349">
        <v>0</v>
      </c>
      <c r="I349">
        <v>0</v>
      </c>
      <c r="J349" s="1">
        <v>500</v>
      </c>
      <c r="K349" s="1">
        <v>500</v>
      </c>
    </row>
    <row r="350" spans="1:11" x14ac:dyDescent="0.25">
      <c r="A350" t="s">
        <v>956</v>
      </c>
      <c r="B350" t="s">
        <v>2706</v>
      </c>
      <c r="C350" t="s">
        <v>27</v>
      </c>
      <c r="D350" t="s">
        <v>4461</v>
      </c>
      <c r="E350" t="s">
        <v>4452</v>
      </c>
      <c r="F350" t="s">
        <v>2739</v>
      </c>
      <c r="G350" s="2">
        <v>45535</v>
      </c>
      <c r="H350">
        <v>0</v>
      </c>
      <c r="I350">
        <v>0</v>
      </c>
      <c r="J350" s="1">
        <v>500</v>
      </c>
      <c r="K350" s="1">
        <v>500</v>
      </c>
    </row>
    <row r="351" spans="1:11" x14ac:dyDescent="0.25">
      <c r="A351" t="s">
        <v>949</v>
      </c>
      <c r="B351" t="s">
        <v>2719</v>
      </c>
      <c r="C351" t="s">
        <v>16</v>
      </c>
      <c r="D351" t="s">
        <v>4466</v>
      </c>
      <c r="E351" t="s">
        <v>4430</v>
      </c>
      <c r="F351" t="s">
        <v>2739</v>
      </c>
      <c r="G351" s="2">
        <v>45536</v>
      </c>
      <c r="H351">
        <v>0</v>
      </c>
      <c r="I351">
        <v>0</v>
      </c>
      <c r="J351" s="1">
        <v>500</v>
      </c>
      <c r="K351" s="1">
        <v>500</v>
      </c>
    </row>
    <row r="352" spans="1:11" x14ac:dyDescent="0.25">
      <c r="A352" t="s">
        <v>950</v>
      </c>
      <c r="B352" t="s">
        <v>2733</v>
      </c>
      <c r="C352" t="s">
        <v>16</v>
      </c>
      <c r="D352" t="s">
        <v>4465</v>
      </c>
      <c r="E352" t="s">
        <v>4448</v>
      </c>
      <c r="F352" t="s">
        <v>2739</v>
      </c>
      <c r="G352" s="2">
        <v>45536</v>
      </c>
      <c r="H352">
        <v>0</v>
      </c>
      <c r="I352">
        <v>0</v>
      </c>
      <c r="J352" s="1">
        <v>500</v>
      </c>
      <c r="K352" s="1">
        <v>500</v>
      </c>
    </row>
    <row r="353" spans="1:11" x14ac:dyDescent="0.25">
      <c r="A353" t="s">
        <v>951</v>
      </c>
      <c r="B353" t="s">
        <v>2717</v>
      </c>
      <c r="C353" t="s">
        <v>16</v>
      </c>
      <c r="D353" t="s">
        <v>4466</v>
      </c>
      <c r="E353" t="s">
        <v>4431</v>
      </c>
      <c r="F353" t="s">
        <v>2739</v>
      </c>
      <c r="G353" s="2">
        <v>45536</v>
      </c>
      <c r="H353">
        <v>0</v>
      </c>
      <c r="I353">
        <v>0</v>
      </c>
      <c r="J353" s="1">
        <v>500</v>
      </c>
      <c r="K353" s="1">
        <v>500</v>
      </c>
    </row>
    <row r="354" spans="1:11" x14ac:dyDescent="0.25">
      <c r="A354" t="s">
        <v>953</v>
      </c>
      <c r="B354" t="s">
        <v>2712</v>
      </c>
      <c r="C354" t="s">
        <v>16</v>
      </c>
      <c r="D354" t="s">
        <v>4461</v>
      </c>
      <c r="E354" t="s">
        <v>4449</v>
      </c>
      <c r="F354" t="s">
        <v>2739</v>
      </c>
      <c r="G354" s="2">
        <v>45536</v>
      </c>
      <c r="H354">
        <v>0</v>
      </c>
      <c r="I354">
        <v>0</v>
      </c>
      <c r="J354" s="1">
        <v>500</v>
      </c>
      <c r="K354" s="1">
        <v>500</v>
      </c>
    </row>
    <row r="355" spans="1:11" x14ac:dyDescent="0.25">
      <c r="A355" t="s">
        <v>945</v>
      </c>
      <c r="B355" t="s">
        <v>2701</v>
      </c>
      <c r="C355" t="s">
        <v>16</v>
      </c>
      <c r="D355" t="s">
        <v>4466</v>
      </c>
      <c r="E355" t="s">
        <v>4453</v>
      </c>
      <c r="F355" t="s">
        <v>2739</v>
      </c>
      <c r="G355" s="2">
        <v>45537</v>
      </c>
      <c r="H355">
        <v>0</v>
      </c>
      <c r="I355">
        <v>0</v>
      </c>
      <c r="J355" s="1">
        <v>500</v>
      </c>
      <c r="K355" s="1">
        <v>500</v>
      </c>
    </row>
    <row r="356" spans="1:11" x14ac:dyDescent="0.25">
      <c r="A356" t="s">
        <v>947</v>
      </c>
      <c r="B356" t="s">
        <v>2726</v>
      </c>
      <c r="C356" t="s">
        <v>16</v>
      </c>
      <c r="D356" t="s">
        <v>4466</v>
      </c>
      <c r="E356" t="s">
        <v>4437</v>
      </c>
      <c r="F356" t="s">
        <v>2739</v>
      </c>
      <c r="G356" s="2">
        <v>45537</v>
      </c>
      <c r="H356">
        <v>0</v>
      </c>
      <c r="I356">
        <v>0</v>
      </c>
      <c r="J356" s="1">
        <v>500</v>
      </c>
      <c r="K356" s="1">
        <v>500</v>
      </c>
    </row>
    <row r="357" spans="1:11" x14ac:dyDescent="0.25">
      <c r="A357" t="s">
        <v>948</v>
      </c>
      <c r="B357" t="s">
        <v>2731</v>
      </c>
      <c r="C357" t="s">
        <v>16</v>
      </c>
      <c r="D357" t="s">
        <v>4465</v>
      </c>
      <c r="E357" t="s">
        <v>4460</v>
      </c>
      <c r="F357" t="s">
        <v>2739</v>
      </c>
      <c r="G357" s="2">
        <v>45537</v>
      </c>
      <c r="H357">
        <v>0</v>
      </c>
      <c r="I357">
        <v>0</v>
      </c>
      <c r="J357" s="1">
        <v>500</v>
      </c>
      <c r="K357" s="1">
        <v>500</v>
      </c>
    </row>
    <row r="358" spans="1:11" x14ac:dyDescent="0.25">
      <c r="A358" t="s">
        <v>937</v>
      </c>
      <c r="B358" t="s">
        <v>2698</v>
      </c>
      <c r="C358" t="s">
        <v>16</v>
      </c>
      <c r="D358" t="s">
        <v>4465</v>
      </c>
      <c r="E358" t="s">
        <v>4442</v>
      </c>
      <c r="F358" t="s">
        <v>2739</v>
      </c>
      <c r="G358" s="2">
        <v>45538</v>
      </c>
      <c r="H358">
        <v>0</v>
      </c>
      <c r="I358">
        <v>0</v>
      </c>
      <c r="J358" s="1">
        <v>500</v>
      </c>
      <c r="K358" s="1">
        <v>500</v>
      </c>
    </row>
    <row r="359" spans="1:11" x14ac:dyDescent="0.25">
      <c r="A359" t="s">
        <v>941</v>
      </c>
      <c r="B359" t="s">
        <v>2707</v>
      </c>
      <c r="C359" t="s">
        <v>16</v>
      </c>
      <c r="D359" t="s">
        <v>4462</v>
      </c>
      <c r="E359" t="s">
        <v>4433</v>
      </c>
      <c r="F359" t="s">
        <v>2739</v>
      </c>
      <c r="G359" s="2">
        <v>45538</v>
      </c>
      <c r="H359">
        <v>0</v>
      </c>
      <c r="I359">
        <v>0</v>
      </c>
      <c r="J359" s="1">
        <v>500</v>
      </c>
      <c r="K359" s="1">
        <v>500</v>
      </c>
    </row>
    <row r="360" spans="1:11" x14ac:dyDescent="0.25">
      <c r="A360" t="s">
        <v>942</v>
      </c>
      <c r="B360" t="s">
        <v>2722</v>
      </c>
      <c r="C360" t="s">
        <v>16</v>
      </c>
      <c r="D360" t="s">
        <v>4462</v>
      </c>
      <c r="E360" t="s">
        <v>4446</v>
      </c>
      <c r="F360" t="s">
        <v>2739</v>
      </c>
      <c r="G360" s="2">
        <v>45538</v>
      </c>
      <c r="H360">
        <v>0</v>
      </c>
      <c r="I360">
        <v>0</v>
      </c>
      <c r="J360" s="1">
        <v>500</v>
      </c>
      <c r="K360" s="1">
        <v>2000</v>
      </c>
    </row>
    <row r="361" spans="1:11" x14ac:dyDescent="0.25">
      <c r="A361" t="s">
        <v>932</v>
      </c>
      <c r="B361" t="s">
        <v>66</v>
      </c>
      <c r="C361" t="s">
        <v>35</v>
      </c>
      <c r="D361" t="s">
        <v>4466</v>
      </c>
      <c r="E361" t="s">
        <v>3304</v>
      </c>
      <c r="F361" t="s">
        <v>2739</v>
      </c>
      <c r="G361" s="2">
        <v>45539</v>
      </c>
      <c r="H361">
        <v>0</v>
      </c>
      <c r="I361">
        <v>0</v>
      </c>
      <c r="J361" s="1">
        <v>500</v>
      </c>
      <c r="K361" s="1">
        <v>500</v>
      </c>
    </row>
    <row r="362" spans="1:11" x14ac:dyDescent="0.25">
      <c r="A362" t="s">
        <v>934</v>
      </c>
      <c r="B362" t="s">
        <v>2705</v>
      </c>
      <c r="C362" t="s">
        <v>42</v>
      </c>
      <c r="D362" t="s">
        <v>4467</v>
      </c>
      <c r="E362" t="s">
        <v>4435</v>
      </c>
      <c r="F362" t="s">
        <v>2739</v>
      </c>
      <c r="G362" s="2">
        <v>45539</v>
      </c>
      <c r="H362">
        <v>0</v>
      </c>
      <c r="I362">
        <v>0</v>
      </c>
      <c r="J362" s="1">
        <v>500</v>
      </c>
      <c r="K362" s="1">
        <v>500</v>
      </c>
    </row>
    <row r="363" spans="1:11" x14ac:dyDescent="0.25">
      <c r="A363" t="s">
        <v>936</v>
      </c>
      <c r="B363" t="s">
        <v>2730</v>
      </c>
      <c r="C363" t="s">
        <v>42</v>
      </c>
      <c r="D363" t="s">
        <v>4467</v>
      </c>
      <c r="E363" t="s">
        <v>4441</v>
      </c>
      <c r="F363" t="s">
        <v>2739</v>
      </c>
      <c r="G363" s="2">
        <v>45539</v>
      </c>
      <c r="H363">
        <v>0</v>
      </c>
      <c r="I363">
        <v>0</v>
      </c>
      <c r="J363" s="1">
        <v>500</v>
      </c>
      <c r="K363" s="1">
        <v>500</v>
      </c>
    </row>
    <row r="364" spans="1:11" x14ac:dyDescent="0.25">
      <c r="A364" t="s">
        <v>925</v>
      </c>
      <c r="B364" t="s">
        <v>2718</v>
      </c>
      <c r="C364" t="s">
        <v>16</v>
      </c>
      <c r="D364" t="s">
        <v>4466</v>
      </c>
      <c r="E364" t="s">
        <v>4438</v>
      </c>
      <c r="F364" t="s">
        <v>2739</v>
      </c>
      <c r="G364" s="2">
        <v>45540</v>
      </c>
      <c r="H364">
        <v>0</v>
      </c>
      <c r="I364">
        <v>0</v>
      </c>
      <c r="J364" s="1">
        <v>500</v>
      </c>
      <c r="K364" s="1">
        <v>500</v>
      </c>
    </row>
    <row r="365" spans="1:11" x14ac:dyDescent="0.25">
      <c r="A365" t="s">
        <v>931</v>
      </c>
      <c r="B365" t="s">
        <v>2710</v>
      </c>
      <c r="C365" t="s">
        <v>42</v>
      </c>
      <c r="D365" t="s">
        <v>4467</v>
      </c>
      <c r="E365" t="s">
        <v>4436</v>
      </c>
      <c r="F365" t="s">
        <v>2739</v>
      </c>
      <c r="G365" s="2">
        <v>45540</v>
      </c>
      <c r="H365">
        <v>0</v>
      </c>
      <c r="I365">
        <v>0</v>
      </c>
      <c r="J365" s="1">
        <v>500</v>
      </c>
      <c r="K365" s="1">
        <v>500</v>
      </c>
    </row>
    <row r="366" spans="1:11" x14ac:dyDescent="0.25">
      <c r="A366" t="s">
        <v>912</v>
      </c>
      <c r="B366" t="s">
        <v>4463</v>
      </c>
      <c r="C366" t="s">
        <v>35</v>
      </c>
      <c r="D366" t="s">
        <v>4464</v>
      </c>
      <c r="E366" t="s">
        <v>3304</v>
      </c>
      <c r="F366" t="s">
        <v>2739</v>
      </c>
      <c r="G366" s="2">
        <v>45541</v>
      </c>
      <c r="H366">
        <v>0</v>
      </c>
      <c r="I366">
        <v>0</v>
      </c>
      <c r="J366" s="1">
        <v>500</v>
      </c>
      <c r="K366" s="1">
        <v>500</v>
      </c>
    </row>
    <row r="367" spans="1:11" x14ac:dyDescent="0.25">
      <c r="A367" t="s">
        <v>915</v>
      </c>
      <c r="B367" t="s">
        <v>2709</v>
      </c>
      <c r="C367" t="s">
        <v>42</v>
      </c>
      <c r="D367" t="s">
        <v>4467</v>
      </c>
      <c r="E367" t="s">
        <v>4456</v>
      </c>
      <c r="F367" t="s">
        <v>2739</v>
      </c>
      <c r="G367" s="2">
        <v>45541</v>
      </c>
      <c r="H367">
        <v>0</v>
      </c>
      <c r="I367">
        <v>0</v>
      </c>
      <c r="J367" s="1">
        <v>500</v>
      </c>
      <c r="K367" s="1">
        <v>500</v>
      </c>
    </row>
    <row r="368" spans="1:11" x14ac:dyDescent="0.25">
      <c r="A368" t="s">
        <v>916</v>
      </c>
      <c r="B368" t="s">
        <v>2714</v>
      </c>
      <c r="C368" t="s">
        <v>16</v>
      </c>
      <c r="D368" t="s">
        <v>4466</v>
      </c>
      <c r="E368" t="s">
        <v>4434</v>
      </c>
      <c r="F368" t="s">
        <v>2739</v>
      </c>
      <c r="G368" s="2">
        <v>45541</v>
      </c>
      <c r="H368">
        <v>0</v>
      </c>
      <c r="I368">
        <v>0</v>
      </c>
      <c r="J368" s="1">
        <v>500</v>
      </c>
      <c r="K368" s="1">
        <v>500</v>
      </c>
    </row>
    <row r="369" spans="1:11" x14ac:dyDescent="0.25">
      <c r="A369" t="s">
        <v>910</v>
      </c>
      <c r="B369" t="s">
        <v>2734</v>
      </c>
      <c r="C369" t="s">
        <v>16</v>
      </c>
      <c r="D369" t="s">
        <v>4461</v>
      </c>
      <c r="E369" t="s">
        <v>4455</v>
      </c>
      <c r="F369" t="s">
        <v>2739</v>
      </c>
      <c r="G369" s="2">
        <v>45542</v>
      </c>
      <c r="H369">
        <v>0</v>
      </c>
      <c r="I369">
        <v>0</v>
      </c>
      <c r="J369" s="1">
        <v>500</v>
      </c>
      <c r="K369" s="1">
        <v>500</v>
      </c>
    </row>
    <row r="370" spans="1:11" x14ac:dyDescent="0.25">
      <c r="A370" t="s">
        <v>910</v>
      </c>
      <c r="B370" t="s">
        <v>2734</v>
      </c>
      <c r="C370" t="s">
        <v>16</v>
      </c>
      <c r="D370" t="s">
        <v>4461</v>
      </c>
      <c r="E370" t="s">
        <v>4455</v>
      </c>
      <c r="F370" t="s">
        <v>2739</v>
      </c>
      <c r="G370" s="2">
        <v>45542</v>
      </c>
      <c r="H370">
        <v>0</v>
      </c>
      <c r="I370">
        <v>0</v>
      </c>
      <c r="J370" s="1">
        <v>500</v>
      </c>
      <c r="K370" s="1">
        <v>500</v>
      </c>
    </row>
    <row r="371" spans="1:11" x14ac:dyDescent="0.25">
      <c r="A371" t="s">
        <v>904</v>
      </c>
      <c r="B371" t="s">
        <v>2700</v>
      </c>
      <c r="C371" t="s">
        <v>27</v>
      </c>
      <c r="D371" t="s">
        <v>4466</v>
      </c>
      <c r="E371" t="s">
        <v>4450</v>
      </c>
      <c r="F371" t="s">
        <v>2739</v>
      </c>
      <c r="G371" s="2">
        <v>45543</v>
      </c>
      <c r="H371">
        <v>0</v>
      </c>
      <c r="I371">
        <v>0</v>
      </c>
      <c r="J371" s="1">
        <v>500</v>
      </c>
      <c r="K371" s="1">
        <v>500</v>
      </c>
    </row>
    <row r="372" spans="1:11" x14ac:dyDescent="0.25">
      <c r="A372" t="s">
        <v>905</v>
      </c>
      <c r="B372" t="s">
        <v>2699</v>
      </c>
      <c r="C372" t="s">
        <v>16</v>
      </c>
      <c r="D372" t="s">
        <v>4462</v>
      </c>
      <c r="E372" t="s">
        <v>4440</v>
      </c>
      <c r="F372" t="s">
        <v>2739</v>
      </c>
      <c r="G372" s="2">
        <v>45543</v>
      </c>
      <c r="H372">
        <v>0</v>
      </c>
      <c r="I372">
        <v>0</v>
      </c>
      <c r="J372" s="1">
        <v>500</v>
      </c>
      <c r="K372" s="1">
        <v>500</v>
      </c>
    </row>
    <row r="373" spans="1:11" x14ac:dyDescent="0.25">
      <c r="A373" t="s">
        <v>898</v>
      </c>
      <c r="B373" t="s">
        <v>2723</v>
      </c>
      <c r="C373" t="s">
        <v>16</v>
      </c>
      <c r="D373" t="s">
        <v>4462</v>
      </c>
      <c r="E373" t="s">
        <v>4443</v>
      </c>
      <c r="F373" t="s">
        <v>2739</v>
      </c>
      <c r="G373" s="2">
        <v>45545</v>
      </c>
      <c r="H373">
        <v>0</v>
      </c>
      <c r="I373">
        <v>0</v>
      </c>
      <c r="J373" s="1">
        <v>500</v>
      </c>
      <c r="K373" s="1">
        <v>500</v>
      </c>
    </row>
    <row r="374" spans="1:11" x14ac:dyDescent="0.25">
      <c r="A374" t="s">
        <v>883</v>
      </c>
      <c r="B374" t="s">
        <v>2724</v>
      </c>
      <c r="C374" t="s">
        <v>16</v>
      </c>
      <c r="D374" t="s">
        <v>4462</v>
      </c>
      <c r="E374" t="s">
        <v>4451</v>
      </c>
      <c r="F374" t="s">
        <v>2739</v>
      </c>
      <c r="G374" s="2">
        <v>45546</v>
      </c>
      <c r="H374">
        <v>0</v>
      </c>
      <c r="I374">
        <v>0</v>
      </c>
      <c r="J374" s="1">
        <v>500</v>
      </c>
      <c r="K374" s="1">
        <v>500</v>
      </c>
    </row>
    <row r="375" spans="1:11" x14ac:dyDescent="0.25">
      <c r="A375" t="s">
        <v>885</v>
      </c>
      <c r="B375" t="s">
        <v>136</v>
      </c>
      <c r="C375" t="s">
        <v>35</v>
      </c>
      <c r="D375" t="s">
        <v>4462</v>
      </c>
      <c r="E375" t="s">
        <v>3304</v>
      </c>
      <c r="F375" t="s">
        <v>2739</v>
      </c>
      <c r="G375" s="2">
        <v>45546</v>
      </c>
      <c r="H375">
        <v>0</v>
      </c>
      <c r="I375">
        <v>0</v>
      </c>
      <c r="J375" s="1">
        <v>500</v>
      </c>
      <c r="K375" s="1">
        <v>500</v>
      </c>
    </row>
    <row r="376" spans="1:11" x14ac:dyDescent="0.25">
      <c r="A376" t="s">
        <v>887</v>
      </c>
      <c r="B376" t="s">
        <v>133</v>
      </c>
      <c r="C376" t="s">
        <v>35</v>
      </c>
      <c r="D376" t="s">
        <v>4461</v>
      </c>
      <c r="E376" t="s">
        <v>3304</v>
      </c>
      <c r="F376" t="s">
        <v>2739</v>
      </c>
      <c r="G376" s="2">
        <v>45546</v>
      </c>
      <c r="H376">
        <v>0</v>
      </c>
      <c r="I376">
        <v>0</v>
      </c>
      <c r="J376" s="1">
        <v>500</v>
      </c>
      <c r="K376" s="1">
        <v>500</v>
      </c>
    </row>
    <row r="377" spans="1:11" x14ac:dyDescent="0.25">
      <c r="A377" t="s">
        <v>889</v>
      </c>
      <c r="B377" t="s">
        <v>4471</v>
      </c>
      <c r="C377" t="s">
        <v>35</v>
      </c>
      <c r="D377" t="s">
        <v>4470</v>
      </c>
      <c r="E377" t="s">
        <v>35</v>
      </c>
      <c r="F377" t="s">
        <v>2739</v>
      </c>
      <c r="G377" s="2">
        <v>45546</v>
      </c>
      <c r="H377">
        <v>0</v>
      </c>
      <c r="I377">
        <v>0</v>
      </c>
      <c r="J377" s="1">
        <v>500</v>
      </c>
      <c r="K377" s="1">
        <v>500</v>
      </c>
    </row>
    <row r="378" spans="1:11" x14ac:dyDescent="0.25">
      <c r="A378" t="s">
        <v>891</v>
      </c>
      <c r="B378" t="s">
        <v>2713</v>
      </c>
      <c r="C378" t="s">
        <v>16</v>
      </c>
      <c r="D378" t="s">
        <v>4465</v>
      </c>
      <c r="E378" t="s">
        <v>4428</v>
      </c>
      <c r="F378" t="s">
        <v>2739</v>
      </c>
      <c r="G378" s="2">
        <v>45546</v>
      </c>
      <c r="H378">
        <v>0</v>
      </c>
      <c r="I378">
        <v>0</v>
      </c>
      <c r="J378" s="1">
        <v>500</v>
      </c>
      <c r="K378" s="1">
        <v>500</v>
      </c>
    </row>
    <row r="379" spans="1:11" x14ac:dyDescent="0.25">
      <c r="A379" t="s">
        <v>878</v>
      </c>
      <c r="B379" t="s">
        <v>2734</v>
      </c>
      <c r="C379" t="s">
        <v>16</v>
      </c>
      <c r="D379" t="s">
        <v>4461</v>
      </c>
      <c r="E379" t="s">
        <v>4455</v>
      </c>
      <c r="F379" t="s">
        <v>2739</v>
      </c>
      <c r="G379" s="2">
        <v>45547</v>
      </c>
      <c r="H379">
        <v>0</v>
      </c>
      <c r="I379">
        <v>0</v>
      </c>
      <c r="J379" s="1">
        <v>500</v>
      </c>
      <c r="K379" s="1">
        <v>500</v>
      </c>
    </row>
    <row r="380" spans="1:11" x14ac:dyDescent="0.25">
      <c r="A380" t="s">
        <v>862</v>
      </c>
      <c r="B380" t="s">
        <v>2729</v>
      </c>
      <c r="C380" t="s">
        <v>16</v>
      </c>
      <c r="D380" t="s">
        <v>4465</v>
      </c>
      <c r="E380" t="s">
        <v>4427</v>
      </c>
      <c r="F380" t="s">
        <v>2739</v>
      </c>
      <c r="G380" s="2">
        <v>45549</v>
      </c>
      <c r="H380">
        <v>0</v>
      </c>
      <c r="I380">
        <v>0</v>
      </c>
      <c r="J380" s="1">
        <v>500</v>
      </c>
      <c r="K380" s="1">
        <v>500</v>
      </c>
    </row>
    <row r="381" spans="1:11" x14ac:dyDescent="0.25">
      <c r="A381" t="s">
        <v>864</v>
      </c>
      <c r="B381" t="s">
        <v>93</v>
      </c>
      <c r="C381" t="s">
        <v>35</v>
      </c>
      <c r="D381" t="s">
        <v>4465</v>
      </c>
      <c r="E381" t="s">
        <v>3304</v>
      </c>
      <c r="F381" t="s">
        <v>2739</v>
      </c>
      <c r="G381" s="2">
        <v>45549</v>
      </c>
      <c r="H381">
        <v>0</v>
      </c>
      <c r="I381">
        <v>0</v>
      </c>
      <c r="J381" s="1">
        <v>500</v>
      </c>
      <c r="K381" s="1">
        <v>500</v>
      </c>
    </row>
    <row r="382" spans="1:11" x14ac:dyDescent="0.25">
      <c r="A382" t="s">
        <v>868</v>
      </c>
      <c r="B382" t="s">
        <v>2702</v>
      </c>
      <c r="C382" t="s">
        <v>35</v>
      </c>
      <c r="D382" t="s">
        <v>3305</v>
      </c>
      <c r="E382" t="s">
        <v>3304</v>
      </c>
      <c r="F382" t="s">
        <v>2739</v>
      </c>
      <c r="G382" s="2">
        <v>45549</v>
      </c>
      <c r="H382">
        <v>0</v>
      </c>
      <c r="I382">
        <v>0</v>
      </c>
      <c r="J382" s="1">
        <v>500</v>
      </c>
      <c r="K382" s="1">
        <v>500</v>
      </c>
    </row>
    <row r="383" spans="1:11" x14ac:dyDescent="0.25">
      <c r="A383" t="s">
        <v>838</v>
      </c>
      <c r="B383" t="s">
        <v>2732</v>
      </c>
      <c r="C383" t="s">
        <v>16</v>
      </c>
      <c r="D383" t="s">
        <v>4461</v>
      </c>
      <c r="E383" t="s">
        <v>4444</v>
      </c>
      <c r="F383" t="s">
        <v>2739</v>
      </c>
      <c r="G383" s="2">
        <v>45555</v>
      </c>
      <c r="H383">
        <v>0</v>
      </c>
      <c r="I383">
        <v>0</v>
      </c>
      <c r="J383" s="1">
        <v>500</v>
      </c>
      <c r="K383" s="1">
        <v>500</v>
      </c>
    </row>
    <row r="384" spans="1:11" x14ac:dyDescent="0.25">
      <c r="A384" t="s">
        <v>813</v>
      </c>
      <c r="B384" t="s">
        <v>2728</v>
      </c>
      <c r="C384" t="s">
        <v>16</v>
      </c>
      <c r="D384" t="s">
        <v>4465</v>
      </c>
      <c r="E384" t="s">
        <v>4439</v>
      </c>
      <c r="F384" t="s">
        <v>2739</v>
      </c>
      <c r="G384" s="2">
        <v>45557</v>
      </c>
      <c r="H384">
        <v>0</v>
      </c>
      <c r="I384">
        <v>0</v>
      </c>
      <c r="J384" s="1">
        <v>500</v>
      </c>
      <c r="K384" s="1">
        <v>500</v>
      </c>
    </row>
    <row r="385" spans="1:11" x14ac:dyDescent="0.25">
      <c r="A385" t="s">
        <v>796</v>
      </c>
      <c r="B385" t="s">
        <v>2736</v>
      </c>
      <c r="C385" t="s">
        <v>16</v>
      </c>
      <c r="D385" t="s">
        <v>4461</v>
      </c>
      <c r="E385" t="s">
        <v>4459</v>
      </c>
      <c r="F385" t="s">
        <v>2739</v>
      </c>
      <c r="G385" s="2">
        <v>45559</v>
      </c>
      <c r="H385">
        <v>0</v>
      </c>
      <c r="I385">
        <v>0</v>
      </c>
      <c r="J385" s="1">
        <v>500</v>
      </c>
      <c r="K385" s="1">
        <v>500</v>
      </c>
    </row>
    <row r="386" spans="1:11" x14ac:dyDescent="0.25">
      <c r="A386" t="s">
        <v>789</v>
      </c>
      <c r="B386" t="s">
        <v>2725</v>
      </c>
      <c r="C386" t="s">
        <v>16</v>
      </c>
      <c r="D386" t="s">
        <v>4465</v>
      </c>
      <c r="E386" t="s">
        <v>4429</v>
      </c>
      <c r="F386" t="s">
        <v>2739</v>
      </c>
      <c r="G386" s="2">
        <v>45560</v>
      </c>
      <c r="H386">
        <v>0</v>
      </c>
      <c r="I386">
        <v>0</v>
      </c>
      <c r="J386" s="1">
        <v>500</v>
      </c>
      <c r="K386" s="1">
        <v>1000</v>
      </c>
    </row>
    <row r="387" spans="1:11" x14ac:dyDescent="0.25">
      <c r="A387" t="s">
        <v>776</v>
      </c>
      <c r="B387" t="s">
        <v>2727</v>
      </c>
      <c r="C387" t="s">
        <v>16</v>
      </c>
      <c r="D387" t="s">
        <v>4465</v>
      </c>
      <c r="E387" t="s">
        <v>4445</v>
      </c>
      <c r="F387" t="s">
        <v>2739</v>
      </c>
      <c r="G387" s="2">
        <v>45562</v>
      </c>
      <c r="H387">
        <v>0</v>
      </c>
      <c r="I387">
        <v>0</v>
      </c>
      <c r="J387" s="1">
        <v>500</v>
      </c>
      <c r="K387" s="1">
        <v>500</v>
      </c>
    </row>
    <row r="388" spans="1:11" x14ac:dyDescent="0.25">
      <c r="A388" t="s">
        <v>756</v>
      </c>
      <c r="B388" t="s">
        <v>2708</v>
      </c>
      <c r="C388" t="s">
        <v>16</v>
      </c>
      <c r="D388" t="s">
        <v>4466</v>
      </c>
      <c r="E388" t="s">
        <v>4457</v>
      </c>
      <c r="F388" t="s">
        <v>2739</v>
      </c>
      <c r="G388" s="2">
        <v>45563</v>
      </c>
      <c r="H388">
        <v>0</v>
      </c>
      <c r="I388">
        <v>0</v>
      </c>
      <c r="J388" s="1">
        <v>500</v>
      </c>
      <c r="K388" s="1">
        <v>500</v>
      </c>
    </row>
    <row r="389" spans="1:11" x14ac:dyDescent="0.25">
      <c r="A389" t="s">
        <v>747</v>
      </c>
      <c r="B389" t="s">
        <v>2716</v>
      </c>
      <c r="C389" t="s">
        <v>16</v>
      </c>
      <c r="D389" t="s">
        <v>4462</v>
      </c>
      <c r="E389" t="s">
        <v>4458</v>
      </c>
      <c r="F389" t="s">
        <v>2739</v>
      </c>
      <c r="G389" s="2">
        <v>45564</v>
      </c>
      <c r="H389">
        <v>0</v>
      </c>
      <c r="I389">
        <v>0</v>
      </c>
      <c r="J389" s="1">
        <v>500</v>
      </c>
      <c r="K389" s="1">
        <v>500</v>
      </c>
    </row>
    <row r="390" spans="1:11" x14ac:dyDescent="0.25">
      <c r="A390" t="s">
        <v>736</v>
      </c>
      <c r="B390" t="s">
        <v>2730</v>
      </c>
      <c r="C390" t="s">
        <v>42</v>
      </c>
      <c r="D390" t="s">
        <v>4467</v>
      </c>
      <c r="E390" t="s">
        <v>4441</v>
      </c>
      <c r="F390" t="s">
        <v>2739</v>
      </c>
      <c r="G390" s="2">
        <v>45566</v>
      </c>
      <c r="H390">
        <v>0</v>
      </c>
      <c r="I390">
        <v>0</v>
      </c>
      <c r="J390" s="1">
        <v>500</v>
      </c>
      <c r="K390" s="1">
        <v>500</v>
      </c>
    </row>
    <row r="391" spans="1:11" x14ac:dyDescent="0.25">
      <c r="A391" t="s">
        <v>738</v>
      </c>
      <c r="B391" t="s">
        <v>2717</v>
      </c>
      <c r="C391" t="s">
        <v>16</v>
      </c>
      <c r="D391" t="s">
        <v>4466</v>
      </c>
      <c r="E391" t="s">
        <v>4431</v>
      </c>
      <c r="F391" t="s">
        <v>2739</v>
      </c>
      <c r="G391" s="2">
        <v>45566</v>
      </c>
      <c r="H391">
        <v>0</v>
      </c>
      <c r="I391">
        <v>0</v>
      </c>
      <c r="J391" s="1">
        <v>500</v>
      </c>
      <c r="K391" s="1">
        <v>500</v>
      </c>
    </row>
    <row r="392" spans="1:11" x14ac:dyDescent="0.25">
      <c r="A392" t="s">
        <v>740</v>
      </c>
      <c r="B392" t="s">
        <v>2712</v>
      </c>
      <c r="C392" t="s">
        <v>16</v>
      </c>
      <c r="D392" t="s">
        <v>4461</v>
      </c>
      <c r="E392" t="s">
        <v>4449</v>
      </c>
      <c r="F392" t="s">
        <v>2739</v>
      </c>
      <c r="G392" s="2">
        <v>45566</v>
      </c>
      <c r="H392">
        <v>0</v>
      </c>
      <c r="I392">
        <v>0</v>
      </c>
      <c r="J392" s="1">
        <v>500</v>
      </c>
      <c r="K392" s="1">
        <v>500</v>
      </c>
    </row>
    <row r="393" spans="1:11" x14ac:dyDescent="0.25">
      <c r="A393" t="s">
        <v>725</v>
      </c>
      <c r="B393" t="s">
        <v>2707</v>
      </c>
      <c r="C393" t="s">
        <v>16</v>
      </c>
      <c r="D393" t="s">
        <v>4462</v>
      </c>
      <c r="E393" t="s">
        <v>4433</v>
      </c>
      <c r="F393" t="s">
        <v>2739</v>
      </c>
      <c r="G393" s="2">
        <v>45567</v>
      </c>
      <c r="H393">
        <v>0</v>
      </c>
      <c r="I393">
        <v>0</v>
      </c>
      <c r="J393" s="1">
        <v>500</v>
      </c>
      <c r="K393" s="1">
        <v>500</v>
      </c>
    </row>
    <row r="394" spans="1:11" x14ac:dyDescent="0.25">
      <c r="A394" t="s">
        <v>727</v>
      </c>
      <c r="B394" t="s">
        <v>2726</v>
      </c>
      <c r="C394" t="s">
        <v>16</v>
      </c>
      <c r="D394" t="s">
        <v>4466</v>
      </c>
      <c r="E394" t="s">
        <v>4437</v>
      </c>
      <c r="F394" t="s">
        <v>2739</v>
      </c>
      <c r="G394" s="2">
        <v>45567</v>
      </c>
      <c r="H394">
        <v>0</v>
      </c>
      <c r="I394">
        <v>0</v>
      </c>
      <c r="J394" s="1">
        <v>500</v>
      </c>
      <c r="K394" s="1">
        <v>500</v>
      </c>
    </row>
    <row r="395" spans="1:11" x14ac:dyDescent="0.25">
      <c r="A395" t="s">
        <v>728</v>
      </c>
      <c r="B395" t="s">
        <v>4463</v>
      </c>
      <c r="C395" t="s">
        <v>35</v>
      </c>
      <c r="D395" t="s">
        <v>4464</v>
      </c>
      <c r="E395" t="s">
        <v>3304</v>
      </c>
      <c r="F395" t="s">
        <v>2739</v>
      </c>
      <c r="G395" s="2">
        <v>45567</v>
      </c>
      <c r="H395">
        <v>0</v>
      </c>
      <c r="I395">
        <v>0</v>
      </c>
      <c r="J395" s="1">
        <v>500</v>
      </c>
      <c r="K395" s="1">
        <v>500</v>
      </c>
    </row>
    <row r="396" spans="1:11" x14ac:dyDescent="0.25">
      <c r="A396" t="s">
        <v>730</v>
      </c>
      <c r="B396" t="s">
        <v>2710</v>
      </c>
      <c r="C396" t="s">
        <v>42</v>
      </c>
      <c r="D396" t="s">
        <v>4467</v>
      </c>
      <c r="E396" t="s">
        <v>4436</v>
      </c>
      <c r="F396" t="s">
        <v>2739</v>
      </c>
      <c r="G396" s="2">
        <v>45567</v>
      </c>
      <c r="H396">
        <v>0</v>
      </c>
      <c r="I396">
        <v>0</v>
      </c>
      <c r="J396" s="1">
        <v>500</v>
      </c>
      <c r="K396" s="1">
        <v>500</v>
      </c>
    </row>
    <row r="397" spans="1:11" x14ac:dyDescent="0.25">
      <c r="A397" t="s">
        <v>717</v>
      </c>
      <c r="B397" t="s">
        <v>66</v>
      </c>
      <c r="C397" t="s">
        <v>35</v>
      </c>
      <c r="D397" t="s">
        <v>4466</v>
      </c>
      <c r="E397" t="s">
        <v>3304</v>
      </c>
      <c r="F397" t="s">
        <v>2739</v>
      </c>
      <c r="G397" s="2">
        <v>45568</v>
      </c>
      <c r="H397">
        <v>0</v>
      </c>
      <c r="I397">
        <v>0</v>
      </c>
      <c r="J397" s="1">
        <v>500</v>
      </c>
      <c r="K397" s="1">
        <v>500</v>
      </c>
    </row>
    <row r="398" spans="1:11" x14ac:dyDescent="0.25">
      <c r="A398" t="s">
        <v>711</v>
      </c>
      <c r="B398" t="s">
        <v>2729</v>
      </c>
      <c r="C398" t="s">
        <v>16</v>
      </c>
      <c r="D398" t="s">
        <v>4465</v>
      </c>
      <c r="E398" t="s">
        <v>4427</v>
      </c>
      <c r="F398" t="s">
        <v>2739</v>
      </c>
      <c r="G398" s="2">
        <v>45569</v>
      </c>
      <c r="H398">
        <v>0</v>
      </c>
      <c r="I398">
        <v>0</v>
      </c>
      <c r="J398" s="1">
        <v>500</v>
      </c>
      <c r="K398" s="1">
        <v>500</v>
      </c>
    </row>
    <row r="399" spans="1:11" x14ac:dyDescent="0.25">
      <c r="A399" t="s">
        <v>713</v>
      </c>
      <c r="B399" t="s">
        <v>2716</v>
      </c>
      <c r="C399" t="s">
        <v>16</v>
      </c>
      <c r="D399" t="s">
        <v>4462</v>
      </c>
      <c r="E399" t="s">
        <v>4458</v>
      </c>
      <c r="F399" t="s">
        <v>2739</v>
      </c>
      <c r="G399" s="2">
        <v>45569</v>
      </c>
      <c r="H399">
        <v>0</v>
      </c>
      <c r="I399">
        <v>0</v>
      </c>
      <c r="J399" s="1">
        <v>500</v>
      </c>
      <c r="K399" s="1">
        <v>500</v>
      </c>
    </row>
    <row r="400" spans="1:11" x14ac:dyDescent="0.25">
      <c r="A400" t="s">
        <v>715</v>
      </c>
      <c r="B400" t="s">
        <v>2719</v>
      </c>
      <c r="C400" t="s">
        <v>16</v>
      </c>
      <c r="D400" t="s">
        <v>4466</v>
      </c>
      <c r="E400" t="s">
        <v>4430</v>
      </c>
      <c r="F400" t="s">
        <v>2739</v>
      </c>
      <c r="G400" s="2">
        <v>45569</v>
      </c>
      <c r="H400">
        <v>0</v>
      </c>
      <c r="I400">
        <v>0</v>
      </c>
      <c r="J400" s="1">
        <v>500</v>
      </c>
      <c r="K400" s="1">
        <v>500</v>
      </c>
    </row>
    <row r="401" spans="1:11" x14ac:dyDescent="0.25">
      <c r="A401" t="s">
        <v>700</v>
      </c>
      <c r="B401" t="s">
        <v>2699</v>
      </c>
      <c r="C401" t="s">
        <v>16</v>
      </c>
      <c r="D401" t="s">
        <v>4462</v>
      </c>
      <c r="E401" t="s">
        <v>4440</v>
      </c>
      <c r="F401" t="s">
        <v>2739</v>
      </c>
      <c r="G401" s="2">
        <v>45570</v>
      </c>
      <c r="H401">
        <v>0</v>
      </c>
      <c r="I401">
        <v>0</v>
      </c>
      <c r="J401" s="1">
        <v>500</v>
      </c>
      <c r="K401" s="1">
        <v>500</v>
      </c>
    </row>
    <row r="402" spans="1:11" x14ac:dyDescent="0.25">
      <c r="A402" t="s">
        <v>703</v>
      </c>
      <c r="B402" t="s">
        <v>2698</v>
      </c>
      <c r="C402" t="s">
        <v>16</v>
      </c>
      <c r="D402" t="s">
        <v>4465</v>
      </c>
      <c r="E402" t="s">
        <v>4442</v>
      </c>
      <c r="F402" t="s">
        <v>2739</v>
      </c>
      <c r="G402" s="2">
        <v>45570</v>
      </c>
      <c r="H402">
        <v>0</v>
      </c>
      <c r="I402">
        <v>0</v>
      </c>
      <c r="J402" s="1">
        <v>500</v>
      </c>
      <c r="K402" s="1">
        <v>500</v>
      </c>
    </row>
    <row r="403" spans="1:11" x14ac:dyDescent="0.25">
      <c r="A403" t="s">
        <v>705</v>
      </c>
      <c r="B403" t="s">
        <v>93</v>
      </c>
      <c r="C403" t="s">
        <v>35</v>
      </c>
      <c r="D403" t="s">
        <v>4465</v>
      </c>
      <c r="E403" t="s">
        <v>3304</v>
      </c>
      <c r="F403" t="s">
        <v>2739</v>
      </c>
      <c r="G403" s="2">
        <v>45570</v>
      </c>
      <c r="H403">
        <v>0</v>
      </c>
      <c r="I403">
        <v>0</v>
      </c>
      <c r="J403" s="1">
        <v>500</v>
      </c>
      <c r="K403" s="1">
        <v>500</v>
      </c>
    </row>
    <row r="404" spans="1:11" x14ac:dyDescent="0.25">
      <c r="A404" t="s">
        <v>699</v>
      </c>
      <c r="B404" t="s">
        <v>2701</v>
      </c>
      <c r="C404" t="s">
        <v>16</v>
      </c>
      <c r="D404" t="s">
        <v>4466</v>
      </c>
      <c r="E404" t="s">
        <v>4453</v>
      </c>
      <c r="F404" t="s">
        <v>2739</v>
      </c>
      <c r="G404" s="2">
        <v>45571</v>
      </c>
      <c r="H404">
        <v>0</v>
      </c>
      <c r="I404">
        <v>0</v>
      </c>
      <c r="J404" s="1">
        <v>500</v>
      </c>
      <c r="K404" s="1">
        <v>500</v>
      </c>
    </row>
    <row r="405" spans="1:11" x14ac:dyDescent="0.25">
      <c r="A405" t="s">
        <v>695</v>
      </c>
      <c r="B405" t="s">
        <v>2723</v>
      </c>
      <c r="C405" t="s">
        <v>16</v>
      </c>
      <c r="D405" t="s">
        <v>4462</v>
      </c>
      <c r="E405" t="s">
        <v>4443</v>
      </c>
      <c r="F405" t="s">
        <v>2739</v>
      </c>
      <c r="G405" s="2">
        <v>45572</v>
      </c>
      <c r="H405">
        <v>0</v>
      </c>
      <c r="I405">
        <v>0</v>
      </c>
      <c r="J405" s="1">
        <v>500</v>
      </c>
      <c r="K405" s="1">
        <v>2000</v>
      </c>
    </row>
    <row r="406" spans="1:11" x14ac:dyDescent="0.25">
      <c r="A406" t="s">
        <v>698</v>
      </c>
      <c r="B406" t="s">
        <v>2706</v>
      </c>
      <c r="C406" t="s">
        <v>27</v>
      </c>
      <c r="D406" t="s">
        <v>4461</v>
      </c>
      <c r="E406" t="s">
        <v>4452</v>
      </c>
      <c r="F406" t="s">
        <v>2739</v>
      </c>
      <c r="G406" s="2">
        <v>45572</v>
      </c>
      <c r="H406">
        <v>0</v>
      </c>
      <c r="I406">
        <v>0</v>
      </c>
      <c r="J406" s="1">
        <v>500</v>
      </c>
      <c r="K406" s="1">
        <v>500</v>
      </c>
    </row>
    <row r="407" spans="1:11" x14ac:dyDescent="0.25">
      <c r="A407" t="s">
        <v>698</v>
      </c>
      <c r="B407" t="s">
        <v>2706</v>
      </c>
      <c r="C407" t="s">
        <v>27</v>
      </c>
      <c r="D407" t="s">
        <v>4461</v>
      </c>
      <c r="E407" t="s">
        <v>4452</v>
      </c>
      <c r="F407" t="s">
        <v>2739</v>
      </c>
      <c r="G407" s="2">
        <v>45572</v>
      </c>
      <c r="H407">
        <v>0</v>
      </c>
      <c r="I407">
        <v>0</v>
      </c>
      <c r="J407" s="1">
        <v>500</v>
      </c>
      <c r="K407" s="1">
        <v>500</v>
      </c>
    </row>
    <row r="408" spans="1:11" x14ac:dyDescent="0.25">
      <c r="A408" t="s">
        <v>685</v>
      </c>
      <c r="B408" t="s">
        <v>2737</v>
      </c>
      <c r="C408" t="s">
        <v>16</v>
      </c>
      <c r="D408" t="s">
        <v>4466</v>
      </c>
      <c r="E408" t="s">
        <v>4432</v>
      </c>
      <c r="F408" t="s">
        <v>2739</v>
      </c>
      <c r="G408" s="2">
        <v>45573</v>
      </c>
      <c r="H408">
        <v>0</v>
      </c>
      <c r="I408">
        <v>0</v>
      </c>
      <c r="J408" s="1">
        <v>500</v>
      </c>
      <c r="K408" s="1">
        <v>1500</v>
      </c>
    </row>
    <row r="409" spans="1:11" x14ac:dyDescent="0.25">
      <c r="A409" t="s">
        <v>688</v>
      </c>
      <c r="B409" t="s">
        <v>2731</v>
      </c>
      <c r="C409" t="s">
        <v>16</v>
      </c>
      <c r="D409" t="s">
        <v>4465</v>
      </c>
      <c r="E409" t="s">
        <v>4460</v>
      </c>
      <c r="F409" t="s">
        <v>2739</v>
      </c>
      <c r="G409" s="2">
        <v>45573</v>
      </c>
      <c r="H409">
        <v>0</v>
      </c>
      <c r="I409">
        <v>0</v>
      </c>
      <c r="J409" s="1">
        <v>500</v>
      </c>
      <c r="K409" s="1">
        <v>500</v>
      </c>
    </row>
    <row r="410" spans="1:11" x14ac:dyDescent="0.25">
      <c r="A410" t="s">
        <v>693</v>
      </c>
      <c r="B410" t="s">
        <v>2705</v>
      </c>
      <c r="C410" t="s">
        <v>42</v>
      </c>
      <c r="D410" t="s">
        <v>4467</v>
      </c>
      <c r="E410" t="s">
        <v>4435</v>
      </c>
      <c r="F410" t="s">
        <v>2739</v>
      </c>
      <c r="G410" s="2">
        <v>45573</v>
      </c>
      <c r="H410">
        <v>0</v>
      </c>
      <c r="I410">
        <v>0</v>
      </c>
      <c r="J410" s="1">
        <v>500</v>
      </c>
      <c r="K410" s="1">
        <v>500</v>
      </c>
    </row>
    <row r="411" spans="1:11" x14ac:dyDescent="0.25">
      <c r="A411" t="s">
        <v>680</v>
      </c>
      <c r="B411" t="s">
        <v>2713</v>
      </c>
      <c r="C411" t="s">
        <v>16</v>
      </c>
      <c r="D411" t="s">
        <v>4465</v>
      </c>
      <c r="E411" t="s">
        <v>4428</v>
      </c>
      <c r="F411" t="s">
        <v>2739</v>
      </c>
      <c r="G411" s="2">
        <v>45575</v>
      </c>
      <c r="H411">
        <v>0</v>
      </c>
      <c r="I411">
        <v>0</v>
      </c>
      <c r="J411" s="1">
        <v>500</v>
      </c>
      <c r="K411" s="1">
        <v>500</v>
      </c>
    </row>
    <row r="412" spans="1:11" x14ac:dyDescent="0.25">
      <c r="A412" t="s">
        <v>671</v>
      </c>
      <c r="B412" t="s">
        <v>2733</v>
      </c>
      <c r="C412" t="s">
        <v>16</v>
      </c>
      <c r="D412" t="s">
        <v>4465</v>
      </c>
      <c r="E412" t="s">
        <v>4448</v>
      </c>
      <c r="F412" t="s">
        <v>2739</v>
      </c>
      <c r="G412" s="2">
        <v>45576</v>
      </c>
      <c r="H412">
        <v>0</v>
      </c>
      <c r="I412">
        <v>0</v>
      </c>
      <c r="J412" s="1">
        <v>500</v>
      </c>
      <c r="K412" s="1">
        <v>500</v>
      </c>
    </row>
    <row r="413" spans="1:11" x14ac:dyDescent="0.25">
      <c r="A413" t="s">
        <v>663</v>
      </c>
      <c r="B413" t="s">
        <v>2724</v>
      </c>
      <c r="C413" t="s">
        <v>16</v>
      </c>
      <c r="D413" t="s">
        <v>4462</v>
      </c>
      <c r="E413" t="s">
        <v>4451</v>
      </c>
      <c r="F413" t="s">
        <v>2739</v>
      </c>
      <c r="G413" s="2">
        <v>45579</v>
      </c>
      <c r="H413">
        <v>0</v>
      </c>
      <c r="I413">
        <v>0</v>
      </c>
      <c r="J413" s="1">
        <v>500</v>
      </c>
      <c r="K413" s="1">
        <v>500</v>
      </c>
    </row>
    <row r="414" spans="1:11" x14ac:dyDescent="0.25">
      <c r="A414" t="s">
        <v>653</v>
      </c>
      <c r="B414" t="s">
        <v>2703</v>
      </c>
      <c r="C414" t="s">
        <v>35</v>
      </c>
      <c r="D414" t="s">
        <v>4404</v>
      </c>
      <c r="E414" t="s">
        <v>3275</v>
      </c>
      <c r="F414" t="s">
        <v>2739</v>
      </c>
      <c r="G414" s="2">
        <v>45581</v>
      </c>
      <c r="H414">
        <v>0</v>
      </c>
      <c r="I414">
        <v>0</v>
      </c>
      <c r="J414" s="1">
        <v>500</v>
      </c>
      <c r="K414" s="1">
        <v>500</v>
      </c>
    </row>
    <row r="415" spans="1:11" x14ac:dyDescent="0.25">
      <c r="A415" t="s">
        <v>653</v>
      </c>
      <c r="B415" t="s">
        <v>2703</v>
      </c>
      <c r="C415" t="s">
        <v>35</v>
      </c>
      <c r="D415" t="s">
        <v>4404</v>
      </c>
      <c r="E415" t="s">
        <v>3275</v>
      </c>
      <c r="F415" t="s">
        <v>2739</v>
      </c>
      <c r="G415" s="2">
        <v>45581</v>
      </c>
      <c r="H415">
        <v>0</v>
      </c>
      <c r="I415">
        <v>0</v>
      </c>
      <c r="J415" s="1">
        <v>500</v>
      </c>
      <c r="K415" s="1">
        <v>500</v>
      </c>
    </row>
    <row r="416" spans="1:11" x14ac:dyDescent="0.25">
      <c r="A416" t="s">
        <v>653</v>
      </c>
      <c r="B416" t="s">
        <v>2703</v>
      </c>
      <c r="C416" t="s">
        <v>35</v>
      </c>
      <c r="D416" t="s">
        <v>4404</v>
      </c>
      <c r="E416" t="s">
        <v>3275</v>
      </c>
      <c r="F416" t="s">
        <v>2739</v>
      </c>
      <c r="G416" s="2">
        <v>45581</v>
      </c>
      <c r="H416">
        <v>0</v>
      </c>
      <c r="I416">
        <v>0</v>
      </c>
      <c r="J416" s="1">
        <v>500</v>
      </c>
      <c r="K416" s="1">
        <v>500</v>
      </c>
    </row>
    <row r="417" spans="1:11" x14ac:dyDescent="0.25">
      <c r="A417" t="s">
        <v>638</v>
      </c>
      <c r="B417" t="s">
        <v>2700</v>
      </c>
      <c r="C417" t="s">
        <v>27</v>
      </c>
      <c r="D417" t="s">
        <v>4466</v>
      </c>
      <c r="E417" t="s">
        <v>4450</v>
      </c>
      <c r="F417" t="s">
        <v>2739</v>
      </c>
      <c r="G417" s="2">
        <v>45584</v>
      </c>
      <c r="H417">
        <v>0</v>
      </c>
      <c r="I417">
        <v>0</v>
      </c>
      <c r="J417" s="1">
        <v>500</v>
      </c>
      <c r="K417" s="1">
        <v>500</v>
      </c>
    </row>
    <row r="418" spans="1:11" x14ac:dyDescent="0.25">
      <c r="A418" t="s">
        <v>634</v>
      </c>
      <c r="B418" t="s">
        <v>2718</v>
      </c>
      <c r="C418" t="s">
        <v>16</v>
      </c>
      <c r="D418" t="s">
        <v>4466</v>
      </c>
      <c r="E418" t="s">
        <v>4438</v>
      </c>
      <c r="F418" t="s">
        <v>2739</v>
      </c>
      <c r="G418" s="2">
        <v>45585</v>
      </c>
      <c r="H418">
        <v>0</v>
      </c>
      <c r="I418">
        <v>0</v>
      </c>
      <c r="J418" s="1">
        <v>500</v>
      </c>
      <c r="K418" s="1">
        <v>500</v>
      </c>
    </row>
    <row r="419" spans="1:11" x14ac:dyDescent="0.25">
      <c r="A419" t="s">
        <v>636</v>
      </c>
      <c r="B419" t="s">
        <v>2721</v>
      </c>
      <c r="C419" t="s">
        <v>16</v>
      </c>
      <c r="D419" t="s">
        <v>4466</v>
      </c>
      <c r="E419" t="s">
        <v>4438</v>
      </c>
      <c r="F419" t="s">
        <v>2739</v>
      </c>
      <c r="G419" s="2">
        <v>45585</v>
      </c>
      <c r="H419">
        <v>0</v>
      </c>
      <c r="I419">
        <v>0</v>
      </c>
      <c r="J419" s="1">
        <v>500</v>
      </c>
      <c r="K419" s="1">
        <v>500</v>
      </c>
    </row>
    <row r="420" spans="1:11" x14ac:dyDescent="0.25">
      <c r="A420" t="s">
        <v>636</v>
      </c>
      <c r="B420" t="s">
        <v>2721</v>
      </c>
      <c r="C420" t="s">
        <v>16</v>
      </c>
      <c r="D420" t="s">
        <v>4466</v>
      </c>
      <c r="E420" t="s">
        <v>4438</v>
      </c>
      <c r="F420" t="s">
        <v>2739</v>
      </c>
      <c r="G420" s="2">
        <v>45585</v>
      </c>
      <c r="H420">
        <v>0</v>
      </c>
      <c r="I420">
        <v>0</v>
      </c>
      <c r="J420" s="1">
        <v>500</v>
      </c>
      <c r="K420" s="1">
        <v>500</v>
      </c>
    </row>
    <row r="421" spans="1:11" x14ac:dyDescent="0.25">
      <c r="A421" t="s">
        <v>622</v>
      </c>
      <c r="B421" t="s">
        <v>2735</v>
      </c>
      <c r="C421" t="s">
        <v>16</v>
      </c>
      <c r="D421" t="s">
        <v>4462</v>
      </c>
      <c r="E421" t="s">
        <v>4426</v>
      </c>
      <c r="F421" t="s">
        <v>2739</v>
      </c>
      <c r="G421" s="2">
        <v>45587</v>
      </c>
      <c r="H421">
        <v>0</v>
      </c>
      <c r="I421">
        <v>0</v>
      </c>
      <c r="J421" s="1">
        <v>500</v>
      </c>
      <c r="K421" s="1">
        <v>500</v>
      </c>
    </row>
    <row r="422" spans="1:11" x14ac:dyDescent="0.25">
      <c r="A422" t="s">
        <v>624</v>
      </c>
      <c r="B422" t="s">
        <v>2709</v>
      </c>
      <c r="C422" t="s">
        <v>42</v>
      </c>
      <c r="D422" t="s">
        <v>4467</v>
      </c>
      <c r="E422" t="s">
        <v>4456</v>
      </c>
      <c r="F422" t="s">
        <v>2739</v>
      </c>
      <c r="G422" s="2">
        <v>45587</v>
      </c>
      <c r="H422">
        <v>0</v>
      </c>
      <c r="I422">
        <v>0</v>
      </c>
      <c r="J422" s="1">
        <v>500</v>
      </c>
      <c r="K422" s="1">
        <v>500</v>
      </c>
    </row>
    <row r="423" spans="1:11" x14ac:dyDescent="0.25">
      <c r="A423" t="s">
        <v>622</v>
      </c>
      <c r="B423" t="s">
        <v>2735</v>
      </c>
      <c r="C423" t="s">
        <v>16</v>
      </c>
      <c r="D423" t="s">
        <v>4462</v>
      </c>
      <c r="E423" t="s">
        <v>4426</v>
      </c>
      <c r="F423" t="s">
        <v>2739</v>
      </c>
      <c r="G423" s="2">
        <v>45587</v>
      </c>
      <c r="H423">
        <v>0</v>
      </c>
      <c r="I423">
        <v>0</v>
      </c>
      <c r="J423" s="1">
        <v>500</v>
      </c>
      <c r="K423" s="1">
        <v>500</v>
      </c>
    </row>
    <row r="424" spans="1:11" x14ac:dyDescent="0.25">
      <c r="A424" t="s">
        <v>600</v>
      </c>
      <c r="B424" t="s">
        <v>2708</v>
      </c>
      <c r="C424" t="s">
        <v>16</v>
      </c>
      <c r="D424" t="s">
        <v>4466</v>
      </c>
      <c r="E424" t="s">
        <v>4457</v>
      </c>
      <c r="F424" t="s">
        <v>2739</v>
      </c>
      <c r="G424" s="2">
        <v>45589</v>
      </c>
      <c r="H424">
        <v>0</v>
      </c>
      <c r="I424">
        <v>0</v>
      </c>
      <c r="J424" s="1">
        <v>500</v>
      </c>
      <c r="K424" s="1">
        <v>500</v>
      </c>
    </row>
    <row r="425" spans="1:11" x14ac:dyDescent="0.25">
      <c r="A425" t="s">
        <v>608</v>
      </c>
      <c r="B425" t="s">
        <v>2732</v>
      </c>
      <c r="C425" t="s">
        <v>16</v>
      </c>
      <c r="D425" t="s">
        <v>4461</v>
      </c>
      <c r="E425" t="s">
        <v>4444</v>
      </c>
      <c r="F425" t="s">
        <v>2739</v>
      </c>
      <c r="G425" s="2">
        <v>45589</v>
      </c>
      <c r="H425">
        <v>0</v>
      </c>
      <c r="I425">
        <v>0</v>
      </c>
      <c r="J425" s="1">
        <v>500</v>
      </c>
      <c r="K425" s="1">
        <v>500</v>
      </c>
    </row>
    <row r="426" spans="1:11" x14ac:dyDescent="0.25">
      <c r="A426" t="s">
        <v>607</v>
      </c>
      <c r="B426" t="s">
        <v>2711</v>
      </c>
      <c r="C426" t="s">
        <v>16</v>
      </c>
      <c r="D426" t="s">
        <v>4461</v>
      </c>
      <c r="E426" t="s">
        <v>4447</v>
      </c>
      <c r="F426" t="s">
        <v>2739</v>
      </c>
      <c r="G426" s="2">
        <v>45589</v>
      </c>
      <c r="H426">
        <v>0</v>
      </c>
      <c r="I426">
        <v>0</v>
      </c>
      <c r="J426" s="1">
        <v>500</v>
      </c>
      <c r="K426" s="1">
        <v>500</v>
      </c>
    </row>
    <row r="427" spans="1:11" x14ac:dyDescent="0.25">
      <c r="A427" t="s">
        <v>594</v>
      </c>
      <c r="B427" t="s">
        <v>2702</v>
      </c>
      <c r="C427" t="s">
        <v>35</v>
      </c>
      <c r="D427" t="s">
        <v>3305</v>
      </c>
      <c r="E427" t="s">
        <v>3304</v>
      </c>
      <c r="F427" t="s">
        <v>2739</v>
      </c>
      <c r="G427" s="2">
        <v>45590</v>
      </c>
      <c r="H427">
        <v>0</v>
      </c>
      <c r="I427">
        <v>0</v>
      </c>
      <c r="J427" s="1">
        <v>500</v>
      </c>
      <c r="K427" s="1">
        <v>500</v>
      </c>
    </row>
    <row r="428" spans="1:11" x14ac:dyDescent="0.25">
      <c r="A428" t="s">
        <v>596</v>
      </c>
      <c r="B428" t="s">
        <v>136</v>
      </c>
      <c r="C428" t="s">
        <v>35</v>
      </c>
      <c r="D428" t="s">
        <v>4462</v>
      </c>
      <c r="E428" t="s">
        <v>3304</v>
      </c>
      <c r="F428" t="s">
        <v>2739</v>
      </c>
      <c r="G428" s="2">
        <v>45590</v>
      </c>
      <c r="H428">
        <v>0</v>
      </c>
      <c r="I428">
        <v>0</v>
      </c>
      <c r="J428" s="1">
        <v>500</v>
      </c>
      <c r="K428" s="1">
        <v>500</v>
      </c>
    </row>
    <row r="429" spans="1:11" x14ac:dyDescent="0.25">
      <c r="A429" t="s">
        <v>586</v>
      </c>
      <c r="B429" t="s">
        <v>133</v>
      </c>
      <c r="C429" t="s">
        <v>35</v>
      </c>
      <c r="D429" t="s">
        <v>4461</v>
      </c>
      <c r="E429" t="s">
        <v>3304</v>
      </c>
      <c r="F429" t="s">
        <v>2739</v>
      </c>
      <c r="G429" s="2">
        <v>45591</v>
      </c>
      <c r="H429">
        <v>0</v>
      </c>
      <c r="I429">
        <v>0</v>
      </c>
      <c r="J429" s="1">
        <v>500</v>
      </c>
      <c r="K429" s="1">
        <v>500</v>
      </c>
    </row>
    <row r="430" spans="1:11" x14ac:dyDescent="0.25">
      <c r="A430" t="s">
        <v>566</v>
      </c>
      <c r="B430" t="s">
        <v>2734</v>
      </c>
      <c r="C430" t="s">
        <v>16</v>
      </c>
      <c r="D430" t="s">
        <v>4461</v>
      </c>
      <c r="E430" t="s">
        <v>4455</v>
      </c>
      <c r="F430" t="s">
        <v>2739</v>
      </c>
      <c r="G430" s="2">
        <v>45592</v>
      </c>
      <c r="H430">
        <v>0</v>
      </c>
      <c r="I430">
        <v>0</v>
      </c>
      <c r="J430" s="1">
        <v>500</v>
      </c>
      <c r="K430" s="1">
        <v>500</v>
      </c>
    </row>
    <row r="431" spans="1:11" x14ac:dyDescent="0.25">
      <c r="A431" t="s">
        <v>562</v>
      </c>
      <c r="B431" t="s">
        <v>4471</v>
      </c>
      <c r="C431" t="s">
        <v>35</v>
      </c>
      <c r="D431" t="s">
        <v>4470</v>
      </c>
      <c r="E431" t="s">
        <v>35</v>
      </c>
      <c r="F431" t="s">
        <v>2739</v>
      </c>
      <c r="G431" s="2">
        <v>45593</v>
      </c>
      <c r="H431">
        <v>0</v>
      </c>
      <c r="I431">
        <v>0</v>
      </c>
      <c r="J431" s="1">
        <v>500</v>
      </c>
      <c r="K431" s="1">
        <v>500</v>
      </c>
    </row>
    <row r="432" spans="1:11" x14ac:dyDescent="0.25">
      <c r="A432" t="s">
        <v>564</v>
      </c>
      <c r="B432" t="s">
        <v>2727</v>
      </c>
      <c r="C432" t="s">
        <v>16</v>
      </c>
      <c r="D432" t="s">
        <v>4465</v>
      </c>
      <c r="E432" t="s">
        <v>4445</v>
      </c>
      <c r="F432" t="s">
        <v>2739</v>
      </c>
      <c r="G432" s="2">
        <v>45593</v>
      </c>
      <c r="H432">
        <v>0</v>
      </c>
      <c r="I432">
        <v>0</v>
      </c>
      <c r="J432" s="1">
        <v>500</v>
      </c>
      <c r="K432" s="1">
        <v>500</v>
      </c>
    </row>
    <row r="433" spans="1:11" x14ac:dyDescent="0.25">
      <c r="A433" t="s">
        <v>548</v>
      </c>
      <c r="B433" t="s">
        <v>2711</v>
      </c>
      <c r="C433" t="s">
        <v>16</v>
      </c>
      <c r="D433" t="s">
        <v>4461</v>
      </c>
      <c r="E433" t="s">
        <v>4447</v>
      </c>
      <c r="F433" t="s">
        <v>2739</v>
      </c>
      <c r="G433" s="2">
        <v>45595</v>
      </c>
      <c r="H433">
        <v>0</v>
      </c>
      <c r="I433">
        <v>0</v>
      </c>
      <c r="J433" s="1">
        <v>500</v>
      </c>
      <c r="K433" s="1">
        <v>500</v>
      </c>
    </row>
    <row r="434" spans="1:11" x14ac:dyDescent="0.25">
      <c r="A434" t="s">
        <v>528</v>
      </c>
      <c r="B434" t="s">
        <v>2725</v>
      </c>
      <c r="C434" t="s">
        <v>16</v>
      </c>
      <c r="D434" t="s">
        <v>4465</v>
      </c>
      <c r="E434" t="s">
        <v>4429</v>
      </c>
      <c r="F434" t="s">
        <v>2739</v>
      </c>
      <c r="G434" s="2">
        <v>45597</v>
      </c>
      <c r="H434">
        <v>0</v>
      </c>
      <c r="I434">
        <v>0</v>
      </c>
      <c r="J434" s="1">
        <v>500</v>
      </c>
      <c r="K434" s="1">
        <v>1000</v>
      </c>
    </row>
    <row r="435" spans="1:11" x14ac:dyDescent="0.25">
      <c r="A435" t="s">
        <v>529</v>
      </c>
      <c r="B435" t="s">
        <v>2730</v>
      </c>
      <c r="C435" t="s">
        <v>42</v>
      </c>
      <c r="D435" t="s">
        <v>4467</v>
      </c>
      <c r="E435" t="s">
        <v>4441</v>
      </c>
      <c r="F435" t="s">
        <v>2739</v>
      </c>
      <c r="G435" s="2">
        <v>45597</v>
      </c>
      <c r="H435">
        <v>0</v>
      </c>
      <c r="I435">
        <v>0</v>
      </c>
      <c r="J435" s="1">
        <v>500</v>
      </c>
      <c r="K435" s="1">
        <v>500</v>
      </c>
    </row>
    <row r="436" spans="1:11" x14ac:dyDescent="0.25">
      <c r="A436" t="s">
        <v>531</v>
      </c>
      <c r="B436" t="s">
        <v>2716</v>
      </c>
      <c r="C436" t="s">
        <v>16</v>
      </c>
      <c r="D436" t="s">
        <v>4462</v>
      </c>
      <c r="E436" t="s">
        <v>4458</v>
      </c>
      <c r="F436" t="s">
        <v>2739</v>
      </c>
      <c r="G436" s="2">
        <v>45597</v>
      </c>
      <c r="H436">
        <v>0</v>
      </c>
      <c r="I436">
        <v>0</v>
      </c>
      <c r="J436" s="1">
        <v>500</v>
      </c>
      <c r="K436" s="1">
        <v>500</v>
      </c>
    </row>
    <row r="437" spans="1:11" x14ac:dyDescent="0.25">
      <c r="A437" t="s">
        <v>527</v>
      </c>
      <c r="B437" t="s">
        <v>2728</v>
      </c>
      <c r="C437" t="s">
        <v>16</v>
      </c>
      <c r="D437" t="s">
        <v>4465</v>
      </c>
      <c r="E437" t="s">
        <v>4439</v>
      </c>
      <c r="F437" t="s">
        <v>2739</v>
      </c>
      <c r="G437" s="2">
        <v>45597</v>
      </c>
      <c r="H437">
        <v>0</v>
      </c>
      <c r="I437">
        <v>0</v>
      </c>
      <c r="J437" s="1">
        <v>500</v>
      </c>
      <c r="K437" s="1">
        <v>500</v>
      </c>
    </row>
    <row r="438" spans="1:11" x14ac:dyDescent="0.25">
      <c r="A438" t="s">
        <v>530</v>
      </c>
      <c r="B438" t="s">
        <v>2714</v>
      </c>
      <c r="C438" t="s">
        <v>16</v>
      </c>
      <c r="D438" t="s">
        <v>4466</v>
      </c>
      <c r="E438" t="s">
        <v>4434</v>
      </c>
      <c r="F438" t="s">
        <v>2739</v>
      </c>
      <c r="G438" s="2">
        <v>45597</v>
      </c>
      <c r="H438">
        <v>0</v>
      </c>
      <c r="I438">
        <v>0</v>
      </c>
      <c r="J438" s="1">
        <v>500</v>
      </c>
      <c r="K438" s="1">
        <v>500</v>
      </c>
    </row>
    <row r="439" spans="1:11" x14ac:dyDescent="0.25">
      <c r="A439" t="s">
        <v>517</v>
      </c>
      <c r="B439" t="s">
        <v>2698</v>
      </c>
      <c r="C439" t="s">
        <v>16</v>
      </c>
      <c r="D439" t="s">
        <v>4465</v>
      </c>
      <c r="E439" t="s">
        <v>4442</v>
      </c>
      <c r="F439" t="s">
        <v>2739</v>
      </c>
      <c r="G439" s="2">
        <v>45598</v>
      </c>
      <c r="H439">
        <v>0</v>
      </c>
      <c r="I439">
        <v>0</v>
      </c>
      <c r="J439" s="1">
        <v>500</v>
      </c>
      <c r="K439" s="1">
        <v>500</v>
      </c>
    </row>
    <row r="440" spans="1:11" x14ac:dyDescent="0.25">
      <c r="A440" t="s">
        <v>520</v>
      </c>
      <c r="B440" t="s">
        <v>2712</v>
      </c>
      <c r="C440" t="s">
        <v>16</v>
      </c>
      <c r="D440" t="s">
        <v>4461</v>
      </c>
      <c r="E440" t="s">
        <v>4449</v>
      </c>
      <c r="F440" t="s">
        <v>2739</v>
      </c>
      <c r="G440" s="2">
        <v>45598</v>
      </c>
      <c r="H440">
        <v>0</v>
      </c>
      <c r="I440">
        <v>0</v>
      </c>
      <c r="J440" s="1">
        <v>500</v>
      </c>
      <c r="K440" s="1">
        <v>500</v>
      </c>
    </row>
    <row r="441" spans="1:11" x14ac:dyDescent="0.25">
      <c r="A441" t="s">
        <v>521</v>
      </c>
      <c r="B441" t="s">
        <v>93</v>
      </c>
      <c r="C441" t="s">
        <v>35</v>
      </c>
      <c r="D441" t="s">
        <v>4465</v>
      </c>
      <c r="E441" t="s">
        <v>3304</v>
      </c>
      <c r="F441" t="s">
        <v>2739</v>
      </c>
      <c r="G441" s="2">
        <v>45598</v>
      </c>
      <c r="H441">
        <v>0</v>
      </c>
      <c r="I441">
        <v>0</v>
      </c>
      <c r="J441" s="1">
        <v>500</v>
      </c>
      <c r="K441" s="1">
        <v>500</v>
      </c>
    </row>
    <row r="442" spans="1:11" x14ac:dyDescent="0.25">
      <c r="A442" t="s">
        <v>523</v>
      </c>
      <c r="B442" t="s">
        <v>66</v>
      </c>
      <c r="C442" t="s">
        <v>35</v>
      </c>
      <c r="D442" t="s">
        <v>4466</v>
      </c>
      <c r="E442" t="s">
        <v>3304</v>
      </c>
      <c r="F442" t="s">
        <v>2739</v>
      </c>
      <c r="G442" s="2">
        <v>45598</v>
      </c>
      <c r="H442">
        <v>0</v>
      </c>
      <c r="I442">
        <v>0</v>
      </c>
      <c r="J442" s="1">
        <v>500</v>
      </c>
      <c r="K442" s="1">
        <v>500</v>
      </c>
    </row>
    <row r="443" spans="1:11" x14ac:dyDescent="0.25">
      <c r="A443" t="s">
        <v>525</v>
      </c>
      <c r="B443" t="s">
        <v>4463</v>
      </c>
      <c r="C443" t="s">
        <v>35</v>
      </c>
      <c r="D443" t="s">
        <v>4464</v>
      </c>
      <c r="E443" t="s">
        <v>3304</v>
      </c>
      <c r="F443" t="s">
        <v>2739</v>
      </c>
      <c r="G443" s="2">
        <v>45598</v>
      </c>
      <c r="H443">
        <v>0</v>
      </c>
      <c r="I443">
        <v>0</v>
      </c>
      <c r="J443" s="1">
        <v>500</v>
      </c>
      <c r="K443" s="1">
        <v>500</v>
      </c>
    </row>
    <row r="444" spans="1:11" x14ac:dyDescent="0.25">
      <c r="A444" t="s">
        <v>516</v>
      </c>
      <c r="B444" t="s">
        <v>2726</v>
      </c>
      <c r="C444" t="s">
        <v>16</v>
      </c>
      <c r="D444" t="s">
        <v>4466</v>
      </c>
      <c r="E444" t="s">
        <v>4437</v>
      </c>
      <c r="F444" t="s">
        <v>2739</v>
      </c>
      <c r="G444" s="2">
        <v>45599</v>
      </c>
      <c r="H444">
        <v>0</v>
      </c>
      <c r="I444">
        <v>0</v>
      </c>
      <c r="J444" s="1">
        <v>500</v>
      </c>
      <c r="K444" s="1">
        <v>500</v>
      </c>
    </row>
    <row r="445" spans="1:11" x14ac:dyDescent="0.25">
      <c r="A445" t="s">
        <v>508</v>
      </c>
      <c r="B445" t="s">
        <v>2713</v>
      </c>
      <c r="C445" t="s">
        <v>16</v>
      </c>
      <c r="D445" t="s">
        <v>4465</v>
      </c>
      <c r="E445" t="s">
        <v>4428</v>
      </c>
      <c r="F445" t="s">
        <v>2739</v>
      </c>
      <c r="G445" s="2">
        <v>45600</v>
      </c>
      <c r="H445">
        <v>0</v>
      </c>
      <c r="I445">
        <v>0</v>
      </c>
      <c r="J445" s="1">
        <v>500</v>
      </c>
      <c r="K445" s="1">
        <v>500</v>
      </c>
    </row>
    <row r="446" spans="1:11" x14ac:dyDescent="0.25">
      <c r="A446" t="s">
        <v>511</v>
      </c>
      <c r="B446" t="s">
        <v>2706</v>
      </c>
      <c r="C446" t="s">
        <v>27</v>
      </c>
      <c r="D446" t="s">
        <v>4461</v>
      </c>
      <c r="E446" t="s">
        <v>4452</v>
      </c>
      <c r="F446" t="s">
        <v>2739</v>
      </c>
      <c r="G446" s="2">
        <v>45600</v>
      </c>
      <c r="H446">
        <v>0</v>
      </c>
      <c r="I446">
        <v>0</v>
      </c>
      <c r="J446" s="1">
        <v>500</v>
      </c>
      <c r="K446" s="1">
        <v>500</v>
      </c>
    </row>
    <row r="447" spans="1:11" x14ac:dyDescent="0.25">
      <c r="A447" t="s">
        <v>513</v>
      </c>
      <c r="B447" t="s">
        <v>2705</v>
      </c>
      <c r="C447" t="s">
        <v>42</v>
      </c>
      <c r="D447" t="s">
        <v>4467</v>
      </c>
      <c r="E447" t="s">
        <v>4435</v>
      </c>
      <c r="F447" t="s">
        <v>2739</v>
      </c>
      <c r="G447" s="2">
        <v>45600</v>
      </c>
      <c r="H447">
        <v>0</v>
      </c>
      <c r="I447">
        <v>0</v>
      </c>
      <c r="J447" s="1">
        <v>500</v>
      </c>
      <c r="K447" s="1">
        <v>500</v>
      </c>
    </row>
    <row r="448" spans="1:11" x14ac:dyDescent="0.25">
      <c r="A448" t="s">
        <v>498</v>
      </c>
      <c r="B448" t="s">
        <v>2724</v>
      </c>
      <c r="C448" t="s">
        <v>16</v>
      </c>
      <c r="D448" t="s">
        <v>4462</v>
      </c>
      <c r="E448" t="s">
        <v>4451</v>
      </c>
      <c r="F448" t="s">
        <v>2739</v>
      </c>
      <c r="G448" s="2">
        <v>45601</v>
      </c>
      <c r="H448">
        <v>0</v>
      </c>
      <c r="I448">
        <v>0</v>
      </c>
      <c r="J448" s="1">
        <v>500</v>
      </c>
      <c r="K448" s="1">
        <v>500</v>
      </c>
    </row>
    <row r="449" spans="1:11" x14ac:dyDescent="0.25">
      <c r="A449" t="s">
        <v>502</v>
      </c>
      <c r="B449" t="s">
        <v>2700</v>
      </c>
      <c r="C449" t="s">
        <v>27</v>
      </c>
      <c r="D449" t="s">
        <v>4466</v>
      </c>
      <c r="E449" t="s">
        <v>4450</v>
      </c>
      <c r="F449" t="s">
        <v>2739</v>
      </c>
      <c r="G449" s="2">
        <v>45601</v>
      </c>
      <c r="H449">
        <v>0</v>
      </c>
      <c r="I449">
        <v>0</v>
      </c>
      <c r="J449" s="1">
        <v>500</v>
      </c>
      <c r="K449" s="1">
        <v>500</v>
      </c>
    </row>
    <row r="450" spans="1:11" x14ac:dyDescent="0.25">
      <c r="A450" t="s">
        <v>504</v>
      </c>
      <c r="B450" t="s">
        <v>2728</v>
      </c>
      <c r="C450" t="s">
        <v>16</v>
      </c>
      <c r="D450" t="s">
        <v>4465</v>
      </c>
      <c r="E450" t="s">
        <v>4439</v>
      </c>
      <c r="F450" t="s">
        <v>2739</v>
      </c>
      <c r="G450" s="2">
        <v>45601</v>
      </c>
      <c r="H450">
        <v>0</v>
      </c>
      <c r="I450">
        <v>0</v>
      </c>
      <c r="J450" s="1">
        <v>500</v>
      </c>
      <c r="K450" s="1">
        <v>500</v>
      </c>
    </row>
    <row r="451" spans="1:11" x14ac:dyDescent="0.25">
      <c r="A451" t="s">
        <v>491</v>
      </c>
      <c r="B451" t="s">
        <v>2721</v>
      </c>
      <c r="C451" t="s">
        <v>16</v>
      </c>
      <c r="D451" t="s">
        <v>4466</v>
      </c>
      <c r="E451" t="s">
        <v>4438</v>
      </c>
      <c r="F451" t="s">
        <v>2739</v>
      </c>
      <c r="G451" s="2">
        <v>45602</v>
      </c>
      <c r="H451">
        <v>0</v>
      </c>
      <c r="I451">
        <v>0</v>
      </c>
      <c r="J451" s="1">
        <v>500</v>
      </c>
      <c r="K451" s="1">
        <v>500</v>
      </c>
    </row>
    <row r="452" spans="1:11" x14ac:dyDescent="0.25">
      <c r="A452" t="s">
        <v>494</v>
      </c>
      <c r="B452" t="s">
        <v>2719</v>
      </c>
      <c r="C452" t="s">
        <v>16</v>
      </c>
      <c r="D452" t="s">
        <v>4466</v>
      </c>
      <c r="E452" t="s">
        <v>4430</v>
      </c>
      <c r="F452" t="s">
        <v>2739</v>
      </c>
      <c r="G452" s="2">
        <v>45602</v>
      </c>
      <c r="H452">
        <v>0</v>
      </c>
      <c r="I452">
        <v>0</v>
      </c>
      <c r="J452" s="1">
        <v>500</v>
      </c>
      <c r="K452" s="1">
        <v>500</v>
      </c>
    </row>
    <row r="453" spans="1:11" x14ac:dyDescent="0.25">
      <c r="A453" t="s">
        <v>497</v>
      </c>
      <c r="B453" t="s">
        <v>2710</v>
      </c>
      <c r="C453" t="s">
        <v>42</v>
      </c>
      <c r="D453" t="s">
        <v>4467</v>
      </c>
      <c r="E453" t="s">
        <v>4436</v>
      </c>
      <c r="F453" t="s">
        <v>2739</v>
      </c>
      <c r="G453" s="2">
        <v>45602</v>
      </c>
      <c r="H453">
        <v>0</v>
      </c>
      <c r="I453">
        <v>0</v>
      </c>
      <c r="J453" s="1">
        <v>500</v>
      </c>
      <c r="K453" s="1">
        <v>500</v>
      </c>
    </row>
    <row r="454" spans="1:11" x14ac:dyDescent="0.25">
      <c r="A454" t="s">
        <v>480</v>
      </c>
      <c r="B454" t="s">
        <v>2718</v>
      </c>
      <c r="C454" t="s">
        <v>16</v>
      </c>
      <c r="D454" t="s">
        <v>4466</v>
      </c>
      <c r="E454" t="s">
        <v>4438</v>
      </c>
      <c r="F454" t="s">
        <v>2739</v>
      </c>
      <c r="G454" s="2">
        <v>45603</v>
      </c>
      <c r="H454">
        <v>0</v>
      </c>
      <c r="I454">
        <v>0</v>
      </c>
      <c r="J454" s="1">
        <v>500</v>
      </c>
      <c r="K454" s="1">
        <v>500</v>
      </c>
    </row>
    <row r="455" spans="1:11" x14ac:dyDescent="0.25">
      <c r="A455" t="s">
        <v>473</v>
      </c>
      <c r="B455" t="s">
        <v>2701</v>
      </c>
      <c r="C455" t="s">
        <v>16</v>
      </c>
      <c r="D455" t="s">
        <v>4466</v>
      </c>
      <c r="E455" t="s">
        <v>4453</v>
      </c>
      <c r="F455" t="s">
        <v>2739</v>
      </c>
      <c r="G455" s="2">
        <v>45604</v>
      </c>
      <c r="H455">
        <v>0</v>
      </c>
      <c r="I455">
        <v>0</v>
      </c>
      <c r="J455" s="1">
        <v>500</v>
      </c>
      <c r="K455" s="1">
        <v>500</v>
      </c>
    </row>
    <row r="456" spans="1:11" x14ac:dyDescent="0.25">
      <c r="A456" t="s">
        <v>474</v>
      </c>
      <c r="B456" t="s">
        <v>2702</v>
      </c>
      <c r="C456" t="s">
        <v>35</v>
      </c>
      <c r="D456" t="s">
        <v>3305</v>
      </c>
      <c r="E456" t="s">
        <v>3304</v>
      </c>
      <c r="F456" t="s">
        <v>2739</v>
      </c>
      <c r="G456" s="2">
        <v>45604</v>
      </c>
      <c r="H456">
        <v>0</v>
      </c>
      <c r="I456">
        <v>0</v>
      </c>
      <c r="J456" s="1">
        <v>500</v>
      </c>
      <c r="K456" s="1">
        <v>500</v>
      </c>
    </row>
    <row r="457" spans="1:11" x14ac:dyDescent="0.25">
      <c r="A457" t="s">
        <v>459</v>
      </c>
      <c r="B457" t="s">
        <v>2699</v>
      </c>
      <c r="C457" t="s">
        <v>16</v>
      </c>
      <c r="D457" t="s">
        <v>4462</v>
      </c>
      <c r="E457" t="s">
        <v>4440</v>
      </c>
      <c r="F457" t="s">
        <v>2739</v>
      </c>
      <c r="G457" s="2">
        <v>45605</v>
      </c>
      <c r="H457">
        <v>0</v>
      </c>
      <c r="I457">
        <v>0</v>
      </c>
      <c r="J457" s="1">
        <v>500</v>
      </c>
      <c r="K457" s="1">
        <v>500</v>
      </c>
    </row>
    <row r="458" spans="1:11" x14ac:dyDescent="0.25">
      <c r="A458" t="s">
        <v>461</v>
      </c>
      <c r="B458" t="s">
        <v>2714</v>
      </c>
      <c r="C458" t="s">
        <v>16</v>
      </c>
      <c r="D458" t="s">
        <v>4466</v>
      </c>
      <c r="E458" t="s">
        <v>4434</v>
      </c>
      <c r="F458" t="s">
        <v>2739</v>
      </c>
      <c r="G458" s="2">
        <v>45605</v>
      </c>
      <c r="H458">
        <v>0</v>
      </c>
      <c r="I458">
        <v>0</v>
      </c>
      <c r="J458" s="1">
        <v>500</v>
      </c>
      <c r="K458" s="1">
        <v>500</v>
      </c>
    </row>
    <row r="459" spans="1:11" x14ac:dyDescent="0.25">
      <c r="A459" t="s">
        <v>463</v>
      </c>
      <c r="B459" t="s">
        <v>133</v>
      </c>
      <c r="C459" t="s">
        <v>35</v>
      </c>
      <c r="D459" t="s">
        <v>4461</v>
      </c>
      <c r="E459" t="s">
        <v>3304</v>
      </c>
      <c r="F459" t="s">
        <v>2739</v>
      </c>
      <c r="G459" s="2">
        <v>45605</v>
      </c>
      <c r="H459">
        <v>0</v>
      </c>
      <c r="I459">
        <v>0</v>
      </c>
      <c r="J459" s="1">
        <v>500</v>
      </c>
      <c r="K459" s="1">
        <v>500</v>
      </c>
    </row>
    <row r="460" spans="1:11" x14ac:dyDescent="0.25">
      <c r="A460" t="s">
        <v>467</v>
      </c>
      <c r="B460" t="s">
        <v>136</v>
      </c>
      <c r="C460" t="s">
        <v>35</v>
      </c>
      <c r="D460" t="s">
        <v>4462</v>
      </c>
      <c r="E460" t="s">
        <v>3304</v>
      </c>
      <c r="F460" t="s">
        <v>2739</v>
      </c>
      <c r="G460" s="2">
        <v>45605</v>
      </c>
      <c r="H460">
        <v>0</v>
      </c>
      <c r="I460">
        <v>0</v>
      </c>
      <c r="J460" s="1">
        <v>500</v>
      </c>
      <c r="K460" s="1">
        <v>500</v>
      </c>
    </row>
    <row r="461" spans="1:11" x14ac:dyDescent="0.25">
      <c r="A461" t="s">
        <v>455</v>
      </c>
      <c r="B461" t="s">
        <v>2731</v>
      </c>
      <c r="C461" t="s">
        <v>16</v>
      </c>
      <c r="D461" t="s">
        <v>4465</v>
      </c>
      <c r="E461" t="s">
        <v>4460</v>
      </c>
      <c r="F461" t="s">
        <v>2739</v>
      </c>
      <c r="G461" s="2">
        <v>45606</v>
      </c>
      <c r="H461">
        <v>0</v>
      </c>
      <c r="I461">
        <v>0</v>
      </c>
      <c r="J461" s="1">
        <v>500</v>
      </c>
      <c r="K461" s="1">
        <v>500</v>
      </c>
    </row>
    <row r="462" spans="1:11" x14ac:dyDescent="0.25">
      <c r="A462" t="s">
        <v>458</v>
      </c>
      <c r="B462" t="s">
        <v>2733</v>
      </c>
      <c r="C462" t="s">
        <v>16</v>
      </c>
      <c r="D462" t="s">
        <v>4465</v>
      </c>
      <c r="E462" t="s">
        <v>4448</v>
      </c>
      <c r="F462" t="s">
        <v>2739</v>
      </c>
      <c r="G462" s="2">
        <v>45606</v>
      </c>
      <c r="H462">
        <v>0</v>
      </c>
      <c r="I462">
        <v>0</v>
      </c>
      <c r="J462" s="1">
        <v>500</v>
      </c>
      <c r="K462" s="1">
        <v>500</v>
      </c>
    </row>
    <row r="463" spans="1:11" x14ac:dyDescent="0.25">
      <c r="A463" t="s">
        <v>449</v>
      </c>
      <c r="B463" t="s">
        <v>2729</v>
      </c>
      <c r="C463" t="s">
        <v>16</v>
      </c>
      <c r="D463" t="s">
        <v>4465</v>
      </c>
      <c r="E463" t="s">
        <v>4427</v>
      </c>
      <c r="F463" t="s">
        <v>2739</v>
      </c>
      <c r="G463" s="2">
        <v>45607</v>
      </c>
      <c r="H463">
        <v>0</v>
      </c>
      <c r="I463">
        <v>0</v>
      </c>
      <c r="J463" s="1">
        <v>500</v>
      </c>
      <c r="K463" s="1">
        <v>500</v>
      </c>
    </row>
    <row r="464" spans="1:11" x14ac:dyDescent="0.25">
      <c r="A464" t="s">
        <v>445</v>
      </c>
      <c r="B464" t="s">
        <v>2732</v>
      </c>
      <c r="C464" t="s">
        <v>16</v>
      </c>
      <c r="D464" t="s">
        <v>4461</v>
      </c>
      <c r="E464" t="s">
        <v>4444</v>
      </c>
      <c r="F464" t="s">
        <v>2739</v>
      </c>
      <c r="G464" s="2">
        <v>45608</v>
      </c>
      <c r="H464">
        <v>0</v>
      </c>
      <c r="I464">
        <v>0</v>
      </c>
      <c r="J464" s="1">
        <v>500</v>
      </c>
      <c r="K464" s="1">
        <v>500</v>
      </c>
    </row>
    <row r="465" spans="1:11" x14ac:dyDescent="0.25">
      <c r="A465" t="s">
        <v>420</v>
      </c>
      <c r="B465" t="s">
        <v>4471</v>
      </c>
      <c r="C465" t="s">
        <v>35</v>
      </c>
      <c r="D465" t="s">
        <v>4470</v>
      </c>
      <c r="E465" t="s">
        <v>35</v>
      </c>
      <c r="F465" t="s">
        <v>2739</v>
      </c>
      <c r="G465" s="2">
        <v>45612</v>
      </c>
      <c r="H465">
        <v>0</v>
      </c>
      <c r="I465">
        <v>0</v>
      </c>
      <c r="J465" s="1">
        <v>500</v>
      </c>
      <c r="K465" s="1">
        <v>500</v>
      </c>
    </row>
    <row r="466" spans="1:11" x14ac:dyDescent="0.25">
      <c r="A466" t="s">
        <v>406</v>
      </c>
      <c r="B466" t="s">
        <v>2717</v>
      </c>
      <c r="C466" t="s">
        <v>16</v>
      </c>
      <c r="D466" t="s">
        <v>4466</v>
      </c>
      <c r="E466" t="s">
        <v>4431</v>
      </c>
      <c r="F466" t="s">
        <v>2739</v>
      </c>
      <c r="G466" s="2">
        <v>45615</v>
      </c>
      <c r="H466">
        <v>0</v>
      </c>
      <c r="I466">
        <v>0</v>
      </c>
      <c r="J466" s="1">
        <v>500</v>
      </c>
      <c r="K466" s="1">
        <v>500</v>
      </c>
    </row>
    <row r="467" spans="1:11" x14ac:dyDescent="0.25">
      <c r="A467" t="s">
        <v>367</v>
      </c>
      <c r="B467" t="s">
        <v>2709</v>
      </c>
      <c r="C467" t="s">
        <v>42</v>
      </c>
      <c r="D467" t="s">
        <v>4467</v>
      </c>
      <c r="E467" t="s">
        <v>4456</v>
      </c>
      <c r="F467" t="s">
        <v>2739</v>
      </c>
      <c r="G467" s="2">
        <v>45619</v>
      </c>
      <c r="H467">
        <v>0</v>
      </c>
      <c r="I467">
        <v>0</v>
      </c>
      <c r="J467" s="1">
        <v>500</v>
      </c>
      <c r="K467" s="1">
        <v>500</v>
      </c>
    </row>
    <row r="468" spans="1:11" x14ac:dyDescent="0.25">
      <c r="A468" t="s">
        <v>349</v>
      </c>
      <c r="B468" t="s">
        <v>2708</v>
      </c>
      <c r="C468" t="s">
        <v>16</v>
      </c>
      <c r="D468" t="s">
        <v>4466</v>
      </c>
      <c r="E468" t="s">
        <v>4457</v>
      </c>
      <c r="F468" t="s">
        <v>2739</v>
      </c>
      <c r="G468" s="2">
        <v>45620</v>
      </c>
      <c r="H468">
        <v>0</v>
      </c>
      <c r="I468">
        <v>0</v>
      </c>
      <c r="J468" s="1">
        <v>500</v>
      </c>
      <c r="K468" s="1">
        <v>500</v>
      </c>
    </row>
    <row r="469" spans="1:11" x14ac:dyDescent="0.25">
      <c r="A469" t="s">
        <v>357</v>
      </c>
      <c r="B469" t="s">
        <v>2707</v>
      </c>
      <c r="C469" t="s">
        <v>16</v>
      </c>
      <c r="D469" t="s">
        <v>4462</v>
      </c>
      <c r="E469" t="s">
        <v>4433</v>
      </c>
      <c r="F469" t="s">
        <v>2739</v>
      </c>
      <c r="G469" s="2">
        <v>45620</v>
      </c>
      <c r="H469">
        <v>0</v>
      </c>
      <c r="I469">
        <v>0</v>
      </c>
      <c r="J469" s="1">
        <v>500</v>
      </c>
      <c r="K469" s="1">
        <v>500</v>
      </c>
    </row>
    <row r="470" spans="1:11" x14ac:dyDescent="0.25">
      <c r="A470" t="s">
        <v>365</v>
      </c>
      <c r="B470" t="s">
        <v>2735</v>
      </c>
      <c r="C470" t="s">
        <v>16</v>
      </c>
      <c r="D470" t="s">
        <v>4462</v>
      </c>
      <c r="E470" t="s">
        <v>4426</v>
      </c>
      <c r="F470" t="s">
        <v>2739</v>
      </c>
      <c r="G470" s="2">
        <v>45620</v>
      </c>
      <c r="H470">
        <v>0</v>
      </c>
      <c r="I470">
        <v>0</v>
      </c>
      <c r="J470" s="1">
        <v>500</v>
      </c>
      <c r="K470" s="1">
        <v>500</v>
      </c>
    </row>
    <row r="471" spans="1:11" x14ac:dyDescent="0.25">
      <c r="A471" t="s">
        <v>317</v>
      </c>
      <c r="B471" t="s">
        <v>2711</v>
      </c>
      <c r="C471" t="s">
        <v>16</v>
      </c>
      <c r="D471" t="s">
        <v>4461</v>
      </c>
      <c r="E471" t="s">
        <v>4447</v>
      </c>
      <c r="F471" t="s">
        <v>2739</v>
      </c>
      <c r="G471" s="2">
        <v>45624</v>
      </c>
      <c r="H471">
        <v>0</v>
      </c>
      <c r="I471">
        <v>0</v>
      </c>
      <c r="J471" s="1">
        <v>500</v>
      </c>
      <c r="K471" s="1">
        <v>500</v>
      </c>
    </row>
    <row r="472" spans="1:11" x14ac:dyDescent="0.25">
      <c r="A472" t="s">
        <v>325</v>
      </c>
      <c r="B472" t="s">
        <v>2727</v>
      </c>
      <c r="C472" t="s">
        <v>16</v>
      </c>
      <c r="D472" t="s">
        <v>4465</v>
      </c>
      <c r="E472" t="s">
        <v>4445</v>
      </c>
      <c r="F472" t="s">
        <v>2739</v>
      </c>
      <c r="G472" s="2">
        <v>45624</v>
      </c>
      <c r="H472">
        <v>0</v>
      </c>
      <c r="I472">
        <v>0</v>
      </c>
      <c r="J472" s="1">
        <v>500</v>
      </c>
      <c r="K472" s="1">
        <v>500</v>
      </c>
    </row>
    <row r="473" spans="1:11" x14ac:dyDescent="0.25">
      <c r="A473" t="s">
        <v>292</v>
      </c>
      <c r="B473" t="s">
        <v>2712</v>
      </c>
      <c r="C473" t="s">
        <v>16</v>
      </c>
      <c r="D473" t="s">
        <v>4461</v>
      </c>
      <c r="E473" t="s">
        <v>4449</v>
      </c>
      <c r="F473" t="s">
        <v>2739</v>
      </c>
      <c r="G473" s="2">
        <v>45627</v>
      </c>
      <c r="H473">
        <v>0</v>
      </c>
      <c r="I473">
        <v>0</v>
      </c>
      <c r="J473" s="1">
        <v>500</v>
      </c>
      <c r="K473" s="1">
        <v>500</v>
      </c>
    </row>
    <row r="474" spans="1:11" x14ac:dyDescent="0.25">
      <c r="A474" t="s">
        <v>293</v>
      </c>
      <c r="B474" t="s">
        <v>2724</v>
      </c>
      <c r="C474" t="s">
        <v>16</v>
      </c>
      <c r="D474" t="s">
        <v>4462</v>
      </c>
      <c r="E474" t="s">
        <v>4451</v>
      </c>
      <c r="F474" t="s">
        <v>2739</v>
      </c>
      <c r="G474" s="2">
        <v>45627</v>
      </c>
      <c r="H474">
        <v>0</v>
      </c>
      <c r="I474">
        <v>0</v>
      </c>
      <c r="J474" s="1">
        <v>500</v>
      </c>
      <c r="K474" s="1">
        <v>500</v>
      </c>
    </row>
    <row r="475" spans="1:11" x14ac:dyDescent="0.25">
      <c r="A475" t="s">
        <v>295</v>
      </c>
      <c r="B475" t="s">
        <v>2731</v>
      </c>
      <c r="C475" t="s">
        <v>16</v>
      </c>
      <c r="D475" t="s">
        <v>4465</v>
      </c>
      <c r="E475" t="s">
        <v>4460</v>
      </c>
      <c r="F475" t="s">
        <v>2739</v>
      </c>
      <c r="G475" s="2">
        <v>45627</v>
      </c>
      <c r="H475">
        <v>0</v>
      </c>
      <c r="I475">
        <v>0</v>
      </c>
      <c r="J475" s="1">
        <v>500</v>
      </c>
      <c r="K475" s="1">
        <v>500</v>
      </c>
    </row>
    <row r="476" spans="1:11" x14ac:dyDescent="0.25">
      <c r="A476" t="s">
        <v>297</v>
      </c>
      <c r="B476" t="s">
        <v>2716</v>
      </c>
      <c r="C476" t="s">
        <v>16</v>
      </c>
      <c r="D476" t="s">
        <v>4462</v>
      </c>
      <c r="E476" t="s">
        <v>4458</v>
      </c>
      <c r="F476" t="s">
        <v>2739</v>
      </c>
      <c r="G476" s="2">
        <v>45627</v>
      </c>
      <c r="H476">
        <v>0</v>
      </c>
      <c r="I476">
        <v>0</v>
      </c>
      <c r="J476" s="1">
        <v>500</v>
      </c>
      <c r="K476" s="1">
        <v>500</v>
      </c>
    </row>
    <row r="477" spans="1:11" x14ac:dyDescent="0.25">
      <c r="A477" t="s">
        <v>298</v>
      </c>
      <c r="B477" t="s">
        <v>2730</v>
      </c>
      <c r="C477" t="s">
        <v>42</v>
      </c>
      <c r="D477" t="s">
        <v>4467</v>
      </c>
      <c r="E477" t="s">
        <v>4441</v>
      </c>
      <c r="F477" t="s">
        <v>2739</v>
      </c>
      <c r="G477" s="2">
        <v>45627</v>
      </c>
      <c r="H477">
        <v>0</v>
      </c>
      <c r="I477">
        <v>0</v>
      </c>
      <c r="J477" s="1">
        <v>500</v>
      </c>
      <c r="K477" s="1">
        <v>500</v>
      </c>
    </row>
    <row r="478" spans="1:11" x14ac:dyDescent="0.25">
      <c r="A478" t="s">
        <v>284</v>
      </c>
      <c r="B478" t="s">
        <v>2698</v>
      </c>
      <c r="C478" t="s">
        <v>16</v>
      </c>
      <c r="D478" t="s">
        <v>4465</v>
      </c>
      <c r="E478" t="s">
        <v>4442</v>
      </c>
      <c r="F478" t="s">
        <v>2739</v>
      </c>
      <c r="G478" s="2">
        <v>45628</v>
      </c>
      <c r="H478">
        <v>0</v>
      </c>
      <c r="I478">
        <v>0</v>
      </c>
      <c r="J478" s="1">
        <v>500</v>
      </c>
      <c r="K478" s="1">
        <v>500</v>
      </c>
    </row>
    <row r="479" spans="1:11" x14ac:dyDescent="0.25">
      <c r="A479" t="s">
        <v>286</v>
      </c>
      <c r="B479" t="s">
        <v>2713</v>
      </c>
      <c r="C479" t="s">
        <v>16</v>
      </c>
      <c r="D479" t="s">
        <v>4465</v>
      </c>
      <c r="E479" t="s">
        <v>4428</v>
      </c>
      <c r="F479" t="s">
        <v>2739</v>
      </c>
      <c r="G479" s="2">
        <v>45628</v>
      </c>
      <c r="H479">
        <v>0</v>
      </c>
      <c r="I479">
        <v>0</v>
      </c>
      <c r="J479" s="1">
        <v>500</v>
      </c>
      <c r="K479" s="1">
        <v>500</v>
      </c>
    </row>
    <row r="480" spans="1:11" x14ac:dyDescent="0.25">
      <c r="A480" t="s">
        <v>290</v>
      </c>
      <c r="B480" t="s">
        <v>2706</v>
      </c>
      <c r="C480" t="s">
        <v>27</v>
      </c>
      <c r="D480" t="s">
        <v>4461</v>
      </c>
      <c r="E480" t="s">
        <v>4452</v>
      </c>
      <c r="F480" t="s">
        <v>2739</v>
      </c>
      <c r="G480" s="2">
        <v>45628</v>
      </c>
      <c r="H480">
        <v>0</v>
      </c>
      <c r="I480">
        <v>0</v>
      </c>
      <c r="J480" s="1">
        <v>500</v>
      </c>
      <c r="K480" s="1">
        <v>500</v>
      </c>
    </row>
    <row r="481" spans="1:11" x14ac:dyDescent="0.25">
      <c r="A481" t="s">
        <v>277</v>
      </c>
      <c r="B481" t="s">
        <v>2700</v>
      </c>
      <c r="C481" t="s">
        <v>27</v>
      </c>
      <c r="D481" t="s">
        <v>4466</v>
      </c>
      <c r="E481" t="s">
        <v>4450</v>
      </c>
      <c r="F481" t="s">
        <v>2739</v>
      </c>
      <c r="G481" s="2">
        <v>45629</v>
      </c>
      <c r="H481">
        <v>0</v>
      </c>
      <c r="I481">
        <v>0</v>
      </c>
      <c r="J481" s="1">
        <v>500</v>
      </c>
      <c r="K481" s="1">
        <v>500</v>
      </c>
    </row>
    <row r="482" spans="1:11" x14ac:dyDescent="0.25">
      <c r="A482" t="s">
        <v>279</v>
      </c>
      <c r="B482" t="s">
        <v>66</v>
      </c>
      <c r="C482" t="s">
        <v>35</v>
      </c>
      <c r="D482" t="s">
        <v>4466</v>
      </c>
      <c r="E482" t="s">
        <v>3304</v>
      </c>
      <c r="F482" t="s">
        <v>2739</v>
      </c>
      <c r="G482" s="2">
        <v>45629</v>
      </c>
      <c r="H482">
        <v>0</v>
      </c>
      <c r="I482">
        <v>0</v>
      </c>
      <c r="J482" s="1">
        <v>500</v>
      </c>
      <c r="K482" s="1">
        <v>500</v>
      </c>
    </row>
    <row r="483" spans="1:11" x14ac:dyDescent="0.25">
      <c r="A483" t="s">
        <v>281</v>
      </c>
      <c r="B483" t="s">
        <v>2705</v>
      </c>
      <c r="C483" t="s">
        <v>42</v>
      </c>
      <c r="D483" t="s">
        <v>4467</v>
      </c>
      <c r="E483" t="s">
        <v>4435</v>
      </c>
      <c r="F483" t="s">
        <v>2739</v>
      </c>
      <c r="G483" s="2">
        <v>45629</v>
      </c>
      <c r="H483">
        <v>0</v>
      </c>
      <c r="I483">
        <v>0</v>
      </c>
      <c r="J483" s="1">
        <v>500</v>
      </c>
      <c r="K483" s="1">
        <v>500</v>
      </c>
    </row>
    <row r="484" spans="1:11" x14ac:dyDescent="0.25">
      <c r="A484" t="s">
        <v>283</v>
      </c>
      <c r="B484" t="s">
        <v>2719</v>
      </c>
      <c r="C484" t="s">
        <v>16</v>
      </c>
      <c r="D484" t="s">
        <v>4466</v>
      </c>
      <c r="E484" t="s">
        <v>4430</v>
      </c>
      <c r="F484" t="s">
        <v>2739</v>
      </c>
      <c r="G484" s="2">
        <v>45629</v>
      </c>
      <c r="H484">
        <v>0</v>
      </c>
      <c r="I484">
        <v>0</v>
      </c>
      <c r="J484" s="1">
        <v>500</v>
      </c>
      <c r="K484" s="1">
        <v>500</v>
      </c>
    </row>
    <row r="485" spans="1:11" x14ac:dyDescent="0.25">
      <c r="A485" t="s">
        <v>273</v>
      </c>
      <c r="B485" t="s">
        <v>2734</v>
      </c>
      <c r="C485" t="s">
        <v>16</v>
      </c>
      <c r="D485" t="s">
        <v>4461</v>
      </c>
      <c r="E485" t="s">
        <v>4455</v>
      </c>
      <c r="F485" t="s">
        <v>2739</v>
      </c>
      <c r="G485" s="2">
        <v>45629</v>
      </c>
      <c r="H485">
        <v>0</v>
      </c>
      <c r="I485">
        <v>0</v>
      </c>
      <c r="J485" s="1">
        <v>500</v>
      </c>
      <c r="K485" s="1">
        <v>500</v>
      </c>
    </row>
    <row r="486" spans="1:11" x14ac:dyDescent="0.25">
      <c r="A486" t="s">
        <v>265</v>
      </c>
      <c r="B486" t="s">
        <v>2702</v>
      </c>
      <c r="C486" t="s">
        <v>35</v>
      </c>
      <c r="D486" t="s">
        <v>3305</v>
      </c>
      <c r="E486" t="s">
        <v>3304</v>
      </c>
      <c r="F486" t="s">
        <v>2739</v>
      </c>
      <c r="G486" s="2">
        <v>45630</v>
      </c>
      <c r="H486">
        <v>0</v>
      </c>
      <c r="I486">
        <v>0</v>
      </c>
      <c r="J486" s="1">
        <v>500</v>
      </c>
      <c r="K486" s="1">
        <v>500</v>
      </c>
    </row>
    <row r="487" spans="1:11" x14ac:dyDescent="0.25">
      <c r="A487" t="s">
        <v>267</v>
      </c>
      <c r="B487" t="s">
        <v>4471</v>
      </c>
      <c r="C487" t="s">
        <v>35</v>
      </c>
      <c r="D487" t="s">
        <v>4470</v>
      </c>
      <c r="E487" t="s">
        <v>35</v>
      </c>
      <c r="F487" t="s">
        <v>2739</v>
      </c>
      <c r="G487" s="2">
        <v>45630</v>
      </c>
      <c r="H487">
        <v>0</v>
      </c>
      <c r="I487">
        <v>0</v>
      </c>
      <c r="J487" s="1">
        <v>500</v>
      </c>
      <c r="K487" s="1">
        <v>500</v>
      </c>
    </row>
    <row r="488" spans="1:11" x14ac:dyDescent="0.25">
      <c r="A488" t="s">
        <v>269</v>
      </c>
      <c r="B488" t="s">
        <v>4463</v>
      </c>
      <c r="C488" t="s">
        <v>35</v>
      </c>
      <c r="D488" t="s">
        <v>4464</v>
      </c>
      <c r="E488" t="s">
        <v>3304</v>
      </c>
      <c r="F488" t="s">
        <v>2739</v>
      </c>
      <c r="G488" s="2">
        <v>45630</v>
      </c>
      <c r="H488">
        <v>0</v>
      </c>
      <c r="I488">
        <v>0</v>
      </c>
      <c r="J488" s="1">
        <v>500</v>
      </c>
      <c r="K488" s="1">
        <v>500</v>
      </c>
    </row>
    <row r="489" spans="1:11" x14ac:dyDescent="0.25">
      <c r="A489" t="s">
        <v>248</v>
      </c>
      <c r="B489" t="s">
        <v>2701</v>
      </c>
      <c r="C489" t="s">
        <v>16</v>
      </c>
      <c r="D489" t="s">
        <v>4466</v>
      </c>
      <c r="E489" t="s">
        <v>4453</v>
      </c>
      <c r="F489" t="s">
        <v>2739</v>
      </c>
      <c r="G489" s="2">
        <v>45631</v>
      </c>
      <c r="H489">
        <v>0</v>
      </c>
      <c r="I489">
        <v>0</v>
      </c>
      <c r="J489" s="1">
        <v>500</v>
      </c>
      <c r="K489" s="1">
        <v>500</v>
      </c>
    </row>
    <row r="490" spans="1:11" x14ac:dyDescent="0.25">
      <c r="A490" t="s">
        <v>251</v>
      </c>
      <c r="B490" t="s">
        <v>2714</v>
      </c>
      <c r="C490" t="s">
        <v>16</v>
      </c>
      <c r="D490" t="s">
        <v>4466</v>
      </c>
      <c r="E490" t="s">
        <v>4434</v>
      </c>
      <c r="F490" t="s">
        <v>2739</v>
      </c>
      <c r="G490" s="2">
        <v>45631</v>
      </c>
      <c r="H490">
        <v>0</v>
      </c>
      <c r="I490">
        <v>0</v>
      </c>
      <c r="J490" s="1">
        <v>500</v>
      </c>
      <c r="K490" s="1">
        <v>500</v>
      </c>
    </row>
    <row r="491" spans="1:11" x14ac:dyDescent="0.25">
      <c r="A491" t="s">
        <v>244</v>
      </c>
      <c r="B491" t="s">
        <v>2709</v>
      </c>
      <c r="C491" t="s">
        <v>42</v>
      </c>
      <c r="D491" t="s">
        <v>4467</v>
      </c>
      <c r="E491" t="s">
        <v>4456</v>
      </c>
      <c r="F491" t="s">
        <v>2739</v>
      </c>
      <c r="G491" s="2">
        <v>45632</v>
      </c>
      <c r="H491">
        <v>0</v>
      </c>
      <c r="I491">
        <v>0</v>
      </c>
      <c r="J491" s="1">
        <v>500</v>
      </c>
      <c r="K491" s="1">
        <v>500</v>
      </c>
    </row>
    <row r="492" spans="1:11" x14ac:dyDescent="0.25">
      <c r="A492" t="s">
        <v>245</v>
      </c>
      <c r="B492" t="s">
        <v>2710</v>
      </c>
      <c r="C492" t="s">
        <v>42</v>
      </c>
      <c r="D492" t="s">
        <v>4467</v>
      </c>
      <c r="E492" t="s">
        <v>4436</v>
      </c>
      <c r="F492" t="s">
        <v>2739</v>
      </c>
      <c r="G492" s="2">
        <v>45632</v>
      </c>
      <c r="H492">
        <v>0</v>
      </c>
      <c r="I492">
        <v>0</v>
      </c>
      <c r="J492" s="1">
        <v>500</v>
      </c>
      <c r="K492" s="1">
        <v>500</v>
      </c>
    </row>
    <row r="493" spans="1:11" x14ac:dyDescent="0.25">
      <c r="A493" t="s">
        <v>228</v>
      </c>
      <c r="B493" t="s">
        <v>2717</v>
      </c>
      <c r="C493" t="s">
        <v>16</v>
      </c>
      <c r="D493" t="s">
        <v>4466</v>
      </c>
      <c r="E493" t="s">
        <v>4431</v>
      </c>
      <c r="F493" t="s">
        <v>2739</v>
      </c>
      <c r="G493" s="2">
        <v>45633</v>
      </c>
      <c r="H493">
        <v>0</v>
      </c>
      <c r="I493">
        <v>0</v>
      </c>
      <c r="J493" s="1">
        <v>500</v>
      </c>
      <c r="K493" s="1">
        <v>500</v>
      </c>
    </row>
    <row r="494" spans="1:11" x14ac:dyDescent="0.25">
      <c r="A494" t="s">
        <v>230</v>
      </c>
      <c r="B494" t="s">
        <v>133</v>
      </c>
      <c r="C494" t="s">
        <v>35</v>
      </c>
      <c r="D494" t="s">
        <v>4461</v>
      </c>
      <c r="E494" t="s">
        <v>3304</v>
      </c>
      <c r="F494" t="s">
        <v>2739</v>
      </c>
      <c r="G494" s="2">
        <v>45633</v>
      </c>
      <c r="H494">
        <v>0</v>
      </c>
      <c r="I494">
        <v>0</v>
      </c>
      <c r="J494" s="1">
        <v>500</v>
      </c>
      <c r="K494" s="1">
        <v>500</v>
      </c>
    </row>
    <row r="495" spans="1:11" x14ac:dyDescent="0.25">
      <c r="A495" t="s">
        <v>232</v>
      </c>
      <c r="B495" t="s">
        <v>93</v>
      </c>
      <c r="C495" t="s">
        <v>35</v>
      </c>
      <c r="D495" t="s">
        <v>4465</v>
      </c>
      <c r="E495" t="s">
        <v>3304</v>
      </c>
      <c r="F495" t="s">
        <v>2739</v>
      </c>
      <c r="G495" s="2">
        <v>45633</v>
      </c>
      <c r="H495">
        <v>0</v>
      </c>
      <c r="I495">
        <v>0</v>
      </c>
      <c r="J495" s="1">
        <v>500</v>
      </c>
      <c r="K495" s="1">
        <v>500</v>
      </c>
    </row>
    <row r="496" spans="1:11" x14ac:dyDescent="0.25">
      <c r="A496" t="s">
        <v>234</v>
      </c>
      <c r="B496" t="s">
        <v>136</v>
      </c>
      <c r="C496" t="s">
        <v>35</v>
      </c>
      <c r="D496" t="s">
        <v>4462</v>
      </c>
      <c r="E496" t="s">
        <v>3304</v>
      </c>
      <c r="F496" t="s">
        <v>2739</v>
      </c>
      <c r="G496" s="2">
        <v>45633</v>
      </c>
      <c r="H496">
        <v>0</v>
      </c>
      <c r="I496">
        <v>0</v>
      </c>
      <c r="J496" s="1">
        <v>500</v>
      </c>
      <c r="K496" s="1">
        <v>500</v>
      </c>
    </row>
    <row r="497" spans="1:12" x14ac:dyDescent="0.25">
      <c r="A497" t="s">
        <v>223</v>
      </c>
      <c r="B497" t="s">
        <v>2699</v>
      </c>
      <c r="C497" t="s">
        <v>16</v>
      </c>
      <c r="D497" t="s">
        <v>4462</v>
      </c>
      <c r="E497" t="s">
        <v>4440</v>
      </c>
      <c r="F497" t="s">
        <v>2739</v>
      </c>
      <c r="G497" s="2">
        <v>45634</v>
      </c>
      <c r="H497">
        <v>0</v>
      </c>
      <c r="I497">
        <v>0</v>
      </c>
      <c r="J497" s="1">
        <v>500</v>
      </c>
      <c r="K497" s="1">
        <v>500</v>
      </c>
    </row>
    <row r="498" spans="1:12" x14ac:dyDescent="0.25">
      <c r="A498" t="s">
        <v>220</v>
      </c>
      <c r="B498" t="s">
        <v>2733</v>
      </c>
      <c r="C498" t="s">
        <v>16</v>
      </c>
      <c r="D498" t="s">
        <v>4465</v>
      </c>
      <c r="E498" t="s">
        <v>4448</v>
      </c>
      <c r="F498" t="s">
        <v>2739</v>
      </c>
      <c r="G498" s="2">
        <v>45635</v>
      </c>
      <c r="H498">
        <v>0</v>
      </c>
      <c r="I498">
        <v>0</v>
      </c>
      <c r="J498" s="1">
        <v>500</v>
      </c>
      <c r="K498" s="1">
        <v>500</v>
      </c>
    </row>
    <row r="499" spans="1:12" x14ac:dyDescent="0.25">
      <c r="A499" t="s">
        <v>216</v>
      </c>
      <c r="B499" t="s">
        <v>2732</v>
      </c>
      <c r="C499" t="s">
        <v>16</v>
      </c>
      <c r="D499" t="s">
        <v>4461</v>
      </c>
      <c r="E499" t="s">
        <v>4444</v>
      </c>
      <c r="F499" t="s">
        <v>2739</v>
      </c>
      <c r="G499" s="2">
        <v>45636</v>
      </c>
      <c r="H499">
        <v>0</v>
      </c>
      <c r="I499">
        <v>0</v>
      </c>
      <c r="J499" s="1">
        <v>500</v>
      </c>
      <c r="K499" s="1">
        <v>500</v>
      </c>
    </row>
    <row r="500" spans="1:12" x14ac:dyDescent="0.25">
      <c r="A500" t="s">
        <v>182</v>
      </c>
      <c r="B500" t="s">
        <v>2708</v>
      </c>
      <c r="C500" t="s">
        <v>16</v>
      </c>
      <c r="D500" t="s">
        <v>4466</v>
      </c>
      <c r="E500" t="s">
        <v>4457</v>
      </c>
      <c r="F500" t="s">
        <v>2739</v>
      </c>
      <c r="G500" s="2">
        <v>45640</v>
      </c>
      <c r="H500">
        <v>0</v>
      </c>
      <c r="I500">
        <v>0</v>
      </c>
      <c r="J500" s="1">
        <v>500</v>
      </c>
      <c r="K500" s="1">
        <v>500</v>
      </c>
    </row>
    <row r="501" spans="1:12" x14ac:dyDescent="0.25">
      <c r="A501" t="s">
        <v>183</v>
      </c>
      <c r="B501" t="s">
        <v>2728</v>
      </c>
      <c r="C501" t="s">
        <v>16</v>
      </c>
      <c r="D501" t="s">
        <v>4465</v>
      </c>
      <c r="E501" t="s">
        <v>4439</v>
      </c>
      <c r="F501" t="s">
        <v>2739</v>
      </c>
      <c r="G501" s="2">
        <v>45640</v>
      </c>
      <c r="H501">
        <v>0</v>
      </c>
      <c r="I501">
        <v>0</v>
      </c>
      <c r="J501" s="1">
        <v>500</v>
      </c>
      <c r="K501" s="1">
        <v>500</v>
      </c>
    </row>
    <row r="502" spans="1:12" x14ac:dyDescent="0.25">
      <c r="A502" t="s">
        <v>186</v>
      </c>
      <c r="B502" t="s">
        <v>2729</v>
      </c>
      <c r="C502" t="s">
        <v>16</v>
      </c>
      <c r="D502" t="s">
        <v>4465</v>
      </c>
      <c r="E502" t="s">
        <v>4427</v>
      </c>
      <c r="F502" t="s">
        <v>2739</v>
      </c>
      <c r="G502" s="2">
        <v>45640</v>
      </c>
      <c r="H502">
        <v>0</v>
      </c>
      <c r="I502">
        <v>0</v>
      </c>
      <c r="J502" s="1">
        <v>500</v>
      </c>
      <c r="K502" s="1">
        <v>500</v>
      </c>
    </row>
    <row r="503" spans="1:12" x14ac:dyDescent="0.25">
      <c r="A503" t="s">
        <v>174</v>
      </c>
      <c r="B503" t="s">
        <v>2726</v>
      </c>
      <c r="C503" t="s">
        <v>16</v>
      </c>
      <c r="D503" t="s">
        <v>4466</v>
      </c>
      <c r="E503" t="s">
        <v>4437</v>
      </c>
      <c r="F503" t="s">
        <v>2739</v>
      </c>
      <c r="G503" s="2">
        <v>45642</v>
      </c>
      <c r="H503">
        <v>0</v>
      </c>
      <c r="I503">
        <v>0</v>
      </c>
      <c r="J503" s="1">
        <v>500</v>
      </c>
      <c r="K503" s="1">
        <v>500</v>
      </c>
    </row>
    <row r="504" spans="1:12" x14ac:dyDescent="0.25">
      <c r="A504" t="s">
        <v>177</v>
      </c>
      <c r="B504" t="s">
        <v>2727</v>
      </c>
      <c r="C504" t="s">
        <v>16</v>
      </c>
      <c r="D504" t="s">
        <v>4465</v>
      </c>
      <c r="E504" t="s">
        <v>4445</v>
      </c>
      <c r="F504" t="s">
        <v>2739</v>
      </c>
      <c r="G504" s="2">
        <v>45642</v>
      </c>
      <c r="H504">
        <v>0</v>
      </c>
      <c r="I504">
        <v>0</v>
      </c>
      <c r="J504" s="1">
        <v>500</v>
      </c>
      <c r="K504" s="1">
        <v>500</v>
      </c>
    </row>
    <row r="505" spans="1:12" x14ac:dyDescent="0.25">
      <c r="A505" t="s">
        <v>173</v>
      </c>
      <c r="B505" t="s">
        <v>2718</v>
      </c>
      <c r="C505" t="s">
        <v>16</v>
      </c>
      <c r="D505" t="s">
        <v>4466</v>
      </c>
      <c r="E505" t="s">
        <v>4438</v>
      </c>
      <c r="F505" t="s">
        <v>2739</v>
      </c>
      <c r="G505" s="2">
        <v>45643</v>
      </c>
      <c r="H505">
        <v>0</v>
      </c>
      <c r="I505">
        <v>0</v>
      </c>
      <c r="J505" s="1">
        <v>500</v>
      </c>
      <c r="K505" s="1">
        <v>500</v>
      </c>
    </row>
    <row r="506" spans="1:12" x14ac:dyDescent="0.25">
      <c r="A506" t="s">
        <v>148</v>
      </c>
      <c r="B506" t="s">
        <v>2721</v>
      </c>
      <c r="C506" t="s">
        <v>16</v>
      </c>
      <c r="D506" t="s">
        <v>4466</v>
      </c>
      <c r="E506" t="s">
        <v>4438</v>
      </c>
      <c r="F506" t="s">
        <v>2739</v>
      </c>
      <c r="G506" s="2">
        <v>45646</v>
      </c>
      <c r="H506">
        <v>0</v>
      </c>
      <c r="I506">
        <v>0</v>
      </c>
      <c r="J506" s="1">
        <v>500</v>
      </c>
      <c r="K506" s="1">
        <v>500</v>
      </c>
    </row>
    <row r="507" spans="1:12" x14ac:dyDescent="0.25">
      <c r="A507" t="s">
        <v>131</v>
      </c>
      <c r="B507" t="s">
        <v>2707</v>
      </c>
      <c r="C507" t="s">
        <v>16</v>
      </c>
      <c r="D507" t="s">
        <v>4462</v>
      </c>
      <c r="E507" t="s">
        <v>4433</v>
      </c>
      <c r="F507" t="s">
        <v>2739</v>
      </c>
      <c r="G507" s="2">
        <v>45647</v>
      </c>
      <c r="H507">
        <v>0</v>
      </c>
      <c r="I507">
        <v>0</v>
      </c>
      <c r="J507" s="1">
        <v>500</v>
      </c>
      <c r="K507" s="1">
        <v>500</v>
      </c>
      <c r="L507">
        <f>COUNTBLANK(A504:I3015)</f>
        <v>4517</v>
      </c>
    </row>
    <row r="508" spans="1:12" x14ac:dyDescent="0.25">
      <c r="A508" t="s">
        <v>111</v>
      </c>
      <c r="B508" t="s">
        <v>2715</v>
      </c>
      <c r="C508" t="s">
        <v>16</v>
      </c>
      <c r="D508" t="s">
        <v>4462</v>
      </c>
      <c r="E508" t="s">
        <v>4454</v>
      </c>
      <c r="F508" t="s">
        <v>2739</v>
      </c>
      <c r="G508" s="2">
        <v>45649</v>
      </c>
      <c r="H508">
        <v>0</v>
      </c>
      <c r="I508">
        <v>0</v>
      </c>
      <c r="J508" s="1">
        <v>500</v>
      </c>
      <c r="K508" s="1">
        <v>500</v>
      </c>
    </row>
    <row r="509" spans="1:12" x14ac:dyDescent="0.25">
      <c r="A509" t="s">
        <v>114</v>
      </c>
      <c r="B509" t="s">
        <v>2715</v>
      </c>
      <c r="C509" t="s">
        <v>16</v>
      </c>
      <c r="D509" t="s">
        <v>4462</v>
      </c>
      <c r="E509" t="s">
        <v>4454</v>
      </c>
      <c r="F509" t="s">
        <v>2739</v>
      </c>
      <c r="G509" s="2">
        <v>45649</v>
      </c>
      <c r="H509">
        <v>0</v>
      </c>
      <c r="I509">
        <v>0</v>
      </c>
      <c r="J509" s="1">
        <v>500</v>
      </c>
      <c r="K509" s="1">
        <v>500</v>
      </c>
    </row>
    <row r="510" spans="1:12" x14ac:dyDescent="0.25">
      <c r="A510" t="s">
        <v>114</v>
      </c>
      <c r="B510" t="s">
        <v>2715</v>
      </c>
      <c r="C510" t="s">
        <v>16</v>
      </c>
      <c r="D510" t="s">
        <v>4462</v>
      </c>
      <c r="E510" t="s">
        <v>4454</v>
      </c>
      <c r="F510" t="s">
        <v>2739</v>
      </c>
      <c r="G510" s="2">
        <v>45649</v>
      </c>
      <c r="H510">
        <v>0</v>
      </c>
      <c r="I510">
        <v>0</v>
      </c>
      <c r="J510" s="1">
        <v>500</v>
      </c>
      <c r="K510" s="1">
        <v>500</v>
      </c>
    </row>
    <row r="511" spans="1:12" x14ac:dyDescent="0.25">
      <c r="A511" t="s">
        <v>76</v>
      </c>
      <c r="B511" t="s">
        <v>2711</v>
      </c>
      <c r="C511" t="s">
        <v>16</v>
      </c>
      <c r="D511" t="s">
        <v>4461</v>
      </c>
      <c r="E511" t="s">
        <v>4447</v>
      </c>
      <c r="F511" t="s">
        <v>2739</v>
      </c>
      <c r="G511" s="2">
        <v>45652</v>
      </c>
      <c r="H511">
        <v>0</v>
      </c>
      <c r="I511">
        <v>0</v>
      </c>
      <c r="J511" s="1">
        <v>500</v>
      </c>
      <c r="K511" s="1">
        <v>500</v>
      </c>
    </row>
    <row r="512" spans="1:12" x14ac:dyDescent="0.25">
      <c r="A512" t="s">
        <v>1564</v>
      </c>
      <c r="B512" t="s">
        <v>2735</v>
      </c>
      <c r="C512" t="s">
        <v>16</v>
      </c>
      <c r="D512" t="s">
        <v>4462</v>
      </c>
      <c r="E512" t="s">
        <v>4426</v>
      </c>
      <c r="F512" t="s">
        <v>1565</v>
      </c>
      <c r="G512" s="2">
        <v>45455</v>
      </c>
      <c r="H512">
        <v>0</v>
      </c>
      <c r="I512">
        <v>0</v>
      </c>
      <c r="J512" s="1">
        <v>100000</v>
      </c>
      <c r="K512" s="1">
        <v>100000</v>
      </c>
    </row>
    <row r="513" spans="1:11" x14ac:dyDescent="0.25">
      <c r="A513" t="s">
        <v>2696</v>
      </c>
      <c r="B513" t="s">
        <v>4471</v>
      </c>
      <c r="C513" t="s">
        <v>35</v>
      </c>
      <c r="D513" t="s">
        <v>4470</v>
      </c>
      <c r="E513" t="s">
        <v>35</v>
      </c>
      <c r="F513" t="s">
        <v>2740</v>
      </c>
      <c r="G513" s="2">
        <v>45300</v>
      </c>
      <c r="H513" t="s">
        <v>2697</v>
      </c>
      <c r="I513">
        <v>1</v>
      </c>
      <c r="J513" s="1">
        <v>200</v>
      </c>
      <c r="K513" s="1">
        <v>200</v>
      </c>
    </row>
    <row r="514" spans="1:11" x14ac:dyDescent="0.25">
      <c r="A514" t="s">
        <v>2687</v>
      </c>
      <c r="B514" t="s">
        <v>2735</v>
      </c>
      <c r="C514" t="s">
        <v>16</v>
      </c>
      <c r="D514" t="s">
        <v>4462</v>
      </c>
      <c r="E514" t="s">
        <v>4426</v>
      </c>
      <c r="F514" t="s">
        <v>2740</v>
      </c>
      <c r="G514" s="2">
        <v>45307</v>
      </c>
      <c r="H514" t="s">
        <v>2688</v>
      </c>
      <c r="I514">
        <v>210.5</v>
      </c>
      <c r="J514" s="1">
        <v>40000</v>
      </c>
      <c r="K514" s="1">
        <v>40000</v>
      </c>
    </row>
    <row r="515" spans="1:11" x14ac:dyDescent="0.25">
      <c r="A515" t="s">
        <v>2689</v>
      </c>
      <c r="B515" t="s">
        <v>4463</v>
      </c>
      <c r="C515" t="s">
        <v>35</v>
      </c>
      <c r="D515" t="s">
        <v>4464</v>
      </c>
      <c r="E515" t="s">
        <v>3304</v>
      </c>
      <c r="F515" t="s">
        <v>2740</v>
      </c>
      <c r="G515" s="2">
        <v>45307</v>
      </c>
      <c r="H515" t="s">
        <v>2690</v>
      </c>
      <c r="I515">
        <v>526.29999999999995</v>
      </c>
      <c r="J515" s="1">
        <v>100000</v>
      </c>
      <c r="K515" s="1">
        <v>100000</v>
      </c>
    </row>
    <row r="516" spans="1:11" x14ac:dyDescent="0.25">
      <c r="A516" t="s">
        <v>2691</v>
      </c>
      <c r="B516" t="s">
        <v>2729</v>
      </c>
      <c r="C516" t="s">
        <v>16</v>
      </c>
      <c r="D516" t="s">
        <v>4465</v>
      </c>
      <c r="E516" t="s">
        <v>4427</v>
      </c>
      <c r="F516" t="s">
        <v>2740</v>
      </c>
      <c r="G516" s="2">
        <v>45307</v>
      </c>
      <c r="H516" t="s">
        <v>2692</v>
      </c>
      <c r="I516">
        <v>131.5</v>
      </c>
      <c r="J516" s="1">
        <v>25000</v>
      </c>
      <c r="K516" s="1">
        <v>25000</v>
      </c>
    </row>
    <row r="517" spans="1:11" x14ac:dyDescent="0.25">
      <c r="A517" t="s">
        <v>2693</v>
      </c>
      <c r="B517" t="s">
        <v>66</v>
      </c>
      <c r="C517" t="s">
        <v>35</v>
      </c>
      <c r="D517" t="s">
        <v>4466</v>
      </c>
      <c r="E517" t="s">
        <v>3304</v>
      </c>
      <c r="F517" t="s">
        <v>2740</v>
      </c>
      <c r="G517" s="2">
        <v>45307</v>
      </c>
      <c r="H517" t="s">
        <v>2694</v>
      </c>
      <c r="I517">
        <v>263</v>
      </c>
      <c r="J517" s="1">
        <v>50000</v>
      </c>
      <c r="K517" s="1">
        <v>50000</v>
      </c>
    </row>
    <row r="518" spans="1:11" x14ac:dyDescent="0.25">
      <c r="A518" t="s">
        <v>2685</v>
      </c>
      <c r="B518" t="s">
        <v>2713</v>
      </c>
      <c r="C518" t="s">
        <v>16</v>
      </c>
      <c r="D518" t="s">
        <v>4465</v>
      </c>
      <c r="E518" t="s">
        <v>4428</v>
      </c>
      <c r="F518" t="s">
        <v>2740</v>
      </c>
      <c r="G518" s="2">
        <v>45308</v>
      </c>
      <c r="H518" t="s">
        <v>2686</v>
      </c>
      <c r="I518">
        <v>394.7</v>
      </c>
      <c r="J518" s="1">
        <v>75000</v>
      </c>
      <c r="K518" s="1">
        <v>75000</v>
      </c>
    </row>
    <row r="519" spans="1:11" x14ac:dyDescent="0.25">
      <c r="A519" t="s">
        <v>2682</v>
      </c>
      <c r="B519" t="s">
        <v>2725</v>
      </c>
      <c r="C519" t="s">
        <v>16</v>
      </c>
      <c r="D519" t="s">
        <v>4465</v>
      </c>
      <c r="E519" t="s">
        <v>4429</v>
      </c>
      <c r="F519" t="s">
        <v>2740</v>
      </c>
      <c r="G519" s="2">
        <v>45309</v>
      </c>
      <c r="H519" t="s">
        <v>2683</v>
      </c>
      <c r="I519">
        <v>421</v>
      </c>
      <c r="J519" s="1">
        <v>80000</v>
      </c>
      <c r="K519" s="1">
        <v>80000</v>
      </c>
    </row>
    <row r="520" spans="1:11" x14ac:dyDescent="0.25">
      <c r="A520" t="s">
        <v>2679</v>
      </c>
      <c r="B520" t="s">
        <v>4471</v>
      </c>
      <c r="C520" t="s">
        <v>35</v>
      </c>
      <c r="D520" t="s">
        <v>4470</v>
      </c>
      <c r="E520" t="s">
        <v>35</v>
      </c>
      <c r="F520" t="s">
        <v>2740</v>
      </c>
      <c r="G520" s="2">
        <v>45309</v>
      </c>
      <c r="H520" t="s">
        <v>2680</v>
      </c>
      <c r="I520">
        <v>105.3</v>
      </c>
      <c r="J520" s="1">
        <v>20000</v>
      </c>
      <c r="K520" s="1">
        <v>20000</v>
      </c>
    </row>
    <row r="521" spans="1:11" x14ac:dyDescent="0.25">
      <c r="A521" t="s">
        <v>2660</v>
      </c>
      <c r="B521" t="s">
        <v>2719</v>
      </c>
      <c r="C521" t="s">
        <v>16</v>
      </c>
      <c r="D521" t="s">
        <v>4466</v>
      </c>
      <c r="E521" t="s">
        <v>4430</v>
      </c>
      <c r="F521" t="s">
        <v>2740</v>
      </c>
      <c r="G521" s="2">
        <v>45310</v>
      </c>
      <c r="H521" t="s">
        <v>2661</v>
      </c>
      <c r="I521">
        <v>131.5</v>
      </c>
      <c r="J521" s="1">
        <v>25000</v>
      </c>
      <c r="K521" s="1">
        <v>25000</v>
      </c>
    </row>
    <row r="522" spans="1:11" x14ac:dyDescent="0.25">
      <c r="A522" t="s">
        <v>2662</v>
      </c>
      <c r="B522" t="s">
        <v>2717</v>
      </c>
      <c r="C522" t="s">
        <v>16</v>
      </c>
      <c r="D522" t="s">
        <v>4466</v>
      </c>
      <c r="E522" t="s">
        <v>4431</v>
      </c>
      <c r="F522" t="s">
        <v>2740</v>
      </c>
      <c r="G522" s="2">
        <v>45310</v>
      </c>
      <c r="H522" t="s">
        <v>2663</v>
      </c>
      <c r="I522">
        <v>105.2</v>
      </c>
      <c r="J522" s="1">
        <v>20000</v>
      </c>
      <c r="K522" s="1">
        <v>20000</v>
      </c>
    </row>
    <row r="523" spans="1:11" x14ac:dyDescent="0.25">
      <c r="A523" t="s">
        <v>2665</v>
      </c>
      <c r="B523" t="s">
        <v>2707</v>
      </c>
      <c r="C523" t="s">
        <v>16</v>
      </c>
      <c r="D523" t="s">
        <v>4462</v>
      </c>
      <c r="E523" t="s">
        <v>4433</v>
      </c>
      <c r="F523" t="s">
        <v>2740</v>
      </c>
      <c r="G523" s="2">
        <v>45310</v>
      </c>
      <c r="H523" t="s">
        <v>2666</v>
      </c>
      <c r="I523">
        <v>263.10000000000002</v>
      </c>
      <c r="J523" s="1">
        <v>50000</v>
      </c>
      <c r="K523" s="1">
        <v>50000</v>
      </c>
    </row>
    <row r="524" spans="1:11" x14ac:dyDescent="0.25">
      <c r="A524" t="s">
        <v>2667</v>
      </c>
      <c r="B524" t="s">
        <v>2714</v>
      </c>
      <c r="C524" t="s">
        <v>16</v>
      </c>
      <c r="D524" t="s">
        <v>4466</v>
      </c>
      <c r="E524" t="s">
        <v>4434</v>
      </c>
      <c r="F524" t="s">
        <v>2740</v>
      </c>
      <c r="G524" s="2">
        <v>45310</v>
      </c>
      <c r="H524" t="s">
        <v>2668</v>
      </c>
      <c r="I524">
        <v>473.6</v>
      </c>
      <c r="J524" s="1">
        <v>90000</v>
      </c>
      <c r="K524" s="1">
        <v>90000</v>
      </c>
    </row>
    <row r="525" spans="1:11" x14ac:dyDescent="0.25">
      <c r="A525" t="s">
        <v>2672</v>
      </c>
      <c r="B525" t="s">
        <v>2702</v>
      </c>
      <c r="C525" t="s">
        <v>35</v>
      </c>
      <c r="D525" t="s">
        <v>3305</v>
      </c>
      <c r="E525" t="s">
        <v>3304</v>
      </c>
      <c r="F525" t="s">
        <v>2740</v>
      </c>
      <c r="G525" s="2">
        <v>45310</v>
      </c>
      <c r="H525" t="s">
        <v>2673</v>
      </c>
      <c r="I525">
        <v>263.2</v>
      </c>
      <c r="J525" s="1">
        <v>50000</v>
      </c>
      <c r="K525" s="1">
        <v>50000</v>
      </c>
    </row>
    <row r="526" spans="1:11" x14ac:dyDescent="0.25">
      <c r="A526" t="s">
        <v>2674</v>
      </c>
      <c r="B526" t="s">
        <v>2705</v>
      </c>
      <c r="C526" t="s">
        <v>42</v>
      </c>
      <c r="D526" t="s">
        <v>4467</v>
      </c>
      <c r="E526" t="s">
        <v>4435</v>
      </c>
      <c r="F526" t="s">
        <v>2740</v>
      </c>
      <c r="G526" s="2">
        <v>45310</v>
      </c>
      <c r="H526" t="s">
        <v>2675</v>
      </c>
      <c r="I526">
        <v>263.10000000000002</v>
      </c>
      <c r="J526" s="1">
        <v>50000</v>
      </c>
      <c r="K526" s="1">
        <v>50000</v>
      </c>
    </row>
    <row r="527" spans="1:11" x14ac:dyDescent="0.25">
      <c r="A527" t="s">
        <v>2676</v>
      </c>
      <c r="B527" t="s">
        <v>2710</v>
      </c>
      <c r="C527" t="s">
        <v>42</v>
      </c>
      <c r="D527" t="s">
        <v>4467</v>
      </c>
      <c r="E527" t="s">
        <v>4436</v>
      </c>
      <c r="F527" t="s">
        <v>2740</v>
      </c>
      <c r="G527" s="2">
        <v>45310</v>
      </c>
      <c r="H527" t="s">
        <v>2677</v>
      </c>
      <c r="I527">
        <v>263.10000000000002</v>
      </c>
      <c r="J527" s="1">
        <v>50000</v>
      </c>
      <c r="K527" s="1">
        <v>50000</v>
      </c>
    </row>
    <row r="528" spans="1:11" x14ac:dyDescent="0.25">
      <c r="A528" t="s">
        <v>2670</v>
      </c>
      <c r="B528" t="s">
        <v>66</v>
      </c>
      <c r="C528" t="s">
        <v>35</v>
      </c>
      <c r="D528" t="s">
        <v>4466</v>
      </c>
      <c r="E528" t="s">
        <v>3304</v>
      </c>
      <c r="F528" t="s">
        <v>2740</v>
      </c>
      <c r="G528" s="2">
        <v>45310</v>
      </c>
      <c r="H528" t="s">
        <v>2671</v>
      </c>
      <c r="I528">
        <v>2.6</v>
      </c>
      <c r="J528" s="1">
        <v>500</v>
      </c>
      <c r="K528" s="1">
        <v>500</v>
      </c>
    </row>
    <row r="529" spans="1:11" x14ac:dyDescent="0.25">
      <c r="A529" t="s">
        <v>2653</v>
      </c>
      <c r="B529" t="s">
        <v>2721</v>
      </c>
      <c r="C529" t="s">
        <v>16</v>
      </c>
      <c r="D529" t="s">
        <v>4466</v>
      </c>
      <c r="E529" t="s">
        <v>4438</v>
      </c>
      <c r="F529" t="s">
        <v>2740</v>
      </c>
      <c r="G529" s="2">
        <v>45311</v>
      </c>
      <c r="H529" t="s">
        <v>2654</v>
      </c>
      <c r="I529">
        <v>263.10000000000002</v>
      </c>
      <c r="J529" s="1">
        <v>50000</v>
      </c>
      <c r="K529" s="1">
        <v>50000</v>
      </c>
    </row>
    <row r="530" spans="1:11" x14ac:dyDescent="0.25">
      <c r="A530" t="s">
        <v>2655</v>
      </c>
      <c r="B530" t="s">
        <v>2728</v>
      </c>
      <c r="C530" t="s">
        <v>16</v>
      </c>
      <c r="D530" t="s">
        <v>4465</v>
      </c>
      <c r="E530" t="s">
        <v>4439</v>
      </c>
      <c r="F530" t="s">
        <v>2740</v>
      </c>
      <c r="G530" s="2">
        <v>45311</v>
      </c>
      <c r="H530" t="s">
        <v>2656</v>
      </c>
      <c r="I530">
        <v>157.80000000000001</v>
      </c>
      <c r="J530" s="1">
        <v>30000</v>
      </c>
      <c r="K530" s="1">
        <v>30000</v>
      </c>
    </row>
    <row r="531" spans="1:11" x14ac:dyDescent="0.25">
      <c r="A531" t="s">
        <v>2651</v>
      </c>
      <c r="B531" t="s">
        <v>2718</v>
      </c>
      <c r="C531" t="s">
        <v>16</v>
      </c>
      <c r="D531" t="s">
        <v>4466</v>
      </c>
      <c r="E531" t="s">
        <v>4438</v>
      </c>
      <c r="F531" t="s">
        <v>2740</v>
      </c>
      <c r="G531" s="2">
        <v>45312</v>
      </c>
      <c r="H531" t="s">
        <v>2652</v>
      </c>
      <c r="I531">
        <v>131.5</v>
      </c>
      <c r="J531" s="1">
        <v>25000</v>
      </c>
      <c r="K531" s="1">
        <v>25000</v>
      </c>
    </row>
    <row r="532" spans="1:11" x14ac:dyDescent="0.25">
      <c r="A532" t="s">
        <v>2636</v>
      </c>
      <c r="B532" t="s">
        <v>2730</v>
      </c>
      <c r="C532" t="s">
        <v>42</v>
      </c>
      <c r="D532" t="s">
        <v>4467</v>
      </c>
      <c r="E532" t="s">
        <v>4441</v>
      </c>
      <c r="F532" t="s">
        <v>2740</v>
      </c>
      <c r="G532" s="2">
        <v>45313</v>
      </c>
      <c r="H532" t="s">
        <v>2637</v>
      </c>
      <c r="I532">
        <v>526.29999999999995</v>
      </c>
      <c r="J532" s="1">
        <v>100000</v>
      </c>
      <c r="K532" s="1">
        <v>100000</v>
      </c>
    </row>
    <row r="533" spans="1:11" x14ac:dyDescent="0.25">
      <c r="A533" t="s">
        <v>2638</v>
      </c>
      <c r="B533" t="s">
        <v>2698</v>
      </c>
      <c r="C533" t="s">
        <v>16</v>
      </c>
      <c r="D533" t="s">
        <v>4465</v>
      </c>
      <c r="E533" t="s">
        <v>4442</v>
      </c>
      <c r="F533" t="s">
        <v>2740</v>
      </c>
      <c r="G533" s="2">
        <v>45313</v>
      </c>
      <c r="H533" t="s">
        <v>2639</v>
      </c>
      <c r="I533">
        <v>263.10000000000002</v>
      </c>
      <c r="J533" s="1">
        <v>50000</v>
      </c>
      <c r="K533" s="1">
        <v>50000</v>
      </c>
    </row>
    <row r="534" spans="1:11" x14ac:dyDescent="0.25">
      <c r="A534" t="s">
        <v>2640</v>
      </c>
      <c r="B534" t="s">
        <v>66</v>
      </c>
      <c r="C534" t="s">
        <v>35</v>
      </c>
      <c r="D534" t="s">
        <v>4466</v>
      </c>
      <c r="E534" t="s">
        <v>3304</v>
      </c>
      <c r="F534" t="s">
        <v>2740</v>
      </c>
      <c r="G534" s="2">
        <v>45313</v>
      </c>
      <c r="H534" t="s">
        <v>2641</v>
      </c>
      <c r="I534">
        <v>263.10000000000002</v>
      </c>
      <c r="J534" s="1">
        <v>50000</v>
      </c>
      <c r="K534" s="1">
        <v>50000</v>
      </c>
    </row>
    <row r="535" spans="1:11" x14ac:dyDescent="0.25">
      <c r="A535" t="s">
        <v>2642</v>
      </c>
      <c r="B535" t="s">
        <v>2729</v>
      </c>
      <c r="C535" t="s">
        <v>16</v>
      </c>
      <c r="D535" t="s">
        <v>4465</v>
      </c>
      <c r="E535" t="s">
        <v>4427</v>
      </c>
      <c r="F535" t="s">
        <v>2740</v>
      </c>
      <c r="G535" s="2">
        <v>45313</v>
      </c>
      <c r="H535" t="s">
        <v>2643</v>
      </c>
      <c r="I535">
        <v>142.1</v>
      </c>
      <c r="J535" s="1">
        <v>27000</v>
      </c>
      <c r="K535" s="1">
        <v>27000</v>
      </c>
    </row>
    <row r="536" spans="1:11" x14ac:dyDescent="0.25">
      <c r="A536" t="s">
        <v>2645</v>
      </c>
      <c r="B536" t="s">
        <v>2721</v>
      </c>
      <c r="C536" t="s">
        <v>16</v>
      </c>
      <c r="D536" t="s">
        <v>4466</v>
      </c>
      <c r="E536" t="s">
        <v>4438</v>
      </c>
      <c r="F536" t="s">
        <v>2740</v>
      </c>
      <c r="G536" s="2">
        <v>45313</v>
      </c>
      <c r="H536" t="s">
        <v>2646</v>
      </c>
      <c r="I536">
        <v>421.1</v>
      </c>
      <c r="J536" s="1">
        <v>80000</v>
      </c>
      <c r="K536" s="1">
        <v>80000</v>
      </c>
    </row>
    <row r="537" spans="1:11" x14ac:dyDescent="0.25">
      <c r="A537" t="s">
        <v>2630</v>
      </c>
      <c r="B537" t="s">
        <v>2703</v>
      </c>
      <c r="C537" t="s">
        <v>35</v>
      </c>
      <c r="D537" t="s">
        <v>4404</v>
      </c>
      <c r="E537" t="s">
        <v>3275</v>
      </c>
      <c r="F537" t="s">
        <v>2740</v>
      </c>
      <c r="G537" s="2">
        <v>45314</v>
      </c>
      <c r="H537" t="s">
        <v>2631</v>
      </c>
      <c r="I537">
        <v>68.5</v>
      </c>
      <c r="J537" s="1">
        <v>13000</v>
      </c>
      <c r="K537" s="1">
        <v>13000</v>
      </c>
    </row>
    <row r="538" spans="1:11" x14ac:dyDescent="0.25">
      <c r="A538" t="s">
        <v>2632</v>
      </c>
      <c r="B538" t="s">
        <v>2732</v>
      </c>
      <c r="C538" t="s">
        <v>16</v>
      </c>
      <c r="D538" t="s">
        <v>4461</v>
      </c>
      <c r="E538" t="s">
        <v>4444</v>
      </c>
      <c r="F538" t="s">
        <v>2740</v>
      </c>
      <c r="G538" s="2">
        <v>45314</v>
      </c>
      <c r="H538" t="s">
        <v>2633</v>
      </c>
      <c r="I538">
        <v>105.2</v>
      </c>
      <c r="J538" s="1">
        <v>20000</v>
      </c>
      <c r="K538" s="1">
        <v>20000</v>
      </c>
    </row>
    <row r="539" spans="1:11" x14ac:dyDescent="0.25">
      <c r="A539" t="s">
        <v>2634</v>
      </c>
      <c r="B539" t="s">
        <v>2727</v>
      </c>
      <c r="C539" t="s">
        <v>16</v>
      </c>
      <c r="D539" t="s">
        <v>4465</v>
      </c>
      <c r="E539" t="s">
        <v>4445</v>
      </c>
      <c r="F539" t="s">
        <v>2740</v>
      </c>
      <c r="G539" s="2">
        <v>45314</v>
      </c>
      <c r="H539" t="s">
        <v>2635</v>
      </c>
      <c r="I539">
        <v>105.2</v>
      </c>
      <c r="J539" s="1">
        <v>20000</v>
      </c>
      <c r="K539" s="1">
        <v>20000</v>
      </c>
    </row>
    <row r="540" spans="1:11" x14ac:dyDescent="0.25">
      <c r="A540" t="s">
        <v>2628</v>
      </c>
      <c r="B540" t="s">
        <v>4471</v>
      </c>
      <c r="C540" t="s">
        <v>35</v>
      </c>
      <c r="D540" t="s">
        <v>4470</v>
      </c>
      <c r="E540" t="s">
        <v>35</v>
      </c>
      <c r="F540" t="s">
        <v>2740</v>
      </c>
      <c r="G540" s="2">
        <v>45314</v>
      </c>
      <c r="H540" t="s">
        <v>2629</v>
      </c>
      <c r="I540">
        <v>105.3</v>
      </c>
      <c r="J540" s="1">
        <v>20000</v>
      </c>
      <c r="K540" s="1">
        <v>20000</v>
      </c>
    </row>
    <row r="541" spans="1:11" x14ac:dyDescent="0.25">
      <c r="A541" t="s">
        <v>2626</v>
      </c>
      <c r="B541" t="s">
        <v>2722</v>
      </c>
      <c r="C541" t="s">
        <v>16</v>
      </c>
      <c r="D541" t="s">
        <v>4462</v>
      </c>
      <c r="E541" t="s">
        <v>4446</v>
      </c>
      <c r="F541" t="s">
        <v>2740</v>
      </c>
      <c r="G541" s="2">
        <v>45315</v>
      </c>
      <c r="H541" t="s">
        <v>2627</v>
      </c>
      <c r="I541">
        <v>105.2</v>
      </c>
      <c r="J541" s="1">
        <v>20000</v>
      </c>
      <c r="K541" s="1">
        <v>20000</v>
      </c>
    </row>
    <row r="542" spans="1:11" x14ac:dyDescent="0.25">
      <c r="A542" t="s">
        <v>2623</v>
      </c>
      <c r="B542" t="s">
        <v>2711</v>
      </c>
      <c r="C542" t="s">
        <v>16</v>
      </c>
      <c r="D542" t="s">
        <v>4461</v>
      </c>
      <c r="E542" t="s">
        <v>4447</v>
      </c>
      <c r="F542" t="s">
        <v>2740</v>
      </c>
      <c r="G542" s="2">
        <v>45316</v>
      </c>
      <c r="H542" t="s">
        <v>2624</v>
      </c>
      <c r="I542">
        <v>210.5</v>
      </c>
      <c r="J542" s="1">
        <v>40000</v>
      </c>
      <c r="K542" s="1">
        <v>40000</v>
      </c>
    </row>
    <row r="543" spans="1:11" x14ac:dyDescent="0.25">
      <c r="A543" t="s">
        <v>2621</v>
      </c>
      <c r="B543" t="s">
        <v>2733</v>
      </c>
      <c r="C543" t="s">
        <v>16</v>
      </c>
      <c r="D543" t="s">
        <v>4465</v>
      </c>
      <c r="E543" t="s">
        <v>4448</v>
      </c>
      <c r="F543" t="s">
        <v>2740</v>
      </c>
      <c r="G543" s="2">
        <v>45317</v>
      </c>
      <c r="H543" t="s">
        <v>2622</v>
      </c>
      <c r="I543">
        <v>315.7</v>
      </c>
      <c r="J543" s="1">
        <v>60000</v>
      </c>
      <c r="K543" s="1">
        <v>60000</v>
      </c>
    </row>
    <row r="544" spans="1:11" x14ac:dyDescent="0.25">
      <c r="A544" t="s">
        <v>2617</v>
      </c>
      <c r="B544" t="s">
        <v>2726</v>
      </c>
      <c r="C544" t="s">
        <v>16</v>
      </c>
      <c r="D544" t="s">
        <v>4466</v>
      </c>
      <c r="E544" t="s">
        <v>4437</v>
      </c>
      <c r="F544" t="s">
        <v>2740</v>
      </c>
      <c r="G544" s="2">
        <v>45318</v>
      </c>
      <c r="H544" t="s">
        <v>2618</v>
      </c>
      <c r="I544">
        <v>421</v>
      </c>
      <c r="J544" s="1">
        <v>80000</v>
      </c>
      <c r="K544" s="1">
        <v>80000</v>
      </c>
    </row>
    <row r="545" spans="1:11" x14ac:dyDescent="0.25">
      <c r="A545" t="s">
        <v>2619</v>
      </c>
      <c r="B545" t="s">
        <v>2699</v>
      </c>
      <c r="C545" t="s">
        <v>16</v>
      </c>
      <c r="D545" t="s">
        <v>4462</v>
      </c>
      <c r="E545" t="s">
        <v>4440</v>
      </c>
      <c r="F545" t="s">
        <v>2740</v>
      </c>
      <c r="G545" s="2">
        <v>45318</v>
      </c>
      <c r="H545" t="s">
        <v>2620</v>
      </c>
      <c r="I545">
        <v>52.6</v>
      </c>
      <c r="J545" s="1">
        <v>10000</v>
      </c>
      <c r="K545" s="1">
        <v>10000</v>
      </c>
    </row>
    <row r="546" spans="1:11" x14ac:dyDescent="0.25">
      <c r="A546" t="s">
        <v>2607</v>
      </c>
      <c r="B546" t="s">
        <v>136</v>
      </c>
      <c r="C546" t="s">
        <v>35</v>
      </c>
      <c r="D546" t="s">
        <v>4462</v>
      </c>
      <c r="E546" t="s">
        <v>3304</v>
      </c>
      <c r="F546" t="s">
        <v>2740</v>
      </c>
      <c r="G546" s="2">
        <v>45320</v>
      </c>
      <c r="H546" t="s">
        <v>2608</v>
      </c>
      <c r="I546">
        <v>263.10000000000002</v>
      </c>
      <c r="J546" s="1">
        <v>50000</v>
      </c>
      <c r="K546" s="1">
        <v>50000</v>
      </c>
    </row>
    <row r="547" spans="1:11" x14ac:dyDescent="0.25">
      <c r="A547" t="s">
        <v>2611</v>
      </c>
      <c r="B547" t="s">
        <v>2700</v>
      </c>
      <c r="C547" t="s">
        <v>27</v>
      </c>
      <c r="D547" t="s">
        <v>4466</v>
      </c>
      <c r="E547" t="s">
        <v>4450</v>
      </c>
      <c r="F547" t="s">
        <v>2740</v>
      </c>
      <c r="G547" s="2">
        <v>45320</v>
      </c>
      <c r="H547" t="s">
        <v>2612</v>
      </c>
      <c r="I547">
        <v>263.10000000000002</v>
      </c>
      <c r="J547" s="1">
        <v>50000</v>
      </c>
      <c r="K547" s="1">
        <v>50000</v>
      </c>
    </row>
    <row r="548" spans="1:11" x14ac:dyDescent="0.25">
      <c r="A548" t="s">
        <v>2605</v>
      </c>
      <c r="B548" t="s">
        <v>2729</v>
      </c>
      <c r="C548" t="s">
        <v>16</v>
      </c>
      <c r="D548" t="s">
        <v>4465</v>
      </c>
      <c r="E548" t="s">
        <v>4427</v>
      </c>
      <c r="F548" t="s">
        <v>2740</v>
      </c>
      <c r="G548" s="2">
        <v>45320</v>
      </c>
      <c r="H548" t="s">
        <v>2606</v>
      </c>
      <c r="I548">
        <v>63.2</v>
      </c>
      <c r="J548" s="1">
        <v>12000</v>
      </c>
      <c r="K548" s="1">
        <v>12000</v>
      </c>
    </row>
    <row r="549" spans="1:11" x14ac:dyDescent="0.25">
      <c r="A549" t="s">
        <v>2609</v>
      </c>
      <c r="B549" t="s">
        <v>66</v>
      </c>
      <c r="C549" t="s">
        <v>35</v>
      </c>
      <c r="D549" t="s">
        <v>4466</v>
      </c>
      <c r="E549" t="s">
        <v>3304</v>
      </c>
      <c r="F549" t="s">
        <v>2740</v>
      </c>
      <c r="G549" s="2">
        <v>45320</v>
      </c>
      <c r="H549" t="s">
        <v>2610</v>
      </c>
      <c r="I549">
        <v>263.2</v>
      </c>
      <c r="J549" s="1">
        <v>50000</v>
      </c>
      <c r="K549" s="1">
        <v>50000</v>
      </c>
    </row>
    <row r="550" spans="1:11" x14ac:dyDescent="0.25">
      <c r="A550" t="s">
        <v>2614</v>
      </c>
      <c r="B550" t="s">
        <v>4471</v>
      </c>
      <c r="C550" t="s">
        <v>35</v>
      </c>
      <c r="D550" t="s">
        <v>4470</v>
      </c>
      <c r="E550" t="s">
        <v>35</v>
      </c>
      <c r="F550" t="s">
        <v>2740</v>
      </c>
      <c r="G550" s="2">
        <v>45320</v>
      </c>
      <c r="H550" t="s">
        <v>2615</v>
      </c>
      <c r="I550">
        <v>105.2</v>
      </c>
      <c r="J550" s="1">
        <v>20000</v>
      </c>
      <c r="K550" s="1">
        <v>20000</v>
      </c>
    </row>
    <row r="551" spans="1:11" x14ac:dyDescent="0.25">
      <c r="A551" t="s">
        <v>2603</v>
      </c>
      <c r="B551" t="s">
        <v>2722</v>
      </c>
      <c r="C551" t="s">
        <v>16</v>
      </c>
      <c r="D551" t="s">
        <v>4462</v>
      </c>
      <c r="E551" t="s">
        <v>4446</v>
      </c>
      <c r="F551" t="s">
        <v>2740</v>
      </c>
      <c r="G551" s="2">
        <v>45321</v>
      </c>
      <c r="H551" t="s">
        <v>2604</v>
      </c>
      <c r="I551">
        <v>210.5</v>
      </c>
      <c r="J551" s="1">
        <v>40000</v>
      </c>
      <c r="K551" s="1">
        <v>40000</v>
      </c>
    </row>
    <row r="552" spans="1:11" x14ac:dyDescent="0.25">
      <c r="A552" t="s">
        <v>2590</v>
      </c>
      <c r="B552" t="s">
        <v>2735</v>
      </c>
      <c r="C552" t="s">
        <v>16</v>
      </c>
      <c r="D552" t="s">
        <v>4462</v>
      </c>
      <c r="E552" t="s">
        <v>4426</v>
      </c>
      <c r="F552" t="s">
        <v>2740</v>
      </c>
      <c r="G552" s="2">
        <v>45322</v>
      </c>
      <c r="H552" t="s">
        <v>2591</v>
      </c>
      <c r="I552">
        <v>278.89999999999998</v>
      </c>
      <c r="J552" s="1">
        <v>53000</v>
      </c>
      <c r="K552" s="1">
        <v>53000</v>
      </c>
    </row>
    <row r="553" spans="1:11" x14ac:dyDescent="0.25">
      <c r="A553" t="s">
        <v>2592</v>
      </c>
      <c r="B553" t="s">
        <v>2702</v>
      </c>
      <c r="C553" t="s">
        <v>35</v>
      </c>
      <c r="D553" t="s">
        <v>3305</v>
      </c>
      <c r="E553" t="s">
        <v>3304</v>
      </c>
      <c r="F553" t="s">
        <v>2740</v>
      </c>
      <c r="G553" s="2">
        <v>45322</v>
      </c>
      <c r="H553" t="s">
        <v>2593</v>
      </c>
      <c r="I553">
        <v>263.2</v>
      </c>
      <c r="J553" s="1">
        <v>50000</v>
      </c>
      <c r="K553" s="1">
        <v>50000</v>
      </c>
    </row>
    <row r="554" spans="1:11" x14ac:dyDescent="0.25">
      <c r="A554" t="s">
        <v>2594</v>
      </c>
      <c r="B554" t="s">
        <v>4463</v>
      </c>
      <c r="C554" t="s">
        <v>35</v>
      </c>
      <c r="D554" t="s">
        <v>4464</v>
      </c>
      <c r="E554" t="s">
        <v>3304</v>
      </c>
      <c r="F554" t="s">
        <v>2740</v>
      </c>
      <c r="G554" s="2">
        <v>45322</v>
      </c>
      <c r="H554" t="s">
        <v>2595</v>
      </c>
      <c r="I554">
        <v>526.4</v>
      </c>
      <c r="J554" s="1">
        <v>100000</v>
      </c>
      <c r="K554" s="1">
        <v>100000</v>
      </c>
    </row>
    <row r="555" spans="1:11" x14ac:dyDescent="0.25">
      <c r="A555" t="s">
        <v>2596</v>
      </c>
      <c r="B555" t="s">
        <v>2701</v>
      </c>
      <c r="C555" t="s">
        <v>16</v>
      </c>
      <c r="D555" t="s">
        <v>4466</v>
      </c>
      <c r="E555" t="s">
        <v>4453</v>
      </c>
      <c r="F555" t="s">
        <v>2740</v>
      </c>
      <c r="G555" s="2">
        <v>45322</v>
      </c>
      <c r="H555" t="s">
        <v>2597</v>
      </c>
      <c r="I555">
        <v>78.900000000000006</v>
      </c>
      <c r="J555" s="1">
        <v>15000</v>
      </c>
      <c r="K555" s="1">
        <v>15000</v>
      </c>
    </row>
    <row r="556" spans="1:11" x14ac:dyDescent="0.25">
      <c r="A556" t="s">
        <v>2599</v>
      </c>
      <c r="B556" t="s">
        <v>2710</v>
      </c>
      <c r="C556" t="s">
        <v>42</v>
      </c>
      <c r="D556" t="s">
        <v>4467</v>
      </c>
      <c r="E556" t="s">
        <v>4436</v>
      </c>
      <c r="F556" t="s">
        <v>2740</v>
      </c>
      <c r="G556" s="2">
        <v>45322</v>
      </c>
      <c r="H556" t="s">
        <v>2600</v>
      </c>
      <c r="I556">
        <v>210.5</v>
      </c>
      <c r="J556" s="1">
        <v>40000</v>
      </c>
      <c r="K556" s="1">
        <v>40000</v>
      </c>
    </row>
    <row r="557" spans="1:11" x14ac:dyDescent="0.25">
      <c r="A557" t="s">
        <v>2581</v>
      </c>
      <c r="B557" t="s">
        <v>2737</v>
      </c>
      <c r="C557" t="s">
        <v>16</v>
      </c>
      <c r="D557" t="s">
        <v>4466</v>
      </c>
      <c r="E557" t="s">
        <v>4432</v>
      </c>
      <c r="F557" t="s">
        <v>2740</v>
      </c>
      <c r="G557" s="2">
        <v>45323</v>
      </c>
      <c r="H557" t="s">
        <v>2582</v>
      </c>
      <c r="I557">
        <v>421</v>
      </c>
      <c r="J557" s="1">
        <v>80000</v>
      </c>
      <c r="K557" s="1">
        <v>80000</v>
      </c>
    </row>
    <row r="558" spans="1:11" x14ac:dyDescent="0.25">
      <c r="A558" t="s">
        <v>2584</v>
      </c>
      <c r="B558" t="s">
        <v>2729</v>
      </c>
      <c r="C558" t="s">
        <v>16</v>
      </c>
      <c r="D558" t="s">
        <v>4465</v>
      </c>
      <c r="E558" t="s">
        <v>4427</v>
      </c>
      <c r="F558" t="s">
        <v>2740</v>
      </c>
      <c r="G558" s="2">
        <v>45323</v>
      </c>
      <c r="H558" t="s">
        <v>2585</v>
      </c>
      <c r="I558">
        <v>131.6</v>
      </c>
      <c r="J558" s="1">
        <v>25000</v>
      </c>
      <c r="K558" s="1">
        <v>25000</v>
      </c>
    </row>
    <row r="559" spans="1:11" x14ac:dyDescent="0.25">
      <c r="A559" t="s">
        <v>2575</v>
      </c>
      <c r="B559" t="s">
        <v>2724</v>
      </c>
      <c r="C559" t="s">
        <v>16</v>
      </c>
      <c r="D559" t="s">
        <v>4462</v>
      </c>
      <c r="E559" t="s">
        <v>4451</v>
      </c>
      <c r="F559" t="s">
        <v>2740</v>
      </c>
      <c r="G559" s="2">
        <v>45324</v>
      </c>
      <c r="H559" t="s">
        <v>2576</v>
      </c>
      <c r="I559">
        <v>263.2</v>
      </c>
      <c r="J559" s="1">
        <v>50000</v>
      </c>
      <c r="K559" s="1">
        <v>50000</v>
      </c>
    </row>
    <row r="560" spans="1:11" x14ac:dyDescent="0.25">
      <c r="A560" t="s">
        <v>2577</v>
      </c>
      <c r="B560" t="s">
        <v>2699</v>
      </c>
      <c r="C560" t="s">
        <v>16</v>
      </c>
      <c r="D560" t="s">
        <v>4462</v>
      </c>
      <c r="E560" t="s">
        <v>4440</v>
      </c>
      <c r="F560" t="s">
        <v>2740</v>
      </c>
      <c r="G560" s="2">
        <v>45324</v>
      </c>
      <c r="H560" t="s">
        <v>2578</v>
      </c>
      <c r="I560">
        <v>52.6</v>
      </c>
      <c r="J560" s="1">
        <v>10000</v>
      </c>
      <c r="K560" s="1">
        <v>10000</v>
      </c>
    </row>
    <row r="561" spans="1:11" x14ac:dyDescent="0.25">
      <c r="A561" t="s">
        <v>2564</v>
      </c>
      <c r="B561" t="s">
        <v>2705</v>
      </c>
      <c r="C561" t="s">
        <v>42</v>
      </c>
      <c r="D561" t="s">
        <v>4467</v>
      </c>
      <c r="E561" t="s">
        <v>4435</v>
      </c>
      <c r="F561" t="s">
        <v>2740</v>
      </c>
      <c r="G561" s="2">
        <v>45325</v>
      </c>
      <c r="H561" t="s">
        <v>2565</v>
      </c>
      <c r="I561">
        <v>157.9</v>
      </c>
      <c r="J561" s="1">
        <v>30000</v>
      </c>
      <c r="K561" s="1">
        <v>30000</v>
      </c>
    </row>
    <row r="562" spans="1:11" x14ac:dyDescent="0.25">
      <c r="A562" t="s">
        <v>2569</v>
      </c>
      <c r="B562" t="s">
        <v>66</v>
      </c>
      <c r="C562" t="s">
        <v>35</v>
      </c>
      <c r="D562" t="s">
        <v>4466</v>
      </c>
      <c r="E562" t="s">
        <v>3304</v>
      </c>
      <c r="F562" t="s">
        <v>2740</v>
      </c>
      <c r="G562" s="2">
        <v>45325</v>
      </c>
      <c r="H562" t="s">
        <v>2570</v>
      </c>
      <c r="I562">
        <v>263.2</v>
      </c>
      <c r="J562" s="1">
        <v>50000</v>
      </c>
      <c r="K562" s="1">
        <v>50000</v>
      </c>
    </row>
    <row r="563" spans="1:11" x14ac:dyDescent="0.25">
      <c r="A563" t="s">
        <v>2571</v>
      </c>
      <c r="B563" t="s">
        <v>4463</v>
      </c>
      <c r="C563" t="s">
        <v>35</v>
      </c>
      <c r="D563" t="s">
        <v>4464</v>
      </c>
      <c r="E563" t="s">
        <v>3304</v>
      </c>
      <c r="F563" t="s">
        <v>2740</v>
      </c>
      <c r="G563" s="2">
        <v>45325</v>
      </c>
      <c r="H563" t="s">
        <v>2572</v>
      </c>
      <c r="I563">
        <v>526.29999999999995</v>
      </c>
      <c r="J563" s="1">
        <v>100000</v>
      </c>
      <c r="K563" s="1">
        <v>100000</v>
      </c>
    </row>
    <row r="564" spans="1:11" x14ac:dyDescent="0.25">
      <c r="A564" t="s">
        <v>2573</v>
      </c>
      <c r="B564" t="s">
        <v>4471</v>
      </c>
      <c r="C564" t="s">
        <v>35</v>
      </c>
      <c r="D564" t="s">
        <v>4470</v>
      </c>
      <c r="E564" t="s">
        <v>35</v>
      </c>
      <c r="F564" t="s">
        <v>2740</v>
      </c>
      <c r="G564" s="2">
        <v>45325</v>
      </c>
      <c r="H564" t="s">
        <v>2574</v>
      </c>
      <c r="I564">
        <v>105.3</v>
      </c>
      <c r="J564" s="1">
        <v>20000</v>
      </c>
      <c r="K564" s="1">
        <v>20000</v>
      </c>
    </row>
    <row r="565" spans="1:11" x14ac:dyDescent="0.25">
      <c r="A565" t="s">
        <v>2562</v>
      </c>
      <c r="B565" t="s">
        <v>2719</v>
      </c>
      <c r="C565" t="s">
        <v>16</v>
      </c>
      <c r="D565" t="s">
        <v>4466</v>
      </c>
      <c r="E565" t="s">
        <v>4430</v>
      </c>
      <c r="F565" t="s">
        <v>2740</v>
      </c>
      <c r="G565" s="2">
        <v>45326</v>
      </c>
      <c r="H565" t="s">
        <v>2563</v>
      </c>
      <c r="I565">
        <v>131.6</v>
      </c>
      <c r="J565" s="1">
        <v>25000</v>
      </c>
      <c r="K565" s="1">
        <v>25000</v>
      </c>
    </row>
    <row r="566" spans="1:11" x14ac:dyDescent="0.25">
      <c r="A566" t="s">
        <v>2556</v>
      </c>
      <c r="B566" t="s">
        <v>2732</v>
      </c>
      <c r="C566" t="s">
        <v>16</v>
      </c>
      <c r="D566" t="s">
        <v>4461</v>
      </c>
      <c r="E566" t="s">
        <v>4444</v>
      </c>
      <c r="F566" t="s">
        <v>2740</v>
      </c>
      <c r="G566" s="2">
        <v>45327</v>
      </c>
      <c r="H566" t="s">
        <v>2557</v>
      </c>
      <c r="I566">
        <v>105.3</v>
      </c>
      <c r="J566" s="1">
        <v>20000</v>
      </c>
      <c r="K566" s="1">
        <v>20000</v>
      </c>
    </row>
    <row r="567" spans="1:11" x14ac:dyDescent="0.25">
      <c r="A567" t="s">
        <v>2558</v>
      </c>
      <c r="B567" t="s">
        <v>2725</v>
      </c>
      <c r="C567" t="s">
        <v>16</v>
      </c>
      <c r="D567" t="s">
        <v>4465</v>
      </c>
      <c r="E567" t="s">
        <v>4429</v>
      </c>
      <c r="F567" t="s">
        <v>2740</v>
      </c>
      <c r="G567" s="2">
        <v>45327</v>
      </c>
      <c r="H567" t="s">
        <v>2559</v>
      </c>
      <c r="I567">
        <v>421.1</v>
      </c>
      <c r="J567" s="1">
        <v>80000</v>
      </c>
      <c r="K567" s="1">
        <v>80000</v>
      </c>
    </row>
    <row r="568" spans="1:11" x14ac:dyDescent="0.25">
      <c r="A568" t="s">
        <v>2560</v>
      </c>
      <c r="B568" t="s">
        <v>2698</v>
      </c>
      <c r="C568" t="s">
        <v>16</v>
      </c>
      <c r="D568" t="s">
        <v>4465</v>
      </c>
      <c r="E568" t="s">
        <v>4442</v>
      </c>
      <c r="F568" t="s">
        <v>2740</v>
      </c>
      <c r="G568" s="2">
        <v>45327</v>
      </c>
      <c r="H568" t="s">
        <v>2561</v>
      </c>
      <c r="I568">
        <v>526.29999999999995</v>
      </c>
      <c r="J568" s="1">
        <v>100000</v>
      </c>
      <c r="K568" s="1">
        <v>100000</v>
      </c>
    </row>
    <row r="569" spans="1:11" x14ac:dyDescent="0.25">
      <c r="A569" t="s">
        <v>2552</v>
      </c>
      <c r="B569" t="s">
        <v>2729</v>
      </c>
      <c r="C569" t="s">
        <v>16</v>
      </c>
      <c r="D569" t="s">
        <v>4465</v>
      </c>
      <c r="E569" t="s">
        <v>4427</v>
      </c>
      <c r="F569" t="s">
        <v>2740</v>
      </c>
      <c r="G569" s="2">
        <v>45329</v>
      </c>
      <c r="H569" t="s">
        <v>2553</v>
      </c>
      <c r="I569">
        <v>92.6</v>
      </c>
      <c r="J569" s="1">
        <v>20000</v>
      </c>
      <c r="K569" s="1">
        <v>20000</v>
      </c>
    </row>
    <row r="570" spans="1:11" x14ac:dyDescent="0.25">
      <c r="A570" t="s">
        <v>2546</v>
      </c>
      <c r="B570" t="s">
        <v>2702</v>
      </c>
      <c r="C570" t="s">
        <v>35</v>
      </c>
      <c r="D570" t="s">
        <v>3305</v>
      </c>
      <c r="E570" t="s">
        <v>3304</v>
      </c>
      <c r="F570" t="s">
        <v>2740</v>
      </c>
      <c r="G570" s="2">
        <v>45330</v>
      </c>
      <c r="H570" t="s">
        <v>2547</v>
      </c>
      <c r="I570">
        <v>231.4</v>
      </c>
      <c r="J570" s="1">
        <v>50000</v>
      </c>
      <c r="K570" s="1">
        <v>50000</v>
      </c>
    </row>
    <row r="571" spans="1:11" x14ac:dyDescent="0.25">
      <c r="A571" t="s">
        <v>2550</v>
      </c>
      <c r="B571" t="s">
        <v>2710</v>
      </c>
      <c r="C571" t="s">
        <v>42</v>
      </c>
      <c r="D571" t="s">
        <v>4467</v>
      </c>
      <c r="E571" t="s">
        <v>4436</v>
      </c>
      <c r="F571" t="s">
        <v>2740</v>
      </c>
      <c r="G571" s="2">
        <v>45330</v>
      </c>
      <c r="H571" t="s">
        <v>2551</v>
      </c>
      <c r="I571">
        <v>324.10000000000002</v>
      </c>
      <c r="J571" s="1">
        <v>70000</v>
      </c>
      <c r="K571" s="1">
        <v>70000</v>
      </c>
    </row>
    <row r="572" spans="1:11" x14ac:dyDescent="0.25">
      <c r="A572" t="s">
        <v>2548</v>
      </c>
      <c r="B572" t="s">
        <v>66</v>
      </c>
      <c r="C572" t="s">
        <v>35</v>
      </c>
      <c r="D572" t="s">
        <v>4466</v>
      </c>
      <c r="E572" t="s">
        <v>3304</v>
      </c>
      <c r="F572" t="s">
        <v>2740</v>
      </c>
      <c r="G572" s="2">
        <v>45330</v>
      </c>
      <c r="H572" t="s">
        <v>2549</v>
      </c>
      <c r="I572">
        <v>231.4</v>
      </c>
      <c r="J572" s="1">
        <v>50000</v>
      </c>
      <c r="K572" s="1">
        <v>50000</v>
      </c>
    </row>
    <row r="573" spans="1:11" x14ac:dyDescent="0.25">
      <c r="A573" t="s">
        <v>2540</v>
      </c>
      <c r="B573" t="s">
        <v>2700</v>
      </c>
      <c r="C573" t="s">
        <v>27</v>
      </c>
      <c r="D573" t="s">
        <v>4466</v>
      </c>
      <c r="E573" t="s">
        <v>4450</v>
      </c>
      <c r="F573" t="s">
        <v>2740</v>
      </c>
      <c r="G573" s="2">
        <v>45331</v>
      </c>
      <c r="H573" t="s">
        <v>2541</v>
      </c>
      <c r="I573">
        <v>463</v>
      </c>
      <c r="J573" s="1">
        <v>100000</v>
      </c>
      <c r="K573" s="1">
        <v>100000</v>
      </c>
    </row>
    <row r="574" spans="1:11" x14ac:dyDescent="0.25">
      <c r="A574" t="s">
        <v>2542</v>
      </c>
      <c r="B574" t="s">
        <v>2703</v>
      </c>
      <c r="C574" t="s">
        <v>35</v>
      </c>
      <c r="D574" t="s">
        <v>4404</v>
      </c>
      <c r="E574" t="s">
        <v>3275</v>
      </c>
      <c r="F574" t="s">
        <v>2740</v>
      </c>
      <c r="G574" s="2">
        <v>45331</v>
      </c>
      <c r="H574" t="s">
        <v>2543</v>
      </c>
      <c r="I574">
        <v>46.3</v>
      </c>
      <c r="J574" s="1">
        <v>10000</v>
      </c>
      <c r="K574" s="1">
        <v>10000</v>
      </c>
    </row>
    <row r="575" spans="1:11" x14ac:dyDescent="0.25">
      <c r="A575" t="s">
        <v>2544</v>
      </c>
      <c r="B575" t="s">
        <v>2704</v>
      </c>
      <c r="C575" t="s">
        <v>35</v>
      </c>
      <c r="D575" t="s">
        <v>42</v>
      </c>
      <c r="E575" t="s">
        <v>3275</v>
      </c>
      <c r="F575" t="s">
        <v>2740</v>
      </c>
      <c r="G575" s="2">
        <v>45331</v>
      </c>
      <c r="H575" t="s">
        <v>2545</v>
      </c>
      <c r="I575">
        <v>69.400000000000006</v>
      </c>
      <c r="J575" s="1">
        <v>15000</v>
      </c>
      <c r="K575" s="1">
        <v>15000</v>
      </c>
    </row>
    <row r="576" spans="1:11" x14ac:dyDescent="0.25">
      <c r="A576" t="s">
        <v>2538</v>
      </c>
      <c r="B576" t="s">
        <v>2701</v>
      </c>
      <c r="C576" t="s">
        <v>16</v>
      </c>
      <c r="D576" t="s">
        <v>4466</v>
      </c>
      <c r="E576" t="s">
        <v>4453</v>
      </c>
      <c r="F576" t="s">
        <v>2740</v>
      </c>
      <c r="G576" s="2">
        <v>45332</v>
      </c>
      <c r="H576" t="s">
        <v>2539</v>
      </c>
      <c r="I576">
        <v>46.3</v>
      </c>
      <c r="J576" s="1">
        <v>10000</v>
      </c>
      <c r="K576" s="1">
        <v>10000</v>
      </c>
    </row>
    <row r="577" spans="1:11" x14ac:dyDescent="0.25">
      <c r="A577" t="s">
        <v>2530</v>
      </c>
      <c r="B577" t="s">
        <v>2707</v>
      </c>
      <c r="C577" t="s">
        <v>16</v>
      </c>
      <c r="D577" t="s">
        <v>4462</v>
      </c>
      <c r="E577" t="s">
        <v>4433</v>
      </c>
      <c r="F577" t="s">
        <v>2740</v>
      </c>
      <c r="G577" s="2">
        <v>45333</v>
      </c>
      <c r="H577" t="s">
        <v>2531</v>
      </c>
      <c r="I577">
        <v>46.3</v>
      </c>
      <c r="J577" s="1">
        <v>10000</v>
      </c>
      <c r="K577" s="1">
        <v>10000</v>
      </c>
    </row>
    <row r="578" spans="1:11" x14ac:dyDescent="0.25">
      <c r="A578" t="s">
        <v>2532</v>
      </c>
      <c r="B578" t="s">
        <v>2718</v>
      </c>
      <c r="C578" t="s">
        <v>16</v>
      </c>
      <c r="D578" t="s">
        <v>4466</v>
      </c>
      <c r="E578" t="s">
        <v>4438</v>
      </c>
      <c r="F578" t="s">
        <v>2740</v>
      </c>
      <c r="G578" s="2">
        <v>45333</v>
      </c>
      <c r="H578" t="s">
        <v>2533</v>
      </c>
      <c r="I578">
        <v>138.9</v>
      </c>
      <c r="J578" s="1">
        <v>30000</v>
      </c>
      <c r="K578" s="1">
        <v>30000</v>
      </c>
    </row>
    <row r="579" spans="1:11" x14ac:dyDescent="0.25">
      <c r="A579" t="s">
        <v>2536</v>
      </c>
      <c r="B579" t="s">
        <v>2722</v>
      </c>
      <c r="C579" t="s">
        <v>16</v>
      </c>
      <c r="D579" t="s">
        <v>4462</v>
      </c>
      <c r="E579" t="s">
        <v>4446</v>
      </c>
      <c r="F579" t="s">
        <v>2740</v>
      </c>
      <c r="G579" s="2">
        <v>45333</v>
      </c>
      <c r="H579" t="s">
        <v>2537</v>
      </c>
      <c r="I579">
        <v>92.6</v>
      </c>
      <c r="J579" s="1">
        <v>20000</v>
      </c>
      <c r="K579" s="1">
        <v>20000</v>
      </c>
    </row>
    <row r="580" spans="1:11" x14ac:dyDescent="0.25">
      <c r="A580" t="s">
        <v>2526</v>
      </c>
      <c r="B580" t="s">
        <v>2729</v>
      </c>
      <c r="C580" t="s">
        <v>16</v>
      </c>
      <c r="D580" t="s">
        <v>4465</v>
      </c>
      <c r="E580" t="s">
        <v>4427</v>
      </c>
      <c r="F580" t="s">
        <v>2740</v>
      </c>
      <c r="G580" s="2">
        <v>45333</v>
      </c>
      <c r="H580" t="s">
        <v>2527</v>
      </c>
      <c r="I580">
        <v>115.7</v>
      </c>
      <c r="J580" s="1">
        <v>25000</v>
      </c>
      <c r="K580" s="1">
        <v>25000</v>
      </c>
    </row>
    <row r="581" spans="1:11" x14ac:dyDescent="0.25">
      <c r="A581" t="s">
        <v>2528</v>
      </c>
      <c r="B581" t="s">
        <v>2719</v>
      </c>
      <c r="C581" t="s">
        <v>16</v>
      </c>
      <c r="D581" t="s">
        <v>4466</v>
      </c>
      <c r="E581" t="s">
        <v>4430</v>
      </c>
      <c r="F581" t="s">
        <v>2740</v>
      </c>
      <c r="G581" s="2">
        <v>45333</v>
      </c>
      <c r="H581" t="s">
        <v>2529</v>
      </c>
      <c r="I581">
        <v>109.3</v>
      </c>
      <c r="J581" s="1">
        <v>23600</v>
      </c>
      <c r="K581" s="1">
        <v>23600</v>
      </c>
    </row>
    <row r="582" spans="1:11" x14ac:dyDescent="0.25">
      <c r="A582" t="s">
        <v>2534</v>
      </c>
      <c r="B582" t="s">
        <v>2699</v>
      </c>
      <c r="C582" t="s">
        <v>16</v>
      </c>
      <c r="D582" t="s">
        <v>4462</v>
      </c>
      <c r="E582" t="s">
        <v>4440</v>
      </c>
      <c r="F582" t="s">
        <v>2740</v>
      </c>
      <c r="G582" s="2">
        <v>45333</v>
      </c>
      <c r="H582" t="s">
        <v>2535</v>
      </c>
      <c r="I582">
        <v>46.3</v>
      </c>
      <c r="J582" s="1">
        <v>10000</v>
      </c>
      <c r="K582" s="1">
        <v>10000</v>
      </c>
    </row>
    <row r="583" spans="1:11" x14ac:dyDescent="0.25">
      <c r="A583" t="s">
        <v>2524</v>
      </c>
      <c r="B583" t="s">
        <v>2730</v>
      </c>
      <c r="C583" t="s">
        <v>42</v>
      </c>
      <c r="D583" t="s">
        <v>4467</v>
      </c>
      <c r="E583" t="s">
        <v>4441</v>
      </c>
      <c r="F583" t="s">
        <v>2740</v>
      </c>
      <c r="G583" s="2">
        <v>45334</v>
      </c>
      <c r="H583" t="s">
        <v>2525</v>
      </c>
      <c r="I583">
        <v>462.9</v>
      </c>
      <c r="J583" s="1">
        <v>100000</v>
      </c>
      <c r="K583" s="1">
        <v>100000</v>
      </c>
    </row>
    <row r="584" spans="1:11" x14ac:dyDescent="0.25">
      <c r="A584" t="s">
        <v>2520</v>
      </c>
      <c r="B584" t="s">
        <v>2714</v>
      </c>
      <c r="C584" t="s">
        <v>16</v>
      </c>
      <c r="D584" t="s">
        <v>4466</v>
      </c>
      <c r="E584" t="s">
        <v>4434</v>
      </c>
      <c r="F584" t="s">
        <v>2740</v>
      </c>
      <c r="G584" s="2">
        <v>45335</v>
      </c>
      <c r="H584" t="s">
        <v>2521</v>
      </c>
      <c r="I584">
        <v>463</v>
      </c>
      <c r="J584" s="1">
        <v>100000</v>
      </c>
      <c r="K584" s="1">
        <v>100000</v>
      </c>
    </row>
    <row r="585" spans="1:11" x14ac:dyDescent="0.25">
      <c r="A585" t="s">
        <v>2510</v>
      </c>
      <c r="B585" t="s">
        <v>2713</v>
      </c>
      <c r="C585" t="s">
        <v>16</v>
      </c>
      <c r="D585" t="s">
        <v>4465</v>
      </c>
      <c r="E585" t="s">
        <v>4428</v>
      </c>
      <c r="F585" t="s">
        <v>2740</v>
      </c>
      <c r="G585" s="2">
        <v>45336</v>
      </c>
      <c r="H585" t="s">
        <v>2511</v>
      </c>
      <c r="I585">
        <v>231.5</v>
      </c>
      <c r="J585" s="1">
        <v>50000</v>
      </c>
      <c r="K585" s="1">
        <v>50000</v>
      </c>
    </row>
    <row r="586" spans="1:11" x14ac:dyDescent="0.25">
      <c r="A586" t="s">
        <v>2512</v>
      </c>
      <c r="B586" t="s">
        <v>2705</v>
      </c>
      <c r="C586" t="s">
        <v>42</v>
      </c>
      <c r="D586" t="s">
        <v>4467</v>
      </c>
      <c r="E586" t="s">
        <v>4435</v>
      </c>
      <c r="F586" t="s">
        <v>2740</v>
      </c>
      <c r="G586" s="2">
        <v>45336</v>
      </c>
      <c r="H586" t="s">
        <v>2513</v>
      </c>
      <c r="I586">
        <v>185.2</v>
      </c>
      <c r="J586" s="1">
        <v>40000</v>
      </c>
      <c r="K586" s="1">
        <v>40000</v>
      </c>
    </row>
    <row r="587" spans="1:11" x14ac:dyDescent="0.25">
      <c r="A587" t="s">
        <v>2514</v>
      </c>
      <c r="B587" t="s">
        <v>2701</v>
      </c>
      <c r="C587" t="s">
        <v>16</v>
      </c>
      <c r="D587" t="s">
        <v>4466</v>
      </c>
      <c r="E587" t="s">
        <v>4453</v>
      </c>
      <c r="F587" t="s">
        <v>2740</v>
      </c>
      <c r="G587" s="2">
        <v>45336</v>
      </c>
      <c r="H587" t="s">
        <v>2515</v>
      </c>
      <c r="I587">
        <v>92.6</v>
      </c>
      <c r="J587" s="1">
        <v>20000</v>
      </c>
      <c r="K587" s="1">
        <v>20000</v>
      </c>
    </row>
    <row r="588" spans="1:11" x14ac:dyDescent="0.25">
      <c r="A588" t="s">
        <v>2516</v>
      </c>
      <c r="B588" t="s">
        <v>66</v>
      </c>
      <c r="C588" t="s">
        <v>35</v>
      </c>
      <c r="D588" t="s">
        <v>4466</v>
      </c>
      <c r="E588" t="s">
        <v>3304</v>
      </c>
      <c r="F588" t="s">
        <v>2740</v>
      </c>
      <c r="G588" s="2">
        <v>45336</v>
      </c>
      <c r="H588" t="s">
        <v>2517</v>
      </c>
      <c r="I588">
        <v>231.5</v>
      </c>
      <c r="J588" s="1">
        <v>50000</v>
      </c>
      <c r="K588" s="1">
        <v>50000</v>
      </c>
    </row>
    <row r="589" spans="1:11" x14ac:dyDescent="0.25">
      <c r="A589" t="s">
        <v>2518</v>
      </c>
      <c r="B589" t="s">
        <v>2705</v>
      </c>
      <c r="C589" t="s">
        <v>42</v>
      </c>
      <c r="D589" t="s">
        <v>4467</v>
      </c>
      <c r="E589" t="s">
        <v>4435</v>
      </c>
      <c r="F589" t="s">
        <v>2740</v>
      </c>
      <c r="G589" s="2">
        <v>45336</v>
      </c>
      <c r="H589" t="s">
        <v>2519</v>
      </c>
      <c r="I589">
        <v>92.6</v>
      </c>
      <c r="J589" s="1">
        <v>20000</v>
      </c>
      <c r="K589" s="1">
        <v>20000</v>
      </c>
    </row>
    <row r="590" spans="1:11" x14ac:dyDescent="0.25">
      <c r="A590" t="s">
        <v>2508</v>
      </c>
      <c r="B590" t="s">
        <v>2715</v>
      </c>
      <c r="C590" t="s">
        <v>16</v>
      </c>
      <c r="D590" t="s">
        <v>4462</v>
      </c>
      <c r="E590" t="s">
        <v>4454</v>
      </c>
      <c r="F590" t="s">
        <v>2740</v>
      </c>
      <c r="G590" s="2">
        <v>45337</v>
      </c>
      <c r="H590" t="s">
        <v>2509</v>
      </c>
      <c r="I590">
        <v>462.9</v>
      </c>
      <c r="J590" s="1">
        <v>100000</v>
      </c>
      <c r="K590" s="1">
        <v>100000</v>
      </c>
    </row>
    <row r="591" spans="1:11" x14ac:dyDescent="0.25">
      <c r="A591" t="s">
        <v>2503</v>
      </c>
      <c r="B591" t="s">
        <v>2722</v>
      </c>
      <c r="C591" t="s">
        <v>16</v>
      </c>
      <c r="D591" t="s">
        <v>4462</v>
      </c>
      <c r="E591" t="s">
        <v>4446</v>
      </c>
      <c r="F591" t="s">
        <v>2740</v>
      </c>
      <c r="G591" s="2">
        <v>45337</v>
      </c>
      <c r="H591" t="s">
        <v>2504</v>
      </c>
      <c r="I591">
        <v>138.9</v>
      </c>
      <c r="J591" s="1">
        <v>30000</v>
      </c>
      <c r="K591" s="1">
        <v>30000</v>
      </c>
    </row>
    <row r="592" spans="1:11" x14ac:dyDescent="0.25">
      <c r="A592" t="s">
        <v>2506</v>
      </c>
      <c r="B592" t="s">
        <v>2732</v>
      </c>
      <c r="C592" t="s">
        <v>16</v>
      </c>
      <c r="D592" t="s">
        <v>4461</v>
      </c>
      <c r="E592" t="s">
        <v>4444</v>
      </c>
      <c r="F592" t="s">
        <v>2740</v>
      </c>
      <c r="G592" s="2">
        <v>45337</v>
      </c>
      <c r="H592" t="s">
        <v>2507</v>
      </c>
      <c r="I592">
        <v>92.6</v>
      </c>
      <c r="J592" s="1">
        <v>20000</v>
      </c>
      <c r="K592" s="1">
        <v>20000</v>
      </c>
    </row>
    <row r="593" spans="1:11" x14ac:dyDescent="0.25">
      <c r="A593" t="s">
        <v>2497</v>
      </c>
      <c r="B593" t="s">
        <v>133</v>
      </c>
      <c r="C593" t="s">
        <v>35</v>
      </c>
      <c r="D593" t="s">
        <v>4461</v>
      </c>
      <c r="E593" t="s">
        <v>3304</v>
      </c>
      <c r="F593" t="s">
        <v>2740</v>
      </c>
      <c r="G593" s="2">
        <v>45338</v>
      </c>
      <c r="H593" t="s">
        <v>2498</v>
      </c>
      <c r="I593">
        <v>231.5</v>
      </c>
      <c r="J593" s="1">
        <v>50000</v>
      </c>
      <c r="K593" s="1">
        <v>50000</v>
      </c>
    </row>
    <row r="594" spans="1:11" x14ac:dyDescent="0.25">
      <c r="A594" t="s">
        <v>2495</v>
      </c>
      <c r="B594" t="s">
        <v>2729</v>
      </c>
      <c r="C594" t="s">
        <v>16</v>
      </c>
      <c r="D594" t="s">
        <v>4465</v>
      </c>
      <c r="E594" t="s">
        <v>4427</v>
      </c>
      <c r="F594" t="s">
        <v>2740</v>
      </c>
      <c r="G594" s="2">
        <v>45338</v>
      </c>
      <c r="H594" t="s">
        <v>2496</v>
      </c>
      <c r="I594">
        <v>115.8</v>
      </c>
      <c r="J594" s="1">
        <v>25000</v>
      </c>
      <c r="K594" s="1">
        <v>25000</v>
      </c>
    </row>
    <row r="595" spans="1:11" x14ac:dyDescent="0.25">
      <c r="A595" t="s">
        <v>2499</v>
      </c>
      <c r="B595" t="s">
        <v>2702</v>
      </c>
      <c r="C595" t="s">
        <v>35</v>
      </c>
      <c r="D595" t="s">
        <v>3305</v>
      </c>
      <c r="E595" t="s">
        <v>3304</v>
      </c>
      <c r="F595" t="s">
        <v>2740</v>
      </c>
      <c r="G595" s="2">
        <v>45338</v>
      </c>
      <c r="H595" t="s">
        <v>2500</v>
      </c>
      <c r="I595">
        <v>231.5</v>
      </c>
      <c r="J595" s="1">
        <v>50000</v>
      </c>
      <c r="K595" s="1">
        <v>50000</v>
      </c>
    </row>
    <row r="596" spans="1:11" x14ac:dyDescent="0.25">
      <c r="A596" t="s">
        <v>2501</v>
      </c>
      <c r="B596" t="s">
        <v>2719</v>
      </c>
      <c r="C596" t="s">
        <v>16</v>
      </c>
      <c r="D596" t="s">
        <v>4466</v>
      </c>
      <c r="E596" t="s">
        <v>4430</v>
      </c>
      <c r="F596" t="s">
        <v>2740</v>
      </c>
      <c r="G596" s="2">
        <v>45338</v>
      </c>
      <c r="H596" t="s">
        <v>2502</v>
      </c>
      <c r="I596">
        <v>115.7</v>
      </c>
      <c r="J596" s="1">
        <v>25000</v>
      </c>
      <c r="K596" s="1">
        <v>25000</v>
      </c>
    </row>
    <row r="597" spans="1:11" x14ac:dyDescent="0.25">
      <c r="A597" t="s">
        <v>2487</v>
      </c>
      <c r="B597" t="s">
        <v>2707</v>
      </c>
      <c r="C597" t="s">
        <v>16</v>
      </c>
      <c r="D597" t="s">
        <v>4462</v>
      </c>
      <c r="E597" t="s">
        <v>4433</v>
      </c>
      <c r="F597" t="s">
        <v>2740</v>
      </c>
      <c r="G597" s="2">
        <v>45339</v>
      </c>
      <c r="H597" t="s">
        <v>2488</v>
      </c>
      <c r="I597">
        <v>231.5</v>
      </c>
      <c r="J597" s="1">
        <v>50000</v>
      </c>
      <c r="K597" s="1">
        <v>50000</v>
      </c>
    </row>
    <row r="598" spans="1:11" x14ac:dyDescent="0.25">
      <c r="A598" t="s">
        <v>2489</v>
      </c>
      <c r="B598" t="s">
        <v>2723</v>
      </c>
      <c r="C598" t="s">
        <v>16</v>
      </c>
      <c r="D598" t="s">
        <v>4462</v>
      </c>
      <c r="E598" t="s">
        <v>4443</v>
      </c>
      <c r="F598" t="s">
        <v>2740</v>
      </c>
      <c r="G598" s="2">
        <v>45339</v>
      </c>
      <c r="H598" t="s">
        <v>2490</v>
      </c>
      <c r="I598">
        <v>462.9</v>
      </c>
      <c r="J598" s="1">
        <v>100000</v>
      </c>
      <c r="K598" s="1">
        <v>100000</v>
      </c>
    </row>
    <row r="599" spans="1:11" x14ac:dyDescent="0.25">
      <c r="A599" t="s">
        <v>2491</v>
      </c>
      <c r="B599" t="s">
        <v>2723</v>
      </c>
      <c r="C599" t="s">
        <v>16</v>
      </c>
      <c r="D599" t="s">
        <v>4462</v>
      </c>
      <c r="E599" t="s">
        <v>4443</v>
      </c>
      <c r="F599" t="s">
        <v>2740</v>
      </c>
      <c r="G599" s="2">
        <v>45339</v>
      </c>
      <c r="H599" t="s">
        <v>2492</v>
      </c>
      <c r="I599">
        <v>463</v>
      </c>
      <c r="J599" s="1">
        <v>100000</v>
      </c>
      <c r="K599" s="1">
        <v>100000</v>
      </c>
    </row>
    <row r="600" spans="1:11" x14ac:dyDescent="0.25">
      <c r="A600" t="s">
        <v>2493</v>
      </c>
      <c r="B600" t="s">
        <v>2699</v>
      </c>
      <c r="C600" t="s">
        <v>16</v>
      </c>
      <c r="D600" t="s">
        <v>4462</v>
      </c>
      <c r="E600" t="s">
        <v>4440</v>
      </c>
      <c r="F600" t="s">
        <v>2740</v>
      </c>
      <c r="G600" s="2">
        <v>45339</v>
      </c>
      <c r="H600" t="s">
        <v>2494</v>
      </c>
      <c r="I600">
        <v>92.6</v>
      </c>
      <c r="J600" s="1">
        <v>20000</v>
      </c>
      <c r="K600" s="1">
        <v>20000</v>
      </c>
    </row>
    <row r="601" spans="1:11" x14ac:dyDescent="0.25">
      <c r="A601" t="s">
        <v>2485</v>
      </c>
      <c r="B601" t="s">
        <v>2705</v>
      </c>
      <c r="C601" t="s">
        <v>42</v>
      </c>
      <c r="D601" t="s">
        <v>4467</v>
      </c>
      <c r="E601" t="s">
        <v>4435</v>
      </c>
      <c r="F601" t="s">
        <v>2740</v>
      </c>
      <c r="G601" s="2">
        <v>45340</v>
      </c>
      <c r="H601" t="s">
        <v>2486</v>
      </c>
      <c r="I601">
        <v>231.5</v>
      </c>
      <c r="J601" s="1">
        <v>50000</v>
      </c>
      <c r="K601" s="1">
        <v>50000</v>
      </c>
    </row>
    <row r="602" spans="1:11" x14ac:dyDescent="0.25">
      <c r="A602" t="s">
        <v>2475</v>
      </c>
      <c r="B602" t="s">
        <v>93</v>
      </c>
      <c r="C602" t="s">
        <v>35</v>
      </c>
      <c r="D602" t="s">
        <v>4465</v>
      </c>
      <c r="E602" t="s">
        <v>3304</v>
      </c>
      <c r="F602" t="s">
        <v>2740</v>
      </c>
      <c r="G602" s="2">
        <v>45341</v>
      </c>
      <c r="H602" t="s">
        <v>2476</v>
      </c>
      <c r="I602">
        <v>231.5</v>
      </c>
      <c r="J602" s="1">
        <v>50000</v>
      </c>
      <c r="K602" s="1">
        <v>50000</v>
      </c>
    </row>
    <row r="603" spans="1:11" x14ac:dyDescent="0.25">
      <c r="A603" t="s">
        <v>2477</v>
      </c>
      <c r="B603" t="s">
        <v>136</v>
      </c>
      <c r="C603" t="s">
        <v>35</v>
      </c>
      <c r="D603" t="s">
        <v>4462</v>
      </c>
      <c r="E603" t="s">
        <v>3304</v>
      </c>
      <c r="F603" t="s">
        <v>2740</v>
      </c>
      <c r="G603" s="2">
        <v>45341</v>
      </c>
      <c r="H603" t="s">
        <v>2478</v>
      </c>
      <c r="I603">
        <v>231.5</v>
      </c>
      <c r="J603" s="1">
        <v>50000</v>
      </c>
      <c r="K603" s="1">
        <v>50000</v>
      </c>
    </row>
    <row r="604" spans="1:11" x14ac:dyDescent="0.25">
      <c r="A604" t="s">
        <v>2481</v>
      </c>
      <c r="B604" t="s">
        <v>2711</v>
      </c>
      <c r="C604" t="s">
        <v>16</v>
      </c>
      <c r="D604" t="s">
        <v>4461</v>
      </c>
      <c r="E604" t="s">
        <v>4447</v>
      </c>
      <c r="F604" t="s">
        <v>2740</v>
      </c>
      <c r="G604" s="2">
        <v>45341</v>
      </c>
      <c r="H604" t="s">
        <v>2482</v>
      </c>
      <c r="I604">
        <v>208.4</v>
      </c>
      <c r="J604" s="1">
        <v>45000</v>
      </c>
      <c r="K604" s="1">
        <v>45000</v>
      </c>
    </row>
    <row r="605" spans="1:11" x14ac:dyDescent="0.25">
      <c r="A605" t="s">
        <v>2483</v>
      </c>
      <c r="B605" t="s">
        <v>2712</v>
      </c>
      <c r="C605" t="s">
        <v>16</v>
      </c>
      <c r="D605" t="s">
        <v>4461</v>
      </c>
      <c r="E605" t="s">
        <v>4449</v>
      </c>
      <c r="F605" t="s">
        <v>2740</v>
      </c>
      <c r="G605" s="2">
        <v>45341</v>
      </c>
      <c r="H605" t="s">
        <v>2484</v>
      </c>
      <c r="I605">
        <v>78.7</v>
      </c>
      <c r="J605" s="1">
        <v>17000</v>
      </c>
      <c r="K605" s="1">
        <v>17000</v>
      </c>
    </row>
    <row r="606" spans="1:11" x14ac:dyDescent="0.25">
      <c r="A606" t="s">
        <v>2471</v>
      </c>
      <c r="B606" t="s">
        <v>2725</v>
      </c>
      <c r="C606" t="s">
        <v>16</v>
      </c>
      <c r="D606" t="s">
        <v>4465</v>
      </c>
      <c r="E606" t="s">
        <v>4429</v>
      </c>
      <c r="F606" t="s">
        <v>2740</v>
      </c>
      <c r="G606" s="2">
        <v>45341</v>
      </c>
      <c r="H606" t="s">
        <v>2472</v>
      </c>
      <c r="I606">
        <v>370.3</v>
      </c>
      <c r="J606" s="1">
        <v>80000</v>
      </c>
      <c r="K606" s="1">
        <v>80000</v>
      </c>
    </row>
    <row r="607" spans="1:11" x14ac:dyDescent="0.25">
      <c r="A607" t="s">
        <v>2473</v>
      </c>
      <c r="B607" t="s">
        <v>2724</v>
      </c>
      <c r="C607" t="s">
        <v>16</v>
      </c>
      <c r="D607" t="s">
        <v>4462</v>
      </c>
      <c r="E607" t="s">
        <v>4451</v>
      </c>
      <c r="F607" t="s">
        <v>2740</v>
      </c>
      <c r="G607" s="2">
        <v>45341</v>
      </c>
      <c r="H607" t="s">
        <v>2474</v>
      </c>
      <c r="I607">
        <v>231.4</v>
      </c>
      <c r="J607" s="1">
        <v>50000</v>
      </c>
      <c r="K607" s="1">
        <v>50000</v>
      </c>
    </row>
    <row r="608" spans="1:11" x14ac:dyDescent="0.25">
      <c r="A608" t="s">
        <v>2479</v>
      </c>
      <c r="B608" t="s">
        <v>66</v>
      </c>
      <c r="C608" t="s">
        <v>35</v>
      </c>
      <c r="D608" t="s">
        <v>4466</v>
      </c>
      <c r="E608" t="s">
        <v>3304</v>
      </c>
      <c r="F608" t="s">
        <v>2740</v>
      </c>
      <c r="G608" s="2">
        <v>45341</v>
      </c>
      <c r="H608" t="s">
        <v>2480</v>
      </c>
      <c r="I608">
        <v>231.5</v>
      </c>
      <c r="J608" s="1">
        <v>50000</v>
      </c>
      <c r="K608" s="1">
        <v>50000</v>
      </c>
    </row>
    <row r="609" spans="1:11" x14ac:dyDescent="0.25">
      <c r="A609" t="s">
        <v>2458</v>
      </c>
      <c r="B609" t="s">
        <v>2712</v>
      </c>
      <c r="C609" t="s">
        <v>16</v>
      </c>
      <c r="D609" t="s">
        <v>4461</v>
      </c>
      <c r="E609" t="s">
        <v>4449</v>
      </c>
      <c r="F609" t="s">
        <v>2740</v>
      </c>
      <c r="G609" s="2">
        <v>45342</v>
      </c>
      <c r="H609" t="s">
        <v>2459</v>
      </c>
      <c r="I609">
        <v>324</v>
      </c>
      <c r="J609" s="1">
        <v>70000</v>
      </c>
      <c r="K609" s="1">
        <v>70000</v>
      </c>
    </row>
    <row r="610" spans="1:11" x14ac:dyDescent="0.25">
      <c r="A610" t="s">
        <v>2461</v>
      </c>
      <c r="B610" t="s">
        <v>2705</v>
      </c>
      <c r="C610" t="s">
        <v>42</v>
      </c>
      <c r="D610" t="s">
        <v>4467</v>
      </c>
      <c r="E610" t="s">
        <v>4435</v>
      </c>
      <c r="F610" t="s">
        <v>2740</v>
      </c>
      <c r="G610" s="2">
        <v>45342</v>
      </c>
      <c r="H610" t="s">
        <v>2462</v>
      </c>
      <c r="I610">
        <v>46.3</v>
      </c>
      <c r="J610" s="1">
        <v>10000</v>
      </c>
      <c r="K610" s="1">
        <v>10000</v>
      </c>
    </row>
    <row r="611" spans="1:11" x14ac:dyDescent="0.25">
      <c r="A611" t="s">
        <v>2463</v>
      </c>
      <c r="B611" t="s">
        <v>2729</v>
      </c>
      <c r="C611" t="s">
        <v>16</v>
      </c>
      <c r="D611" t="s">
        <v>4465</v>
      </c>
      <c r="E611" t="s">
        <v>4427</v>
      </c>
      <c r="F611" t="s">
        <v>2740</v>
      </c>
      <c r="G611" s="2">
        <v>45342</v>
      </c>
      <c r="H611" t="s">
        <v>2464</v>
      </c>
      <c r="I611">
        <v>69.400000000000006</v>
      </c>
      <c r="J611" s="1">
        <v>15000</v>
      </c>
      <c r="K611" s="1">
        <v>15000</v>
      </c>
    </row>
    <row r="612" spans="1:11" x14ac:dyDescent="0.25">
      <c r="A612" t="s">
        <v>2466</v>
      </c>
      <c r="B612" t="s">
        <v>4471</v>
      </c>
      <c r="C612" t="s">
        <v>35</v>
      </c>
      <c r="D612" t="s">
        <v>4470</v>
      </c>
      <c r="E612" t="s">
        <v>35</v>
      </c>
      <c r="F612" t="s">
        <v>2740</v>
      </c>
      <c r="G612" s="2">
        <v>45342</v>
      </c>
      <c r="H612" t="s">
        <v>2467</v>
      </c>
      <c r="I612">
        <v>92.6</v>
      </c>
      <c r="J612" s="1">
        <v>20000</v>
      </c>
      <c r="K612" s="1">
        <v>20000</v>
      </c>
    </row>
    <row r="613" spans="1:11" x14ac:dyDescent="0.25">
      <c r="A613" t="s">
        <v>2469</v>
      </c>
      <c r="B613" t="s">
        <v>2719</v>
      </c>
      <c r="C613" t="s">
        <v>16</v>
      </c>
      <c r="D613" t="s">
        <v>4466</v>
      </c>
      <c r="E613" t="s">
        <v>4430</v>
      </c>
      <c r="F613" t="s">
        <v>2740</v>
      </c>
      <c r="G613" s="2">
        <v>45342</v>
      </c>
      <c r="H613" t="s">
        <v>2470</v>
      </c>
      <c r="I613">
        <v>115.7</v>
      </c>
      <c r="J613" s="1">
        <v>25000</v>
      </c>
      <c r="K613" s="1">
        <v>25000</v>
      </c>
    </row>
    <row r="614" spans="1:11" x14ac:dyDescent="0.25">
      <c r="A614" t="s">
        <v>2455</v>
      </c>
      <c r="B614" t="s">
        <v>2735</v>
      </c>
      <c r="C614" t="s">
        <v>16</v>
      </c>
      <c r="D614" t="s">
        <v>4462</v>
      </c>
      <c r="E614" t="s">
        <v>4426</v>
      </c>
      <c r="F614" t="s">
        <v>2740</v>
      </c>
      <c r="G614" s="2">
        <v>45343</v>
      </c>
      <c r="H614" t="s">
        <v>2456</v>
      </c>
      <c r="I614">
        <v>231.5</v>
      </c>
      <c r="J614" s="1">
        <v>50000</v>
      </c>
      <c r="K614" s="1">
        <v>50000</v>
      </c>
    </row>
    <row r="615" spans="1:11" x14ac:dyDescent="0.25">
      <c r="A615" t="s">
        <v>2453</v>
      </c>
      <c r="B615" t="s">
        <v>2735</v>
      </c>
      <c r="C615" t="s">
        <v>16</v>
      </c>
      <c r="D615" t="s">
        <v>4462</v>
      </c>
      <c r="E615" t="s">
        <v>4426</v>
      </c>
      <c r="F615" t="s">
        <v>2740</v>
      </c>
      <c r="G615" s="2">
        <v>45343</v>
      </c>
      <c r="H615" t="s">
        <v>2454</v>
      </c>
      <c r="I615">
        <v>138.9</v>
      </c>
      <c r="J615" s="1">
        <v>30000</v>
      </c>
      <c r="K615" s="1">
        <v>30000</v>
      </c>
    </row>
    <row r="616" spans="1:11" x14ac:dyDescent="0.25">
      <c r="A616" t="s">
        <v>2447</v>
      </c>
      <c r="B616" t="s">
        <v>2721</v>
      </c>
      <c r="C616" t="s">
        <v>16</v>
      </c>
      <c r="D616" t="s">
        <v>4466</v>
      </c>
      <c r="E616" t="s">
        <v>4438</v>
      </c>
      <c r="F616" t="s">
        <v>2740</v>
      </c>
      <c r="G616" s="2">
        <v>45344</v>
      </c>
      <c r="H616" t="s">
        <v>2448</v>
      </c>
      <c r="I616">
        <v>231.4</v>
      </c>
      <c r="J616" s="1">
        <v>50000</v>
      </c>
      <c r="K616" s="1">
        <v>50000</v>
      </c>
    </row>
    <row r="617" spans="1:11" x14ac:dyDescent="0.25">
      <c r="A617" t="s">
        <v>2430</v>
      </c>
      <c r="B617" t="s">
        <v>2713</v>
      </c>
      <c r="C617" t="s">
        <v>16</v>
      </c>
      <c r="D617" t="s">
        <v>4465</v>
      </c>
      <c r="E617" t="s">
        <v>4428</v>
      </c>
      <c r="F617" t="s">
        <v>2740</v>
      </c>
      <c r="G617" s="2">
        <v>45344</v>
      </c>
      <c r="H617" t="s">
        <v>2431</v>
      </c>
      <c r="I617">
        <v>463</v>
      </c>
      <c r="J617" s="1">
        <v>100000</v>
      </c>
      <c r="K617" s="1">
        <v>100000</v>
      </c>
    </row>
    <row r="618" spans="1:11" x14ac:dyDescent="0.25">
      <c r="A618" t="s">
        <v>2432</v>
      </c>
      <c r="B618" t="s">
        <v>2701</v>
      </c>
      <c r="C618" t="s">
        <v>16</v>
      </c>
      <c r="D618" t="s">
        <v>4466</v>
      </c>
      <c r="E618" t="s">
        <v>4453</v>
      </c>
      <c r="F618" t="s">
        <v>2740</v>
      </c>
      <c r="G618" s="2">
        <v>45344</v>
      </c>
      <c r="H618" t="s">
        <v>2433</v>
      </c>
      <c r="I618">
        <v>51</v>
      </c>
      <c r="J618" s="1">
        <v>11000</v>
      </c>
      <c r="K618" s="1">
        <v>11000</v>
      </c>
    </row>
    <row r="619" spans="1:11" x14ac:dyDescent="0.25">
      <c r="A619" t="s">
        <v>2436</v>
      </c>
      <c r="B619" t="s">
        <v>2702</v>
      </c>
      <c r="C619" t="s">
        <v>35</v>
      </c>
      <c r="D619" t="s">
        <v>3305</v>
      </c>
      <c r="E619" t="s">
        <v>3304</v>
      </c>
      <c r="F619" t="s">
        <v>2740</v>
      </c>
      <c r="G619" s="2">
        <v>45344</v>
      </c>
      <c r="H619" t="s">
        <v>2437</v>
      </c>
      <c r="I619">
        <v>231.5</v>
      </c>
      <c r="J619" s="1">
        <v>50000</v>
      </c>
      <c r="K619" s="1">
        <v>50000</v>
      </c>
    </row>
    <row r="620" spans="1:11" x14ac:dyDescent="0.25">
      <c r="A620" t="s">
        <v>2438</v>
      </c>
      <c r="B620" t="s">
        <v>4463</v>
      </c>
      <c r="C620" t="s">
        <v>35</v>
      </c>
      <c r="D620" t="s">
        <v>4464</v>
      </c>
      <c r="E620" t="s">
        <v>3304</v>
      </c>
      <c r="F620" t="s">
        <v>2740</v>
      </c>
      <c r="G620" s="2">
        <v>45344</v>
      </c>
      <c r="H620" t="s">
        <v>2439</v>
      </c>
      <c r="I620">
        <v>463</v>
      </c>
      <c r="J620" s="1">
        <v>100000</v>
      </c>
      <c r="K620" s="1">
        <v>100000</v>
      </c>
    </row>
    <row r="621" spans="1:11" x14ac:dyDescent="0.25">
      <c r="A621" t="s">
        <v>2440</v>
      </c>
      <c r="B621" t="s">
        <v>2699</v>
      </c>
      <c r="C621" t="s">
        <v>16</v>
      </c>
      <c r="D621" t="s">
        <v>4462</v>
      </c>
      <c r="E621" t="s">
        <v>4440</v>
      </c>
      <c r="F621" t="s">
        <v>2740</v>
      </c>
      <c r="G621" s="2">
        <v>45344</v>
      </c>
      <c r="H621" t="s">
        <v>2441</v>
      </c>
      <c r="I621">
        <v>92.6</v>
      </c>
      <c r="J621" s="1">
        <v>20000</v>
      </c>
      <c r="K621" s="1">
        <v>20000</v>
      </c>
    </row>
    <row r="622" spans="1:11" x14ac:dyDescent="0.25">
      <c r="A622" t="s">
        <v>2444</v>
      </c>
      <c r="B622" t="s">
        <v>2710</v>
      </c>
      <c r="C622" t="s">
        <v>42</v>
      </c>
      <c r="D622" t="s">
        <v>4467</v>
      </c>
      <c r="E622" t="s">
        <v>4436</v>
      </c>
      <c r="F622" t="s">
        <v>2740</v>
      </c>
      <c r="G622" s="2">
        <v>45344</v>
      </c>
      <c r="H622" t="s">
        <v>2445</v>
      </c>
      <c r="I622">
        <v>463</v>
      </c>
      <c r="J622" s="1">
        <v>100000</v>
      </c>
      <c r="K622" s="1">
        <v>100000</v>
      </c>
    </row>
    <row r="623" spans="1:11" x14ac:dyDescent="0.25">
      <c r="A623" t="s">
        <v>2449</v>
      </c>
      <c r="B623" t="s">
        <v>2722</v>
      </c>
      <c r="C623" t="s">
        <v>16</v>
      </c>
      <c r="D623" t="s">
        <v>4462</v>
      </c>
      <c r="E623" t="s">
        <v>4446</v>
      </c>
      <c r="F623" t="s">
        <v>2740</v>
      </c>
      <c r="G623" s="2">
        <v>45344</v>
      </c>
      <c r="H623" t="s">
        <v>2450</v>
      </c>
      <c r="I623">
        <v>92.6</v>
      </c>
      <c r="J623" s="1">
        <v>20000</v>
      </c>
      <c r="K623" s="1">
        <v>20000</v>
      </c>
    </row>
    <row r="624" spans="1:11" x14ac:dyDescent="0.25">
      <c r="A624" t="s">
        <v>2425</v>
      </c>
      <c r="B624" t="s">
        <v>4472</v>
      </c>
      <c r="C624" t="s">
        <v>16</v>
      </c>
      <c r="D624" t="s">
        <v>4461</v>
      </c>
      <c r="E624" t="s">
        <v>4373</v>
      </c>
      <c r="F624" t="s">
        <v>2740</v>
      </c>
      <c r="G624" s="2">
        <v>45345</v>
      </c>
      <c r="H624" t="s">
        <v>2426</v>
      </c>
      <c r="I624">
        <v>1157.5</v>
      </c>
      <c r="J624" s="1">
        <v>250000</v>
      </c>
      <c r="K624" s="1">
        <v>250000</v>
      </c>
    </row>
    <row r="625" spans="1:11" x14ac:dyDescent="0.25">
      <c r="A625" t="s">
        <v>2418</v>
      </c>
      <c r="B625" t="s">
        <v>2709</v>
      </c>
      <c r="C625" t="s">
        <v>42</v>
      </c>
      <c r="D625" t="s">
        <v>4467</v>
      </c>
      <c r="E625" t="s">
        <v>4456</v>
      </c>
      <c r="F625" t="s">
        <v>2740</v>
      </c>
      <c r="G625" s="2">
        <v>45347</v>
      </c>
      <c r="H625" t="s">
        <v>2419</v>
      </c>
      <c r="I625">
        <v>509.3</v>
      </c>
      <c r="J625" s="1">
        <v>110000</v>
      </c>
      <c r="K625" s="1">
        <v>110000</v>
      </c>
    </row>
    <row r="626" spans="1:11" x14ac:dyDescent="0.25">
      <c r="A626" t="s">
        <v>2420</v>
      </c>
      <c r="B626" t="s">
        <v>2727</v>
      </c>
      <c r="C626" t="s">
        <v>16</v>
      </c>
      <c r="D626" t="s">
        <v>4465</v>
      </c>
      <c r="E626" t="s">
        <v>4445</v>
      </c>
      <c r="F626" t="s">
        <v>2740</v>
      </c>
      <c r="G626" s="2">
        <v>45347</v>
      </c>
      <c r="H626" t="s">
        <v>2421</v>
      </c>
      <c r="I626">
        <v>92.6</v>
      </c>
      <c r="J626" s="1">
        <v>20000</v>
      </c>
      <c r="K626" s="1">
        <v>20000</v>
      </c>
    </row>
    <row r="627" spans="1:11" x14ac:dyDescent="0.25">
      <c r="A627" t="s">
        <v>2422</v>
      </c>
      <c r="B627" t="s">
        <v>2708</v>
      </c>
      <c r="C627" t="s">
        <v>16</v>
      </c>
      <c r="D627" t="s">
        <v>4466</v>
      </c>
      <c r="E627" t="s">
        <v>4457</v>
      </c>
      <c r="F627" t="s">
        <v>2740</v>
      </c>
      <c r="G627" s="2">
        <v>45347</v>
      </c>
      <c r="H627" t="s">
        <v>2423</v>
      </c>
      <c r="I627">
        <v>231.5</v>
      </c>
      <c r="J627" s="1">
        <v>50000</v>
      </c>
      <c r="K627" s="1">
        <v>50000</v>
      </c>
    </row>
    <row r="628" spans="1:11" x14ac:dyDescent="0.25">
      <c r="A628" t="s">
        <v>2409</v>
      </c>
      <c r="B628" t="s">
        <v>2733</v>
      </c>
      <c r="C628" t="s">
        <v>16</v>
      </c>
      <c r="D628" t="s">
        <v>4465</v>
      </c>
      <c r="E628" t="s">
        <v>4448</v>
      </c>
      <c r="F628" t="s">
        <v>2740</v>
      </c>
      <c r="G628" s="2">
        <v>45348</v>
      </c>
      <c r="H628" t="s">
        <v>2410</v>
      </c>
      <c r="I628">
        <v>277.8</v>
      </c>
      <c r="J628" s="1">
        <v>60000</v>
      </c>
      <c r="K628" s="1">
        <v>60000</v>
      </c>
    </row>
    <row r="629" spans="1:11" x14ac:dyDescent="0.25">
      <c r="A629" t="s">
        <v>2403</v>
      </c>
      <c r="B629" t="s">
        <v>2718</v>
      </c>
      <c r="C629" t="s">
        <v>16</v>
      </c>
      <c r="D629" t="s">
        <v>4466</v>
      </c>
      <c r="E629" t="s">
        <v>4438</v>
      </c>
      <c r="F629" t="s">
        <v>2740</v>
      </c>
      <c r="G629" s="2">
        <v>45348</v>
      </c>
      <c r="H629" t="s">
        <v>2404</v>
      </c>
      <c r="I629">
        <v>138.9</v>
      </c>
      <c r="J629" s="1">
        <v>30000</v>
      </c>
      <c r="K629" s="1">
        <v>30000</v>
      </c>
    </row>
    <row r="630" spans="1:11" x14ac:dyDescent="0.25">
      <c r="A630" t="s">
        <v>2405</v>
      </c>
      <c r="B630" t="s">
        <v>2722</v>
      </c>
      <c r="C630" t="s">
        <v>16</v>
      </c>
      <c r="D630" t="s">
        <v>4462</v>
      </c>
      <c r="E630" t="s">
        <v>4446</v>
      </c>
      <c r="F630" t="s">
        <v>2740</v>
      </c>
      <c r="G630" s="2">
        <v>45348</v>
      </c>
      <c r="H630" t="s">
        <v>2406</v>
      </c>
      <c r="I630">
        <v>46.3</v>
      </c>
      <c r="J630" s="1">
        <v>10000</v>
      </c>
      <c r="K630" s="1">
        <v>10000</v>
      </c>
    </row>
    <row r="631" spans="1:11" x14ac:dyDescent="0.25">
      <c r="A631" t="s">
        <v>2407</v>
      </c>
      <c r="B631" t="s">
        <v>2701</v>
      </c>
      <c r="C631" t="s">
        <v>16</v>
      </c>
      <c r="D631" t="s">
        <v>4466</v>
      </c>
      <c r="E631" t="s">
        <v>4453</v>
      </c>
      <c r="F631" t="s">
        <v>2740</v>
      </c>
      <c r="G631" s="2">
        <v>45348</v>
      </c>
      <c r="H631" t="s">
        <v>2408</v>
      </c>
      <c r="I631">
        <v>69.400000000000006</v>
      </c>
      <c r="J631" s="1">
        <v>15000</v>
      </c>
      <c r="K631" s="1">
        <v>15000</v>
      </c>
    </row>
    <row r="632" spans="1:11" x14ac:dyDescent="0.25">
      <c r="A632" t="s">
        <v>2411</v>
      </c>
      <c r="B632" t="s">
        <v>4463</v>
      </c>
      <c r="C632" t="s">
        <v>35</v>
      </c>
      <c r="D632" t="s">
        <v>4464</v>
      </c>
      <c r="E632" t="s">
        <v>3304</v>
      </c>
      <c r="F632" t="s">
        <v>2740</v>
      </c>
      <c r="G632" s="2">
        <v>45348</v>
      </c>
      <c r="H632" t="s">
        <v>2412</v>
      </c>
      <c r="I632">
        <v>462.9</v>
      </c>
      <c r="J632" s="1">
        <v>100000</v>
      </c>
      <c r="K632" s="1">
        <v>100000</v>
      </c>
    </row>
    <row r="633" spans="1:11" x14ac:dyDescent="0.25">
      <c r="A633" t="s">
        <v>2414</v>
      </c>
      <c r="B633" t="s">
        <v>4471</v>
      </c>
      <c r="C633" t="s">
        <v>35</v>
      </c>
      <c r="D633" t="s">
        <v>4470</v>
      </c>
      <c r="E633" t="s">
        <v>35</v>
      </c>
      <c r="F633" t="s">
        <v>2740</v>
      </c>
      <c r="G633" s="2">
        <v>45348</v>
      </c>
      <c r="H633" t="s">
        <v>2415</v>
      </c>
      <c r="I633">
        <v>92.5</v>
      </c>
      <c r="J633" s="1">
        <v>20000</v>
      </c>
      <c r="K633" s="1">
        <v>20000</v>
      </c>
    </row>
    <row r="634" spans="1:11" x14ac:dyDescent="0.25">
      <c r="A634" t="s">
        <v>2416</v>
      </c>
      <c r="B634" t="s">
        <v>2719</v>
      </c>
      <c r="C634" t="s">
        <v>16</v>
      </c>
      <c r="D634" t="s">
        <v>4466</v>
      </c>
      <c r="E634" t="s">
        <v>4430</v>
      </c>
      <c r="F634" t="s">
        <v>2740</v>
      </c>
      <c r="G634" s="2">
        <v>45348</v>
      </c>
      <c r="H634" t="s">
        <v>2417</v>
      </c>
      <c r="I634">
        <v>115.8</v>
      </c>
      <c r="J634" s="1">
        <v>25000</v>
      </c>
      <c r="K634" s="1">
        <v>25000</v>
      </c>
    </row>
    <row r="635" spans="1:11" x14ac:dyDescent="0.25">
      <c r="A635" t="s">
        <v>2396</v>
      </c>
      <c r="B635" t="s">
        <v>2716</v>
      </c>
      <c r="C635" t="s">
        <v>16</v>
      </c>
      <c r="D635" t="s">
        <v>4462</v>
      </c>
      <c r="E635" t="s">
        <v>4458</v>
      </c>
      <c r="F635" t="s">
        <v>2740</v>
      </c>
      <c r="G635" s="2">
        <v>45349</v>
      </c>
      <c r="H635" t="s">
        <v>2397</v>
      </c>
      <c r="I635">
        <v>231.5</v>
      </c>
      <c r="J635" s="1">
        <v>50000</v>
      </c>
      <c r="K635" s="1">
        <v>50000</v>
      </c>
    </row>
    <row r="636" spans="1:11" x14ac:dyDescent="0.25">
      <c r="A636" t="s">
        <v>2401</v>
      </c>
      <c r="B636" t="s">
        <v>2717</v>
      </c>
      <c r="C636" t="s">
        <v>16</v>
      </c>
      <c r="D636" t="s">
        <v>4466</v>
      </c>
      <c r="E636" t="s">
        <v>4431</v>
      </c>
      <c r="F636" t="s">
        <v>2740</v>
      </c>
      <c r="G636" s="2">
        <v>45349</v>
      </c>
      <c r="H636" t="s">
        <v>2402</v>
      </c>
      <c r="I636">
        <v>231.5</v>
      </c>
      <c r="J636" s="1">
        <v>50000</v>
      </c>
      <c r="K636" s="1">
        <v>50000</v>
      </c>
    </row>
    <row r="637" spans="1:11" x14ac:dyDescent="0.25">
      <c r="A637" t="s">
        <v>2399</v>
      </c>
      <c r="B637" t="s">
        <v>66</v>
      </c>
      <c r="C637" t="s">
        <v>35</v>
      </c>
      <c r="D637" t="s">
        <v>4466</v>
      </c>
      <c r="E637" t="s">
        <v>3304</v>
      </c>
      <c r="F637" t="s">
        <v>2740</v>
      </c>
      <c r="G637" s="2">
        <v>45349</v>
      </c>
      <c r="H637" t="s">
        <v>2400</v>
      </c>
      <c r="I637">
        <v>231.5</v>
      </c>
      <c r="J637" s="1">
        <v>50000</v>
      </c>
      <c r="K637" s="1">
        <v>50000</v>
      </c>
    </row>
    <row r="638" spans="1:11" x14ac:dyDescent="0.25">
      <c r="A638" t="s">
        <v>2392</v>
      </c>
      <c r="B638" t="s">
        <v>2729</v>
      </c>
      <c r="C638" t="s">
        <v>16</v>
      </c>
      <c r="D638" t="s">
        <v>4465</v>
      </c>
      <c r="E638" t="s">
        <v>4427</v>
      </c>
      <c r="F638" t="s">
        <v>2740</v>
      </c>
      <c r="G638" s="2">
        <v>45350</v>
      </c>
      <c r="H638" t="s">
        <v>2393</v>
      </c>
      <c r="I638">
        <v>138.9</v>
      </c>
      <c r="J638" s="1">
        <v>30000</v>
      </c>
      <c r="K638" s="1">
        <v>30000</v>
      </c>
    </row>
    <row r="639" spans="1:11" x14ac:dyDescent="0.25">
      <c r="A639" t="s">
        <v>2394</v>
      </c>
      <c r="B639" t="s">
        <v>2704</v>
      </c>
      <c r="C639" t="s">
        <v>35</v>
      </c>
      <c r="D639" t="s">
        <v>42</v>
      </c>
      <c r="E639" t="s">
        <v>3275</v>
      </c>
      <c r="F639" t="s">
        <v>2740</v>
      </c>
      <c r="G639" s="2">
        <v>45350</v>
      </c>
      <c r="H639" t="s">
        <v>2395</v>
      </c>
      <c r="I639">
        <v>46.3</v>
      </c>
      <c r="J639" s="1">
        <v>10000</v>
      </c>
      <c r="K639" s="1">
        <v>10000</v>
      </c>
    </row>
    <row r="640" spans="1:11" x14ac:dyDescent="0.25">
      <c r="A640" t="s">
        <v>2373</v>
      </c>
      <c r="B640" t="s">
        <v>2728</v>
      </c>
      <c r="C640" t="s">
        <v>16</v>
      </c>
      <c r="D640" t="s">
        <v>4465</v>
      </c>
      <c r="E640" t="s">
        <v>4439</v>
      </c>
      <c r="F640" t="s">
        <v>2740</v>
      </c>
      <c r="G640" s="2">
        <v>45351</v>
      </c>
      <c r="H640" t="s">
        <v>2374</v>
      </c>
      <c r="I640">
        <v>625</v>
      </c>
      <c r="J640" s="1">
        <v>135000</v>
      </c>
      <c r="K640" s="1">
        <v>135000</v>
      </c>
    </row>
    <row r="641" spans="1:11" x14ac:dyDescent="0.25">
      <c r="A641" t="s">
        <v>2388</v>
      </c>
      <c r="B641" t="s">
        <v>2726</v>
      </c>
      <c r="C641" t="s">
        <v>16</v>
      </c>
      <c r="D641" t="s">
        <v>4466</v>
      </c>
      <c r="E641" t="s">
        <v>4437</v>
      </c>
      <c r="F641" t="s">
        <v>2740</v>
      </c>
      <c r="G641" s="2">
        <v>45351</v>
      </c>
      <c r="H641" t="s">
        <v>2389</v>
      </c>
      <c r="I641">
        <v>462.5</v>
      </c>
      <c r="J641" s="1">
        <v>99900</v>
      </c>
      <c r="K641" s="1">
        <v>99900</v>
      </c>
    </row>
    <row r="642" spans="1:11" x14ac:dyDescent="0.25">
      <c r="A642" t="s">
        <v>2361</v>
      </c>
      <c r="B642" t="s">
        <v>2735</v>
      </c>
      <c r="C642" t="s">
        <v>16</v>
      </c>
      <c r="D642" t="s">
        <v>4462</v>
      </c>
      <c r="E642" t="s">
        <v>4426</v>
      </c>
      <c r="F642" t="s">
        <v>2740</v>
      </c>
      <c r="G642" s="2">
        <v>45351</v>
      </c>
      <c r="H642" t="s">
        <v>2362</v>
      </c>
      <c r="I642">
        <v>104.1</v>
      </c>
      <c r="J642" s="1">
        <v>22500</v>
      </c>
      <c r="K642" s="1">
        <v>22500</v>
      </c>
    </row>
    <row r="643" spans="1:11" x14ac:dyDescent="0.25">
      <c r="A643" t="s">
        <v>2363</v>
      </c>
      <c r="B643" t="s">
        <v>2735</v>
      </c>
      <c r="C643" t="s">
        <v>16</v>
      </c>
      <c r="D643" t="s">
        <v>4462</v>
      </c>
      <c r="E643" t="s">
        <v>4426</v>
      </c>
      <c r="F643" t="s">
        <v>2740</v>
      </c>
      <c r="G643" s="2">
        <v>45351</v>
      </c>
      <c r="H643" t="s">
        <v>2364</v>
      </c>
      <c r="I643">
        <v>138.9</v>
      </c>
      <c r="J643" s="1">
        <v>30000</v>
      </c>
      <c r="K643" s="1">
        <v>30000</v>
      </c>
    </row>
    <row r="644" spans="1:11" x14ac:dyDescent="0.25">
      <c r="A644" t="s">
        <v>2365</v>
      </c>
      <c r="B644" t="s">
        <v>2735</v>
      </c>
      <c r="C644" t="s">
        <v>16</v>
      </c>
      <c r="D644" t="s">
        <v>4462</v>
      </c>
      <c r="E644" t="s">
        <v>4426</v>
      </c>
      <c r="F644" t="s">
        <v>2740</v>
      </c>
      <c r="G644" s="2">
        <v>45351</v>
      </c>
      <c r="H644" t="s">
        <v>2366</v>
      </c>
      <c r="I644">
        <v>231.5</v>
      </c>
      <c r="J644" s="1">
        <v>50000</v>
      </c>
      <c r="K644" s="1">
        <v>50000</v>
      </c>
    </row>
    <row r="645" spans="1:11" x14ac:dyDescent="0.25">
      <c r="A645" t="s">
        <v>2367</v>
      </c>
      <c r="B645" t="s">
        <v>2728</v>
      </c>
      <c r="C645" t="s">
        <v>16</v>
      </c>
      <c r="D645" t="s">
        <v>4465</v>
      </c>
      <c r="E645" t="s">
        <v>4439</v>
      </c>
      <c r="F645" t="s">
        <v>2740</v>
      </c>
      <c r="G645" s="2">
        <v>45351</v>
      </c>
      <c r="H645" t="s">
        <v>2368</v>
      </c>
      <c r="I645">
        <v>69.400000000000006</v>
      </c>
      <c r="J645" s="1">
        <v>15000</v>
      </c>
      <c r="K645" s="1">
        <v>15000</v>
      </c>
    </row>
    <row r="646" spans="1:11" x14ac:dyDescent="0.25">
      <c r="A646" t="s">
        <v>2369</v>
      </c>
      <c r="B646" t="s">
        <v>2712</v>
      </c>
      <c r="C646" t="s">
        <v>16</v>
      </c>
      <c r="D646" t="s">
        <v>4461</v>
      </c>
      <c r="E646" t="s">
        <v>4449</v>
      </c>
      <c r="F646" t="s">
        <v>2740</v>
      </c>
      <c r="G646" s="2">
        <v>45351</v>
      </c>
      <c r="H646" t="s">
        <v>2370</v>
      </c>
      <c r="I646">
        <v>231.5</v>
      </c>
      <c r="J646" s="1">
        <v>50000</v>
      </c>
      <c r="K646" s="1">
        <v>50000</v>
      </c>
    </row>
    <row r="647" spans="1:11" x14ac:dyDescent="0.25">
      <c r="A647" t="s">
        <v>2371</v>
      </c>
      <c r="B647" t="s">
        <v>2707</v>
      </c>
      <c r="C647" t="s">
        <v>16</v>
      </c>
      <c r="D647" t="s">
        <v>4462</v>
      </c>
      <c r="E647" t="s">
        <v>4433</v>
      </c>
      <c r="F647" t="s">
        <v>2740</v>
      </c>
      <c r="G647" s="2">
        <v>45351</v>
      </c>
      <c r="H647" t="s">
        <v>2372</v>
      </c>
      <c r="I647">
        <v>231.5</v>
      </c>
      <c r="J647" s="1">
        <v>50000</v>
      </c>
      <c r="K647" s="1">
        <v>50000</v>
      </c>
    </row>
    <row r="648" spans="1:11" x14ac:dyDescent="0.25">
      <c r="A648" t="s">
        <v>2375</v>
      </c>
      <c r="B648" t="s">
        <v>2701</v>
      </c>
      <c r="C648" t="s">
        <v>16</v>
      </c>
      <c r="D648" t="s">
        <v>4466</v>
      </c>
      <c r="E648" t="s">
        <v>4453</v>
      </c>
      <c r="F648" t="s">
        <v>2740</v>
      </c>
      <c r="G648" s="2">
        <v>45351</v>
      </c>
      <c r="H648" t="s">
        <v>2376</v>
      </c>
      <c r="I648">
        <v>46.3</v>
      </c>
      <c r="J648" s="1">
        <v>10000</v>
      </c>
      <c r="K648" s="1">
        <v>10000</v>
      </c>
    </row>
    <row r="649" spans="1:11" x14ac:dyDescent="0.25">
      <c r="A649" t="s">
        <v>2377</v>
      </c>
      <c r="B649" t="s">
        <v>2719</v>
      </c>
      <c r="C649" t="s">
        <v>16</v>
      </c>
      <c r="D649" t="s">
        <v>4466</v>
      </c>
      <c r="E649" t="s">
        <v>4430</v>
      </c>
      <c r="F649" t="s">
        <v>2740</v>
      </c>
      <c r="G649" s="2">
        <v>45351</v>
      </c>
      <c r="H649" t="s">
        <v>2378</v>
      </c>
      <c r="I649">
        <v>231.5</v>
      </c>
      <c r="J649" s="1">
        <v>50000</v>
      </c>
      <c r="K649" s="1">
        <v>50000</v>
      </c>
    </row>
    <row r="650" spans="1:11" x14ac:dyDescent="0.25">
      <c r="A650" t="s">
        <v>2379</v>
      </c>
      <c r="B650" t="s">
        <v>2713</v>
      </c>
      <c r="C650" t="s">
        <v>16</v>
      </c>
      <c r="D650" t="s">
        <v>4465</v>
      </c>
      <c r="E650" t="s">
        <v>4428</v>
      </c>
      <c r="F650" t="s">
        <v>2740</v>
      </c>
      <c r="G650" s="2">
        <v>45351</v>
      </c>
      <c r="H650" t="s">
        <v>2380</v>
      </c>
      <c r="I650">
        <v>1157.4000000000001</v>
      </c>
      <c r="J650" s="1">
        <v>250000</v>
      </c>
      <c r="K650" s="1">
        <v>250000</v>
      </c>
    </row>
    <row r="651" spans="1:11" x14ac:dyDescent="0.25">
      <c r="A651" t="s">
        <v>2381</v>
      </c>
      <c r="B651" t="s">
        <v>2707</v>
      </c>
      <c r="C651" t="s">
        <v>16</v>
      </c>
      <c r="D651" t="s">
        <v>4462</v>
      </c>
      <c r="E651" t="s">
        <v>4433</v>
      </c>
      <c r="F651" t="s">
        <v>2740</v>
      </c>
      <c r="G651" s="2">
        <v>45351</v>
      </c>
      <c r="H651" t="s">
        <v>2382</v>
      </c>
      <c r="I651">
        <v>833.3</v>
      </c>
      <c r="J651" s="1">
        <v>180000</v>
      </c>
      <c r="K651" s="1">
        <v>180000</v>
      </c>
    </row>
    <row r="652" spans="1:11" x14ac:dyDescent="0.25">
      <c r="A652" t="s">
        <v>2383</v>
      </c>
      <c r="B652" t="s">
        <v>2737</v>
      </c>
      <c r="C652" t="s">
        <v>16</v>
      </c>
      <c r="D652" t="s">
        <v>4466</v>
      </c>
      <c r="E652" t="s">
        <v>4432</v>
      </c>
      <c r="F652" t="s">
        <v>2740</v>
      </c>
      <c r="G652" s="2">
        <v>45351</v>
      </c>
      <c r="H652" t="s">
        <v>2384</v>
      </c>
      <c r="I652">
        <v>370.4</v>
      </c>
      <c r="J652" s="1">
        <v>80000</v>
      </c>
      <c r="K652" s="1">
        <v>80000</v>
      </c>
    </row>
    <row r="653" spans="1:11" x14ac:dyDescent="0.25">
      <c r="A653" t="s">
        <v>2386</v>
      </c>
      <c r="B653" t="s">
        <v>2722</v>
      </c>
      <c r="C653" t="s">
        <v>16</v>
      </c>
      <c r="D653" t="s">
        <v>4462</v>
      </c>
      <c r="E653" t="s">
        <v>4446</v>
      </c>
      <c r="F653" t="s">
        <v>2740</v>
      </c>
      <c r="G653" s="2">
        <v>45351</v>
      </c>
      <c r="H653" t="s">
        <v>2387</v>
      </c>
      <c r="I653">
        <v>231.5</v>
      </c>
      <c r="J653" s="1">
        <v>50000</v>
      </c>
      <c r="K653" s="1">
        <v>50000</v>
      </c>
    </row>
    <row r="654" spans="1:11" x14ac:dyDescent="0.25">
      <c r="A654" t="s">
        <v>2390</v>
      </c>
      <c r="B654" t="s">
        <v>2700</v>
      </c>
      <c r="C654" t="s">
        <v>27</v>
      </c>
      <c r="D654" t="s">
        <v>4466</v>
      </c>
      <c r="E654" t="s">
        <v>4450</v>
      </c>
      <c r="F654" t="s">
        <v>2740</v>
      </c>
      <c r="G654" s="2">
        <v>45351</v>
      </c>
      <c r="H654" t="s">
        <v>2391</v>
      </c>
      <c r="I654">
        <v>231.4</v>
      </c>
      <c r="J654" s="1">
        <v>50000</v>
      </c>
      <c r="K654" s="1">
        <v>50000</v>
      </c>
    </row>
    <row r="655" spans="1:11" x14ac:dyDescent="0.25">
      <c r="A655" t="s">
        <v>2353</v>
      </c>
      <c r="B655" t="s">
        <v>2720</v>
      </c>
      <c r="C655" t="s">
        <v>16</v>
      </c>
      <c r="D655" t="s">
        <v>4461</v>
      </c>
      <c r="E655" t="s">
        <v>4425</v>
      </c>
      <c r="F655" t="s">
        <v>2740</v>
      </c>
      <c r="G655" s="2">
        <v>45352</v>
      </c>
      <c r="H655" t="s">
        <v>2354</v>
      </c>
      <c r="I655">
        <v>925.9</v>
      </c>
      <c r="J655" s="1">
        <v>200000</v>
      </c>
      <c r="K655" s="1">
        <v>200000</v>
      </c>
    </row>
    <row r="656" spans="1:11" x14ac:dyDescent="0.25">
      <c r="A656" t="s">
        <v>2355</v>
      </c>
      <c r="B656" t="s">
        <v>2714</v>
      </c>
      <c r="C656" t="s">
        <v>16</v>
      </c>
      <c r="D656" t="s">
        <v>4466</v>
      </c>
      <c r="E656" t="s">
        <v>4434</v>
      </c>
      <c r="F656" t="s">
        <v>2740</v>
      </c>
      <c r="G656" s="2">
        <v>45352</v>
      </c>
      <c r="H656" t="s">
        <v>2356</v>
      </c>
      <c r="I656">
        <v>463</v>
      </c>
      <c r="J656" s="1">
        <v>100000</v>
      </c>
      <c r="K656" s="1">
        <v>100000</v>
      </c>
    </row>
    <row r="657" spans="1:11" x14ac:dyDescent="0.25">
      <c r="A657" t="s">
        <v>2357</v>
      </c>
      <c r="B657" t="s">
        <v>4471</v>
      </c>
      <c r="C657" t="s">
        <v>35</v>
      </c>
      <c r="D657" t="s">
        <v>4470</v>
      </c>
      <c r="E657" t="s">
        <v>35</v>
      </c>
      <c r="F657" t="s">
        <v>2740</v>
      </c>
      <c r="G657" s="2">
        <v>45352</v>
      </c>
      <c r="H657" t="s">
        <v>2358</v>
      </c>
      <c r="I657">
        <v>92.6</v>
      </c>
      <c r="J657" s="1">
        <v>20000</v>
      </c>
      <c r="K657" s="1">
        <v>20000</v>
      </c>
    </row>
    <row r="658" spans="1:11" x14ac:dyDescent="0.25">
      <c r="A658" t="s">
        <v>2359</v>
      </c>
      <c r="B658" t="s">
        <v>4463</v>
      </c>
      <c r="C658" t="s">
        <v>35</v>
      </c>
      <c r="D658" t="s">
        <v>4464</v>
      </c>
      <c r="E658" t="s">
        <v>3304</v>
      </c>
      <c r="F658" t="s">
        <v>2740</v>
      </c>
      <c r="G658" s="2">
        <v>45352</v>
      </c>
      <c r="H658" t="s">
        <v>2360</v>
      </c>
      <c r="I658">
        <v>463</v>
      </c>
      <c r="J658" s="1">
        <v>100000</v>
      </c>
      <c r="K658" s="1">
        <v>100000</v>
      </c>
    </row>
    <row r="659" spans="1:11" x14ac:dyDescent="0.25">
      <c r="A659" t="s">
        <v>2343</v>
      </c>
      <c r="B659" t="s">
        <v>133</v>
      </c>
      <c r="C659" t="s">
        <v>35</v>
      </c>
      <c r="D659" t="s">
        <v>4461</v>
      </c>
      <c r="E659" t="s">
        <v>3304</v>
      </c>
      <c r="F659" t="s">
        <v>2740</v>
      </c>
      <c r="G659" s="2">
        <v>45353</v>
      </c>
      <c r="H659" t="s">
        <v>2344</v>
      </c>
      <c r="I659">
        <v>211.9</v>
      </c>
      <c r="J659" s="1">
        <v>50000</v>
      </c>
      <c r="K659" s="1">
        <v>50000</v>
      </c>
    </row>
    <row r="660" spans="1:11" x14ac:dyDescent="0.25">
      <c r="A660" t="s">
        <v>2345</v>
      </c>
      <c r="B660" t="s">
        <v>93</v>
      </c>
      <c r="C660" t="s">
        <v>35</v>
      </c>
      <c r="D660" t="s">
        <v>4465</v>
      </c>
      <c r="E660" t="s">
        <v>3304</v>
      </c>
      <c r="F660" t="s">
        <v>2740</v>
      </c>
      <c r="G660" s="2">
        <v>45353</v>
      </c>
      <c r="H660" t="s">
        <v>2346</v>
      </c>
      <c r="I660">
        <v>211.9</v>
      </c>
      <c r="J660" s="1">
        <v>50000</v>
      </c>
      <c r="K660" s="1">
        <v>50000</v>
      </c>
    </row>
    <row r="661" spans="1:11" x14ac:dyDescent="0.25">
      <c r="A661" t="s">
        <v>2347</v>
      </c>
      <c r="B661" t="s">
        <v>66</v>
      </c>
      <c r="C661" t="s">
        <v>35</v>
      </c>
      <c r="D661" t="s">
        <v>4466</v>
      </c>
      <c r="E661" t="s">
        <v>3304</v>
      </c>
      <c r="F661" t="s">
        <v>2740</v>
      </c>
      <c r="G661" s="2">
        <v>45353</v>
      </c>
      <c r="H661" t="s">
        <v>2348</v>
      </c>
      <c r="I661">
        <v>211.9</v>
      </c>
      <c r="J661" s="1">
        <v>50000</v>
      </c>
      <c r="K661" s="1">
        <v>50000</v>
      </c>
    </row>
    <row r="662" spans="1:11" x14ac:dyDescent="0.25">
      <c r="A662" t="s">
        <v>2349</v>
      </c>
      <c r="B662" t="s">
        <v>2702</v>
      </c>
      <c r="C662" t="s">
        <v>35</v>
      </c>
      <c r="D662" t="s">
        <v>3305</v>
      </c>
      <c r="E662" t="s">
        <v>3304</v>
      </c>
      <c r="F662" t="s">
        <v>2740</v>
      </c>
      <c r="G662" s="2">
        <v>45353</v>
      </c>
      <c r="H662" t="s">
        <v>2350</v>
      </c>
      <c r="I662">
        <v>211.9</v>
      </c>
      <c r="J662" s="1">
        <v>50000</v>
      </c>
      <c r="K662" s="1">
        <v>50000</v>
      </c>
    </row>
    <row r="663" spans="1:11" x14ac:dyDescent="0.25">
      <c r="A663" t="s">
        <v>2351</v>
      </c>
      <c r="B663" t="s">
        <v>2704</v>
      </c>
      <c r="C663" t="s">
        <v>35</v>
      </c>
      <c r="D663" t="s">
        <v>42</v>
      </c>
      <c r="E663" t="s">
        <v>3275</v>
      </c>
      <c r="F663" t="s">
        <v>2740</v>
      </c>
      <c r="G663" s="2">
        <v>45353</v>
      </c>
      <c r="H663" t="s">
        <v>2352</v>
      </c>
      <c r="I663">
        <v>42.3</v>
      </c>
      <c r="J663" s="1">
        <v>10000</v>
      </c>
      <c r="K663" s="1">
        <v>10000</v>
      </c>
    </row>
    <row r="664" spans="1:11" x14ac:dyDescent="0.25">
      <c r="A664" t="s">
        <v>2340</v>
      </c>
      <c r="B664" t="s">
        <v>2732</v>
      </c>
      <c r="C664" t="s">
        <v>16</v>
      </c>
      <c r="D664" t="s">
        <v>4461</v>
      </c>
      <c r="E664" t="s">
        <v>4444</v>
      </c>
      <c r="F664" t="s">
        <v>2740</v>
      </c>
      <c r="G664" s="2">
        <v>45354</v>
      </c>
      <c r="H664" t="s">
        <v>2341</v>
      </c>
      <c r="I664">
        <v>36.799999999999997</v>
      </c>
      <c r="J664" s="1">
        <v>10000</v>
      </c>
      <c r="K664" s="1">
        <v>10000</v>
      </c>
    </row>
    <row r="665" spans="1:11" x14ac:dyDescent="0.25">
      <c r="A665" t="s">
        <v>2333</v>
      </c>
      <c r="B665" t="s">
        <v>2700</v>
      </c>
      <c r="C665" t="s">
        <v>27</v>
      </c>
      <c r="D665" t="s">
        <v>4466</v>
      </c>
      <c r="E665" t="s">
        <v>4450</v>
      </c>
      <c r="F665" t="s">
        <v>2740</v>
      </c>
      <c r="G665" s="2">
        <v>45355</v>
      </c>
      <c r="H665" t="s">
        <v>2334</v>
      </c>
      <c r="I665">
        <v>368.8</v>
      </c>
      <c r="J665" s="1">
        <v>100000</v>
      </c>
      <c r="K665" s="1">
        <v>100000</v>
      </c>
    </row>
    <row r="666" spans="1:11" x14ac:dyDescent="0.25">
      <c r="A666" t="s">
        <v>2335</v>
      </c>
      <c r="B666" t="s">
        <v>2705</v>
      </c>
      <c r="C666" t="s">
        <v>42</v>
      </c>
      <c r="D666" t="s">
        <v>4467</v>
      </c>
      <c r="E666" t="s">
        <v>4435</v>
      </c>
      <c r="F666" t="s">
        <v>2740</v>
      </c>
      <c r="G666" s="2">
        <v>45355</v>
      </c>
      <c r="H666" t="s">
        <v>2336</v>
      </c>
      <c r="I666">
        <v>184.3</v>
      </c>
      <c r="J666" s="1">
        <v>50000</v>
      </c>
      <c r="K666" s="1">
        <v>50000</v>
      </c>
    </row>
    <row r="667" spans="1:11" x14ac:dyDescent="0.25">
      <c r="A667" t="s">
        <v>2337</v>
      </c>
      <c r="B667" t="s">
        <v>2729</v>
      </c>
      <c r="C667" t="s">
        <v>16</v>
      </c>
      <c r="D667" t="s">
        <v>4465</v>
      </c>
      <c r="E667" t="s">
        <v>4427</v>
      </c>
      <c r="F667" t="s">
        <v>2740</v>
      </c>
      <c r="G667" s="2">
        <v>45355</v>
      </c>
      <c r="H667" t="s">
        <v>2338</v>
      </c>
      <c r="I667">
        <v>129</v>
      </c>
      <c r="J667" s="1">
        <v>35000</v>
      </c>
      <c r="K667" s="1">
        <v>35000</v>
      </c>
    </row>
    <row r="668" spans="1:11" x14ac:dyDescent="0.25">
      <c r="A668" t="s">
        <v>2327</v>
      </c>
      <c r="B668" t="s">
        <v>2724</v>
      </c>
      <c r="C668" t="s">
        <v>16</v>
      </c>
      <c r="D668" t="s">
        <v>4462</v>
      </c>
      <c r="E668" t="s">
        <v>4451</v>
      </c>
      <c r="F668" t="s">
        <v>2740</v>
      </c>
      <c r="G668" s="2">
        <v>45356</v>
      </c>
      <c r="H668" t="s">
        <v>2328</v>
      </c>
      <c r="I668">
        <v>184.4</v>
      </c>
      <c r="J668" s="1">
        <v>50000</v>
      </c>
      <c r="K668" s="1">
        <v>50000</v>
      </c>
    </row>
    <row r="669" spans="1:11" x14ac:dyDescent="0.25">
      <c r="A669" t="s">
        <v>2330</v>
      </c>
      <c r="B669" t="s">
        <v>2701</v>
      </c>
      <c r="C669" t="s">
        <v>16</v>
      </c>
      <c r="D669" t="s">
        <v>4466</v>
      </c>
      <c r="E669" t="s">
        <v>4453</v>
      </c>
      <c r="F669" t="s">
        <v>2740</v>
      </c>
      <c r="G669" s="2">
        <v>45356</v>
      </c>
      <c r="H669" t="s">
        <v>2331</v>
      </c>
      <c r="I669">
        <v>36.9</v>
      </c>
      <c r="J669" s="1">
        <v>10000</v>
      </c>
      <c r="K669" s="1">
        <v>10000</v>
      </c>
    </row>
    <row r="670" spans="1:11" x14ac:dyDescent="0.25">
      <c r="A670" t="s">
        <v>2324</v>
      </c>
      <c r="B670" t="s">
        <v>2699</v>
      </c>
      <c r="C670" t="s">
        <v>16</v>
      </c>
      <c r="D670" t="s">
        <v>4462</v>
      </c>
      <c r="E670" t="s">
        <v>4440</v>
      </c>
      <c r="F670" t="s">
        <v>2740</v>
      </c>
      <c r="G670" s="2">
        <v>45357</v>
      </c>
      <c r="H670" t="s">
        <v>2325</v>
      </c>
      <c r="I670">
        <v>73.7</v>
      </c>
      <c r="J670" s="1">
        <v>20000</v>
      </c>
      <c r="K670" s="1">
        <v>20000</v>
      </c>
    </row>
    <row r="671" spans="1:11" x14ac:dyDescent="0.25">
      <c r="A671" t="s">
        <v>2320</v>
      </c>
      <c r="B671" t="s">
        <v>2732</v>
      </c>
      <c r="C671" t="s">
        <v>16</v>
      </c>
      <c r="D671" t="s">
        <v>4461</v>
      </c>
      <c r="E671" t="s">
        <v>4444</v>
      </c>
      <c r="F671" t="s">
        <v>2740</v>
      </c>
      <c r="G671" s="2">
        <v>45357</v>
      </c>
      <c r="H671" t="s">
        <v>2321</v>
      </c>
      <c r="I671">
        <v>36.9</v>
      </c>
      <c r="J671" s="1">
        <v>10000</v>
      </c>
      <c r="K671" s="1">
        <v>10000</v>
      </c>
    </row>
    <row r="672" spans="1:11" x14ac:dyDescent="0.25">
      <c r="A672" t="s">
        <v>2322</v>
      </c>
      <c r="B672" t="s">
        <v>2732</v>
      </c>
      <c r="C672" t="s">
        <v>16</v>
      </c>
      <c r="D672" t="s">
        <v>4461</v>
      </c>
      <c r="E672" t="s">
        <v>4444</v>
      </c>
      <c r="F672" t="s">
        <v>2740</v>
      </c>
      <c r="G672" s="2">
        <v>45357</v>
      </c>
      <c r="H672" t="s">
        <v>2323</v>
      </c>
      <c r="I672">
        <v>73.8</v>
      </c>
      <c r="J672" s="1">
        <v>20000</v>
      </c>
      <c r="K672" s="1">
        <v>20000</v>
      </c>
    </row>
    <row r="673" spans="1:11" x14ac:dyDescent="0.25">
      <c r="A673" t="s">
        <v>2311</v>
      </c>
      <c r="B673" t="s">
        <v>136</v>
      </c>
      <c r="C673" t="s">
        <v>35</v>
      </c>
      <c r="D673" t="s">
        <v>4462</v>
      </c>
      <c r="E673" t="s">
        <v>3304</v>
      </c>
      <c r="F673" t="s">
        <v>2740</v>
      </c>
      <c r="G673" s="2">
        <v>45358</v>
      </c>
      <c r="H673" t="s">
        <v>2312</v>
      </c>
      <c r="I673">
        <v>184.4</v>
      </c>
      <c r="J673" s="1">
        <v>50000</v>
      </c>
      <c r="K673" s="1">
        <v>50000</v>
      </c>
    </row>
    <row r="674" spans="1:11" x14ac:dyDescent="0.25">
      <c r="A674" t="s">
        <v>2309</v>
      </c>
      <c r="B674" t="s">
        <v>2701</v>
      </c>
      <c r="C674" t="s">
        <v>16</v>
      </c>
      <c r="D674" t="s">
        <v>4466</v>
      </c>
      <c r="E674" t="s">
        <v>4453</v>
      </c>
      <c r="F674" t="s">
        <v>2740</v>
      </c>
      <c r="G674" s="2">
        <v>45358</v>
      </c>
      <c r="H674" t="s">
        <v>2310</v>
      </c>
      <c r="I674">
        <v>73.7</v>
      </c>
      <c r="J674" s="1">
        <v>20000</v>
      </c>
      <c r="K674" s="1">
        <v>20000</v>
      </c>
    </row>
    <row r="675" spans="1:11" x14ac:dyDescent="0.25">
      <c r="A675" t="s">
        <v>2313</v>
      </c>
      <c r="B675" t="s">
        <v>66</v>
      </c>
      <c r="C675" t="s">
        <v>35</v>
      </c>
      <c r="D675" t="s">
        <v>4466</v>
      </c>
      <c r="E675" t="s">
        <v>3304</v>
      </c>
      <c r="F675" t="s">
        <v>2740</v>
      </c>
      <c r="G675" s="2">
        <v>45358</v>
      </c>
      <c r="H675" t="s">
        <v>2314</v>
      </c>
      <c r="I675">
        <v>184.4</v>
      </c>
      <c r="J675" s="1">
        <v>50000</v>
      </c>
      <c r="K675" s="1">
        <v>50000</v>
      </c>
    </row>
    <row r="676" spans="1:11" x14ac:dyDescent="0.25">
      <c r="A676" t="s">
        <v>2315</v>
      </c>
      <c r="B676" t="s">
        <v>4463</v>
      </c>
      <c r="C676" t="s">
        <v>35</v>
      </c>
      <c r="D676" t="s">
        <v>4464</v>
      </c>
      <c r="E676" t="s">
        <v>3304</v>
      </c>
      <c r="F676" t="s">
        <v>2740</v>
      </c>
      <c r="G676" s="2">
        <v>45358</v>
      </c>
      <c r="H676" t="s">
        <v>2316</v>
      </c>
      <c r="I676">
        <v>368.7</v>
      </c>
      <c r="J676" s="1">
        <v>100000</v>
      </c>
      <c r="K676" s="1">
        <v>100000</v>
      </c>
    </row>
    <row r="677" spans="1:11" x14ac:dyDescent="0.25">
      <c r="A677" t="s">
        <v>2318</v>
      </c>
      <c r="B677" t="s">
        <v>4471</v>
      </c>
      <c r="C677" t="s">
        <v>35</v>
      </c>
      <c r="D677" t="s">
        <v>4470</v>
      </c>
      <c r="E677" t="s">
        <v>35</v>
      </c>
      <c r="F677" t="s">
        <v>2740</v>
      </c>
      <c r="G677" s="2">
        <v>45358</v>
      </c>
      <c r="H677" t="s">
        <v>2319</v>
      </c>
      <c r="I677">
        <v>73.8</v>
      </c>
      <c r="J677" s="1">
        <v>20000</v>
      </c>
      <c r="K677" s="1">
        <v>20000</v>
      </c>
    </row>
    <row r="678" spans="1:11" x14ac:dyDescent="0.25">
      <c r="A678" t="s">
        <v>2303</v>
      </c>
      <c r="B678" t="s">
        <v>2710</v>
      </c>
      <c r="C678" t="s">
        <v>42</v>
      </c>
      <c r="D678" t="s">
        <v>4467</v>
      </c>
      <c r="E678" t="s">
        <v>4436</v>
      </c>
      <c r="F678" t="s">
        <v>2740</v>
      </c>
      <c r="G678" s="2">
        <v>45359</v>
      </c>
      <c r="H678" t="s">
        <v>2304</v>
      </c>
      <c r="I678">
        <v>405.6</v>
      </c>
      <c r="J678" s="1">
        <v>110000</v>
      </c>
      <c r="K678" s="1">
        <v>110000</v>
      </c>
    </row>
    <row r="679" spans="1:11" x14ac:dyDescent="0.25">
      <c r="A679" t="s">
        <v>2305</v>
      </c>
      <c r="B679" t="s">
        <v>2736</v>
      </c>
      <c r="C679" t="s">
        <v>16</v>
      </c>
      <c r="D679" t="s">
        <v>4461</v>
      </c>
      <c r="E679" t="s">
        <v>4459</v>
      </c>
      <c r="F679" t="s">
        <v>2740</v>
      </c>
      <c r="G679" s="2">
        <v>45359</v>
      </c>
      <c r="H679" t="s">
        <v>2306</v>
      </c>
      <c r="I679">
        <v>110.6</v>
      </c>
      <c r="J679" s="1">
        <v>30000</v>
      </c>
      <c r="K679" s="1">
        <v>30000</v>
      </c>
    </row>
    <row r="680" spans="1:11" x14ac:dyDescent="0.25">
      <c r="A680" t="s">
        <v>2297</v>
      </c>
      <c r="B680" t="s">
        <v>2711</v>
      </c>
      <c r="C680" t="s">
        <v>16</v>
      </c>
      <c r="D680" t="s">
        <v>4461</v>
      </c>
      <c r="E680" t="s">
        <v>4447</v>
      </c>
      <c r="F680" t="s">
        <v>2740</v>
      </c>
      <c r="G680" s="2">
        <v>45360</v>
      </c>
      <c r="H680" t="s">
        <v>2298</v>
      </c>
      <c r="I680">
        <v>36.9</v>
      </c>
      <c r="J680" s="1">
        <v>10000</v>
      </c>
      <c r="K680" s="1">
        <v>10000</v>
      </c>
    </row>
    <row r="681" spans="1:11" x14ac:dyDescent="0.25">
      <c r="A681" t="s">
        <v>2295</v>
      </c>
      <c r="B681" t="s">
        <v>2711</v>
      </c>
      <c r="C681" t="s">
        <v>16</v>
      </c>
      <c r="D681" t="s">
        <v>4461</v>
      </c>
      <c r="E681" t="s">
        <v>4447</v>
      </c>
      <c r="F681" t="s">
        <v>2740</v>
      </c>
      <c r="G681" s="2">
        <v>45360</v>
      </c>
      <c r="H681" t="s">
        <v>2296</v>
      </c>
      <c r="I681">
        <v>44.2</v>
      </c>
      <c r="J681" s="1">
        <v>12000</v>
      </c>
      <c r="K681" s="1">
        <v>12000</v>
      </c>
    </row>
    <row r="682" spans="1:11" x14ac:dyDescent="0.25">
      <c r="A682" t="s">
        <v>2301</v>
      </c>
      <c r="B682" t="s">
        <v>4463</v>
      </c>
      <c r="C682" t="s">
        <v>35</v>
      </c>
      <c r="D682" t="s">
        <v>4464</v>
      </c>
      <c r="E682" t="s">
        <v>3304</v>
      </c>
      <c r="F682" t="s">
        <v>2740</v>
      </c>
      <c r="G682" s="2">
        <v>45360</v>
      </c>
      <c r="H682" t="s">
        <v>2302</v>
      </c>
      <c r="I682">
        <v>368.8</v>
      </c>
      <c r="J682" s="1">
        <v>100000</v>
      </c>
      <c r="K682" s="1">
        <v>100000</v>
      </c>
    </row>
    <row r="683" spans="1:11" x14ac:dyDescent="0.25">
      <c r="A683" t="s">
        <v>2290</v>
      </c>
      <c r="B683" t="s">
        <v>2729</v>
      </c>
      <c r="C683" t="s">
        <v>16</v>
      </c>
      <c r="D683" t="s">
        <v>4465</v>
      </c>
      <c r="E683" t="s">
        <v>4427</v>
      </c>
      <c r="F683" t="s">
        <v>2740</v>
      </c>
      <c r="G683" s="2">
        <v>45361</v>
      </c>
      <c r="H683" t="s">
        <v>2291</v>
      </c>
      <c r="I683">
        <v>129.1</v>
      </c>
      <c r="J683" s="1">
        <v>35000</v>
      </c>
      <c r="K683" s="1">
        <v>35000</v>
      </c>
    </row>
    <row r="684" spans="1:11" x14ac:dyDescent="0.25">
      <c r="A684" t="s">
        <v>2293</v>
      </c>
      <c r="B684" t="s">
        <v>2705</v>
      </c>
      <c r="C684" t="s">
        <v>42</v>
      </c>
      <c r="D684" t="s">
        <v>4467</v>
      </c>
      <c r="E684" t="s">
        <v>4435</v>
      </c>
      <c r="F684" t="s">
        <v>2740</v>
      </c>
      <c r="G684" s="2">
        <v>45361</v>
      </c>
      <c r="H684" t="s">
        <v>2294</v>
      </c>
      <c r="I684">
        <v>184.4</v>
      </c>
      <c r="J684" s="1">
        <v>50000</v>
      </c>
      <c r="K684" s="1">
        <v>50000</v>
      </c>
    </row>
    <row r="685" spans="1:11" x14ac:dyDescent="0.25">
      <c r="A685" t="s">
        <v>2285</v>
      </c>
      <c r="B685" t="s">
        <v>2725</v>
      </c>
      <c r="C685" t="s">
        <v>16</v>
      </c>
      <c r="D685" t="s">
        <v>4465</v>
      </c>
      <c r="E685" t="s">
        <v>4429</v>
      </c>
      <c r="F685" t="s">
        <v>2740</v>
      </c>
      <c r="G685" s="2">
        <v>45362</v>
      </c>
      <c r="H685" t="s">
        <v>2286</v>
      </c>
      <c r="I685">
        <v>295</v>
      </c>
      <c r="J685" s="1">
        <v>80000</v>
      </c>
      <c r="K685" s="1">
        <v>80000</v>
      </c>
    </row>
    <row r="686" spans="1:11" x14ac:dyDescent="0.25">
      <c r="A686" t="s">
        <v>2287</v>
      </c>
      <c r="B686" t="s">
        <v>2722</v>
      </c>
      <c r="C686" t="s">
        <v>16</v>
      </c>
      <c r="D686" t="s">
        <v>4462</v>
      </c>
      <c r="E686" t="s">
        <v>4446</v>
      </c>
      <c r="F686" t="s">
        <v>2740</v>
      </c>
      <c r="G686" s="2">
        <v>45362</v>
      </c>
      <c r="H686" t="s">
        <v>2288</v>
      </c>
      <c r="I686">
        <v>258.10000000000002</v>
      </c>
      <c r="J686" s="1">
        <v>70000</v>
      </c>
      <c r="K686" s="1">
        <v>70000</v>
      </c>
    </row>
    <row r="687" spans="1:11" x14ac:dyDescent="0.25">
      <c r="A687" t="s">
        <v>2283</v>
      </c>
      <c r="B687" t="s">
        <v>2719</v>
      </c>
      <c r="C687" t="s">
        <v>16</v>
      </c>
      <c r="D687" t="s">
        <v>4466</v>
      </c>
      <c r="E687" t="s">
        <v>4430</v>
      </c>
      <c r="F687" t="s">
        <v>2740</v>
      </c>
      <c r="G687" s="2">
        <v>45363</v>
      </c>
      <c r="H687" t="s">
        <v>2284</v>
      </c>
      <c r="I687">
        <v>202.8</v>
      </c>
      <c r="J687" s="1">
        <v>55000</v>
      </c>
      <c r="K687" s="1">
        <v>55000</v>
      </c>
    </row>
    <row r="688" spans="1:11" x14ac:dyDescent="0.25">
      <c r="A688" t="s">
        <v>2281</v>
      </c>
      <c r="B688" t="s">
        <v>2718</v>
      </c>
      <c r="C688" t="s">
        <v>16</v>
      </c>
      <c r="D688" t="s">
        <v>4466</v>
      </c>
      <c r="E688" t="s">
        <v>4438</v>
      </c>
      <c r="F688" t="s">
        <v>2740</v>
      </c>
      <c r="G688" s="2">
        <v>45364</v>
      </c>
      <c r="H688" t="s">
        <v>2282</v>
      </c>
      <c r="I688">
        <v>110.7</v>
      </c>
      <c r="J688" s="1">
        <v>30000</v>
      </c>
      <c r="K688" s="1">
        <v>30000</v>
      </c>
    </row>
    <row r="689" spans="1:11" x14ac:dyDescent="0.25">
      <c r="A689" t="s">
        <v>2276</v>
      </c>
      <c r="B689" t="s">
        <v>2710</v>
      </c>
      <c r="C689" t="s">
        <v>42</v>
      </c>
      <c r="D689" t="s">
        <v>4467</v>
      </c>
      <c r="E689" t="s">
        <v>4436</v>
      </c>
      <c r="F689" t="s">
        <v>2740</v>
      </c>
      <c r="G689" s="2">
        <v>45366</v>
      </c>
      <c r="H689" t="s">
        <v>2277</v>
      </c>
      <c r="I689">
        <v>405.7</v>
      </c>
      <c r="J689" s="1">
        <v>110000</v>
      </c>
      <c r="K689" s="1">
        <v>110000</v>
      </c>
    </row>
    <row r="690" spans="1:11" x14ac:dyDescent="0.25">
      <c r="A690" t="s">
        <v>2279</v>
      </c>
      <c r="B690" t="s">
        <v>2700</v>
      </c>
      <c r="C690" t="s">
        <v>27</v>
      </c>
      <c r="D690" t="s">
        <v>4466</v>
      </c>
      <c r="E690" t="s">
        <v>4450</v>
      </c>
      <c r="F690" t="s">
        <v>2740</v>
      </c>
      <c r="G690" s="2">
        <v>45366</v>
      </c>
      <c r="H690" t="s">
        <v>2280</v>
      </c>
      <c r="I690">
        <v>184.4</v>
      </c>
      <c r="J690" s="1">
        <v>50000</v>
      </c>
      <c r="K690" s="1">
        <v>50000</v>
      </c>
    </row>
    <row r="691" spans="1:11" x14ac:dyDescent="0.25">
      <c r="A691" t="s">
        <v>2266</v>
      </c>
      <c r="B691" t="s">
        <v>2711</v>
      </c>
      <c r="C691" t="s">
        <v>16</v>
      </c>
      <c r="D691" t="s">
        <v>4461</v>
      </c>
      <c r="E691" t="s">
        <v>4447</v>
      </c>
      <c r="F691" t="s">
        <v>2740</v>
      </c>
      <c r="G691" s="2">
        <v>45367</v>
      </c>
      <c r="H691" t="s">
        <v>2267</v>
      </c>
      <c r="I691">
        <v>73.8</v>
      </c>
      <c r="J691" s="1">
        <v>20000</v>
      </c>
      <c r="K691" s="1">
        <v>20000</v>
      </c>
    </row>
    <row r="692" spans="1:11" x14ac:dyDescent="0.25">
      <c r="A692" t="s">
        <v>2268</v>
      </c>
      <c r="B692" t="s">
        <v>2724</v>
      </c>
      <c r="C692" t="s">
        <v>16</v>
      </c>
      <c r="D692" t="s">
        <v>4462</v>
      </c>
      <c r="E692" t="s">
        <v>4451</v>
      </c>
      <c r="F692" t="s">
        <v>2740</v>
      </c>
      <c r="G692" s="2">
        <v>45367</v>
      </c>
      <c r="H692" t="s">
        <v>2269</v>
      </c>
      <c r="I692">
        <v>184.4</v>
      </c>
      <c r="J692" s="1">
        <v>50000</v>
      </c>
      <c r="K692" s="1">
        <v>50000</v>
      </c>
    </row>
    <row r="693" spans="1:11" x14ac:dyDescent="0.25">
      <c r="A693" t="s">
        <v>2270</v>
      </c>
      <c r="B693" t="s">
        <v>66</v>
      </c>
      <c r="C693" t="s">
        <v>35</v>
      </c>
      <c r="D693" t="s">
        <v>4466</v>
      </c>
      <c r="E693" t="s">
        <v>3304</v>
      </c>
      <c r="F693" t="s">
        <v>2740</v>
      </c>
      <c r="G693" s="2">
        <v>45367</v>
      </c>
      <c r="H693" t="s">
        <v>2271</v>
      </c>
      <c r="I693">
        <v>125.3</v>
      </c>
      <c r="J693" s="1">
        <v>34000</v>
      </c>
      <c r="K693" s="1">
        <v>34000</v>
      </c>
    </row>
    <row r="694" spans="1:11" x14ac:dyDescent="0.25">
      <c r="A694" t="s">
        <v>2272</v>
      </c>
      <c r="B694" t="s">
        <v>4463</v>
      </c>
      <c r="C694" t="s">
        <v>35</v>
      </c>
      <c r="D694" t="s">
        <v>4464</v>
      </c>
      <c r="E694" t="s">
        <v>3304</v>
      </c>
      <c r="F694" t="s">
        <v>2740</v>
      </c>
      <c r="G694" s="2">
        <v>45367</v>
      </c>
      <c r="H694" t="s">
        <v>2273</v>
      </c>
      <c r="I694">
        <v>295</v>
      </c>
      <c r="J694" s="1">
        <v>80000</v>
      </c>
      <c r="K694" s="1">
        <v>80000</v>
      </c>
    </row>
    <row r="695" spans="1:11" x14ac:dyDescent="0.25">
      <c r="A695" t="s">
        <v>2274</v>
      </c>
      <c r="B695" t="s">
        <v>2729</v>
      </c>
      <c r="C695" t="s">
        <v>16</v>
      </c>
      <c r="D695" t="s">
        <v>4465</v>
      </c>
      <c r="E695" t="s">
        <v>4427</v>
      </c>
      <c r="F695" t="s">
        <v>2740</v>
      </c>
      <c r="G695" s="2">
        <v>45367</v>
      </c>
      <c r="H695" t="s">
        <v>2275</v>
      </c>
      <c r="I695">
        <v>92.2</v>
      </c>
      <c r="J695" s="1">
        <v>25000</v>
      </c>
      <c r="K695" s="1">
        <v>25000</v>
      </c>
    </row>
    <row r="696" spans="1:11" x14ac:dyDescent="0.25">
      <c r="A696" t="s">
        <v>2264</v>
      </c>
      <c r="B696" t="s">
        <v>2701</v>
      </c>
      <c r="C696" t="s">
        <v>16</v>
      </c>
      <c r="D696" t="s">
        <v>4466</v>
      </c>
      <c r="E696" t="s">
        <v>4453</v>
      </c>
      <c r="F696" t="s">
        <v>2740</v>
      </c>
      <c r="G696" s="2">
        <v>45368</v>
      </c>
      <c r="H696" t="s">
        <v>2265</v>
      </c>
      <c r="I696">
        <v>36.9</v>
      </c>
      <c r="J696" s="1">
        <v>10000</v>
      </c>
      <c r="K696" s="1">
        <v>10000</v>
      </c>
    </row>
    <row r="697" spans="1:11" x14ac:dyDescent="0.25">
      <c r="A697" t="s">
        <v>2255</v>
      </c>
      <c r="B697" t="s">
        <v>133</v>
      </c>
      <c r="C697" t="s">
        <v>35</v>
      </c>
      <c r="D697" t="s">
        <v>4461</v>
      </c>
      <c r="E697" t="s">
        <v>3304</v>
      </c>
      <c r="F697" t="s">
        <v>2740</v>
      </c>
      <c r="G697" s="2">
        <v>45369</v>
      </c>
      <c r="H697" t="s">
        <v>2256</v>
      </c>
      <c r="I697">
        <v>184.4</v>
      </c>
      <c r="J697" s="1">
        <v>50000</v>
      </c>
      <c r="K697" s="1">
        <v>50000</v>
      </c>
    </row>
    <row r="698" spans="1:11" x14ac:dyDescent="0.25">
      <c r="A698" t="s">
        <v>2257</v>
      </c>
      <c r="B698" t="s">
        <v>93</v>
      </c>
      <c r="C698" t="s">
        <v>35</v>
      </c>
      <c r="D698" t="s">
        <v>4465</v>
      </c>
      <c r="E698" t="s">
        <v>3304</v>
      </c>
      <c r="F698" t="s">
        <v>2740</v>
      </c>
      <c r="G698" s="2">
        <v>45369</v>
      </c>
      <c r="H698" t="s">
        <v>2258</v>
      </c>
      <c r="I698">
        <v>184.4</v>
      </c>
      <c r="J698" s="1">
        <v>50000</v>
      </c>
      <c r="K698" s="1">
        <v>50000</v>
      </c>
    </row>
    <row r="699" spans="1:11" x14ac:dyDescent="0.25">
      <c r="A699" t="s">
        <v>2259</v>
      </c>
      <c r="B699" t="s">
        <v>136</v>
      </c>
      <c r="C699" t="s">
        <v>35</v>
      </c>
      <c r="D699" t="s">
        <v>4462</v>
      </c>
      <c r="E699" t="s">
        <v>3304</v>
      </c>
      <c r="F699" t="s">
        <v>2740</v>
      </c>
      <c r="G699" s="2">
        <v>45369</v>
      </c>
      <c r="H699" t="s">
        <v>2260</v>
      </c>
      <c r="I699">
        <v>184.4</v>
      </c>
      <c r="J699" s="1">
        <v>50000</v>
      </c>
      <c r="K699" s="1">
        <v>50000</v>
      </c>
    </row>
    <row r="700" spans="1:11" x14ac:dyDescent="0.25">
      <c r="A700" t="s">
        <v>2261</v>
      </c>
      <c r="B700" t="s">
        <v>2702</v>
      </c>
      <c r="C700" t="s">
        <v>35</v>
      </c>
      <c r="D700" t="s">
        <v>3305</v>
      </c>
      <c r="E700" t="s">
        <v>3304</v>
      </c>
      <c r="F700" t="s">
        <v>2740</v>
      </c>
      <c r="G700" s="2">
        <v>45369</v>
      </c>
      <c r="H700" t="s">
        <v>2262</v>
      </c>
      <c r="I700">
        <v>184.4</v>
      </c>
      <c r="J700" s="1">
        <v>50000</v>
      </c>
      <c r="K700" s="1">
        <v>50000</v>
      </c>
    </row>
    <row r="701" spans="1:11" x14ac:dyDescent="0.25">
      <c r="A701" t="s">
        <v>2251</v>
      </c>
      <c r="B701" t="s">
        <v>2732</v>
      </c>
      <c r="C701" t="s">
        <v>16</v>
      </c>
      <c r="D701" t="s">
        <v>4461</v>
      </c>
      <c r="E701" t="s">
        <v>4444</v>
      </c>
      <c r="F701" t="s">
        <v>2740</v>
      </c>
      <c r="G701" s="2">
        <v>45370</v>
      </c>
      <c r="H701" t="s">
        <v>2252</v>
      </c>
      <c r="I701">
        <v>73.7</v>
      </c>
      <c r="J701" s="1">
        <v>20000</v>
      </c>
      <c r="K701" s="1">
        <v>20000</v>
      </c>
    </row>
    <row r="702" spans="1:11" x14ac:dyDescent="0.25">
      <c r="A702" t="s">
        <v>2242</v>
      </c>
      <c r="B702" t="s">
        <v>2733</v>
      </c>
      <c r="C702" t="s">
        <v>16</v>
      </c>
      <c r="D702" t="s">
        <v>4465</v>
      </c>
      <c r="E702" t="s">
        <v>4448</v>
      </c>
      <c r="F702" t="s">
        <v>2740</v>
      </c>
      <c r="G702" s="2">
        <v>45371</v>
      </c>
      <c r="H702" t="s">
        <v>2243</v>
      </c>
      <c r="I702">
        <v>55.3</v>
      </c>
      <c r="J702" s="1">
        <v>15000</v>
      </c>
      <c r="K702" s="1">
        <v>15000</v>
      </c>
    </row>
    <row r="703" spans="1:11" x14ac:dyDescent="0.25">
      <c r="A703" t="s">
        <v>2236</v>
      </c>
      <c r="B703" t="s">
        <v>2700</v>
      </c>
      <c r="C703" t="s">
        <v>27</v>
      </c>
      <c r="D703" t="s">
        <v>4466</v>
      </c>
      <c r="E703" t="s">
        <v>4450</v>
      </c>
      <c r="F703" t="s">
        <v>2740</v>
      </c>
      <c r="G703" s="2">
        <v>45371</v>
      </c>
      <c r="H703" t="s">
        <v>2237</v>
      </c>
      <c r="I703">
        <v>110.6</v>
      </c>
      <c r="J703" s="1">
        <v>30000</v>
      </c>
      <c r="K703" s="1">
        <v>30000</v>
      </c>
    </row>
    <row r="704" spans="1:11" x14ac:dyDescent="0.25">
      <c r="A704" t="s">
        <v>2238</v>
      </c>
      <c r="B704" t="s">
        <v>2701</v>
      </c>
      <c r="C704" t="s">
        <v>16</v>
      </c>
      <c r="D704" t="s">
        <v>4466</v>
      </c>
      <c r="E704" t="s">
        <v>4453</v>
      </c>
      <c r="F704" t="s">
        <v>2740</v>
      </c>
      <c r="G704" s="2">
        <v>45371</v>
      </c>
      <c r="H704" t="s">
        <v>2239</v>
      </c>
      <c r="I704">
        <v>36.9</v>
      </c>
      <c r="J704" s="1">
        <v>10000</v>
      </c>
      <c r="K704" s="1">
        <v>10000</v>
      </c>
    </row>
    <row r="705" spans="1:11" x14ac:dyDescent="0.25">
      <c r="A705" t="s">
        <v>2240</v>
      </c>
      <c r="B705" t="s">
        <v>2729</v>
      </c>
      <c r="C705" t="s">
        <v>16</v>
      </c>
      <c r="D705" t="s">
        <v>4465</v>
      </c>
      <c r="E705" t="s">
        <v>4427</v>
      </c>
      <c r="F705" t="s">
        <v>2740</v>
      </c>
      <c r="G705" s="2">
        <v>45371</v>
      </c>
      <c r="H705" t="s">
        <v>2241</v>
      </c>
      <c r="I705">
        <v>75.599999999999994</v>
      </c>
      <c r="J705" s="1">
        <v>20500</v>
      </c>
      <c r="K705" s="1">
        <v>20500</v>
      </c>
    </row>
    <row r="706" spans="1:11" x14ac:dyDescent="0.25">
      <c r="A706" t="s">
        <v>2244</v>
      </c>
      <c r="B706" t="s">
        <v>66</v>
      </c>
      <c r="C706" t="s">
        <v>35</v>
      </c>
      <c r="D706" t="s">
        <v>4466</v>
      </c>
      <c r="E706" t="s">
        <v>3304</v>
      </c>
      <c r="F706" t="s">
        <v>2740</v>
      </c>
      <c r="G706" s="2">
        <v>45371</v>
      </c>
      <c r="H706" t="s">
        <v>2245</v>
      </c>
      <c r="I706">
        <v>184.4</v>
      </c>
      <c r="J706" s="1">
        <v>50000</v>
      </c>
      <c r="K706" s="1">
        <v>50000</v>
      </c>
    </row>
    <row r="707" spans="1:11" x14ac:dyDescent="0.25">
      <c r="A707" t="s">
        <v>2246</v>
      </c>
      <c r="B707" t="s">
        <v>2705</v>
      </c>
      <c r="C707" t="s">
        <v>42</v>
      </c>
      <c r="D707" t="s">
        <v>4467</v>
      </c>
      <c r="E707" t="s">
        <v>4435</v>
      </c>
      <c r="F707" t="s">
        <v>2740</v>
      </c>
      <c r="G707" s="2">
        <v>45371</v>
      </c>
      <c r="H707" t="s">
        <v>2247</v>
      </c>
      <c r="I707">
        <v>184.4</v>
      </c>
      <c r="J707" s="1">
        <v>50000</v>
      </c>
      <c r="K707" s="1">
        <v>50000</v>
      </c>
    </row>
    <row r="708" spans="1:11" x14ac:dyDescent="0.25">
      <c r="A708" t="s">
        <v>2248</v>
      </c>
      <c r="B708" t="s">
        <v>2736</v>
      </c>
      <c r="C708" t="s">
        <v>16</v>
      </c>
      <c r="D708" t="s">
        <v>4461</v>
      </c>
      <c r="E708" t="s">
        <v>4459</v>
      </c>
      <c r="F708" t="s">
        <v>2740</v>
      </c>
      <c r="G708" s="2">
        <v>45371</v>
      </c>
      <c r="H708" t="s">
        <v>2249</v>
      </c>
      <c r="I708">
        <v>110.6</v>
      </c>
      <c r="J708" s="1">
        <v>30000</v>
      </c>
      <c r="K708" s="1">
        <v>30000</v>
      </c>
    </row>
    <row r="709" spans="1:11" x14ac:dyDescent="0.25">
      <c r="A709" t="s">
        <v>2230</v>
      </c>
      <c r="B709" t="s">
        <v>2727</v>
      </c>
      <c r="C709" t="s">
        <v>16</v>
      </c>
      <c r="D709" t="s">
        <v>4465</v>
      </c>
      <c r="E709" t="s">
        <v>4445</v>
      </c>
      <c r="F709" t="s">
        <v>2740</v>
      </c>
      <c r="G709" s="2">
        <v>45372</v>
      </c>
      <c r="H709" t="s">
        <v>2231</v>
      </c>
      <c r="I709">
        <v>73.8</v>
      </c>
      <c r="J709" s="1">
        <v>20000</v>
      </c>
      <c r="K709" s="1">
        <v>20000</v>
      </c>
    </row>
    <row r="710" spans="1:11" x14ac:dyDescent="0.25">
      <c r="A710" t="s">
        <v>2232</v>
      </c>
      <c r="B710" t="s">
        <v>4463</v>
      </c>
      <c r="C710" t="s">
        <v>35</v>
      </c>
      <c r="D710" t="s">
        <v>4464</v>
      </c>
      <c r="E710" t="s">
        <v>3304</v>
      </c>
      <c r="F710" t="s">
        <v>2740</v>
      </c>
      <c r="G710" s="2">
        <v>45372</v>
      </c>
      <c r="H710" t="s">
        <v>2233</v>
      </c>
      <c r="I710">
        <v>368.7</v>
      </c>
      <c r="J710" s="1">
        <v>100000</v>
      </c>
      <c r="K710" s="1">
        <v>100000</v>
      </c>
    </row>
    <row r="711" spans="1:11" x14ac:dyDescent="0.25">
      <c r="A711" t="s">
        <v>2234</v>
      </c>
      <c r="B711" t="s">
        <v>2699</v>
      </c>
      <c r="C711" t="s">
        <v>16</v>
      </c>
      <c r="D711" t="s">
        <v>4462</v>
      </c>
      <c r="E711" t="s">
        <v>4440</v>
      </c>
      <c r="F711" t="s">
        <v>2740</v>
      </c>
      <c r="G711" s="2">
        <v>45372</v>
      </c>
      <c r="H711" t="s">
        <v>2235</v>
      </c>
      <c r="I711">
        <v>73.7</v>
      </c>
      <c r="J711" s="1">
        <v>20000</v>
      </c>
      <c r="K711" s="1">
        <v>20000</v>
      </c>
    </row>
    <row r="712" spans="1:11" x14ac:dyDescent="0.25">
      <c r="A712" t="s">
        <v>2225</v>
      </c>
      <c r="B712" t="s">
        <v>2701</v>
      </c>
      <c r="C712" t="s">
        <v>16</v>
      </c>
      <c r="D712" t="s">
        <v>4466</v>
      </c>
      <c r="E712" t="s">
        <v>4453</v>
      </c>
      <c r="F712" t="s">
        <v>2740</v>
      </c>
      <c r="G712" s="2">
        <v>45373</v>
      </c>
      <c r="H712" t="s">
        <v>2226</v>
      </c>
      <c r="I712">
        <v>55.3</v>
      </c>
      <c r="J712" s="1">
        <v>15000</v>
      </c>
      <c r="K712" s="1">
        <v>15000</v>
      </c>
    </row>
    <row r="713" spans="1:11" x14ac:dyDescent="0.25">
      <c r="A713" t="s">
        <v>2228</v>
      </c>
      <c r="B713" t="s">
        <v>2719</v>
      </c>
      <c r="C713" t="s">
        <v>16</v>
      </c>
      <c r="D713" t="s">
        <v>4466</v>
      </c>
      <c r="E713" t="s">
        <v>4430</v>
      </c>
      <c r="F713" t="s">
        <v>2740</v>
      </c>
      <c r="G713" s="2">
        <v>45373</v>
      </c>
      <c r="H713" t="s">
        <v>2229</v>
      </c>
      <c r="I713">
        <v>230.5</v>
      </c>
      <c r="J713" s="1">
        <v>62500</v>
      </c>
      <c r="K713" s="1">
        <v>62500</v>
      </c>
    </row>
    <row r="714" spans="1:11" x14ac:dyDescent="0.25">
      <c r="A714" t="s">
        <v>2219</v>
      </c>
      <c r="B714" t="s">
        <v>2729</v>
      </c>
      <c r="C714" t="s">
        <v>16</v>
      </c>
      <c r="D714" t="s">
        <v>4465</v>
      </c>
      <c r="E714" t="s">
        <v>4427</v>
      </c>
      <c r="F714" t="s">
        <v>2740</v>
      </c>
      <c r="G714" s="2">
        <v>45374</v>
      </c>
      <c r="H714" t="s">
        <v>2220</v>
      </c>
      <c r="I714">
        <v>110.6</v>
      </c>
      <c r="J714" s="1">
        <v>30000</v>
      </c>
      <c r="K714" s="1">
        <v>30000</v>
      </c>
    </row>
    <row r="715" spans="1:11" x14ac:dyDescent="0.25">
      <c r="A715" t="s">
        <v>2221</v>
      </c>
      <c r="B715" t="s">
        <v>2705</v>
      </c>
      <c r="C715" t="s">
        <v>42</v>
      </c>
      <c r="D715" t="s">
        <v>4467</v>
      </c>
      <c r="E715" t="s">
        <v>4435</v>
      </c>
      <c r="F715" t="s">
        <v>2740</v>
      </c>
      <c r="G715" s="2">
        <v>45374</v>
      </c>
      <c r="H715" t="s">
        <v>2222</v>
      </c>
      <c r="I715">
        <v>184.4</v>
      </c>
      <c r="J715" s="1">
        <v>50000</v>
      </c>
      <c r="K715" s="1">
        <v>50000</v>
      </c>
    </row>
    <row r="716" spans="1:11" x14ac:dyDescent="0.25">
      <c r="A716" t="s">
        <v>2223</v>
      </c>
      <c r="B716" t="s">
        <v>2700</v>
      </c>
      <c r="C716" t="s">
        <v>27</v>
      </c>
      <c r="D716" t="s">
        <v>4466</v>
      </c>
      <c r="E716" t="s">
        <v>4450</v>
      </c>
      <c r="F716" t="s">
        <v>2740</v>
      </c>
      <c r="G716" s="2">
        <v>45374</v>
      </c>
      <c r="H716" t="s">
        <v>2224</v>
      </c>
      <c r="I716">
        <v>368.8</v>
      </c>
      <c r="J716" s="1">
        <v>100000</v>
      </c>
      <c r="K716" s="1">
        <v>100000</v>
      </c>
    </row>
    <row r="717" spans="1:11" x14ac:dyDescent="0.25">
      <c r="A717" t="s">
        <v>2215</v>
      </c>
      <c r="B717" t="s">
        <v>2735</v>
      </c>
      <c r="C717" t="s">
        <v>16</v>
      </c>
      <c r="D717" t="s">
        <v>4462</v>
      </c>
      <c r="E717" t="s">
        <v>4426</v>
      </c>
      <c r="F717" t="s">
        <v>2740</v>
      </c>
      <c r="G717" s="2">
        <v>45375</v>
      </c>
      <c r="H717" t="s">
        <v>2216</v>
      </c>
      <c r="I717">
        <v>184.4</v>
      </c>
      <c r="J717" s="1">
        <v>50000</v>
      </c>
      <c r="K717" s="1">
        <v>50000</v>
      </c>
    </row>
    <row r="718" spans="1:11" x14ac:dyDescent="0.25">
      <c r="A718" t="s">
        <v>2217</v>
      </c>
      <c r="B718" t="s">
        <v>2715</v>
      </c>
      <c r="C718" t="s">
        <v>16</v>
      </c>
      <c r="D718" t="s">
        <v>4462</v>
      </c>
      <c r="E718" t="s">
        <v>4454</v>
      </c>
      <c r="F718" t="s">
        <v>2740</v>
      </c>
      <c r="G718" s="2">
        <v>45375</v>
      </c>
      <c r="H718" t="s">
        <v>2218</v>
      </c>
      <c r="I718">
        <v>184.4</v>
      </c>
      <c r="J718" s="1">
        <v>50000</v>
      </c>
      <c r="K718" s="1">
        <v>50000</v>
      </c>
    </row>
    <row r="719" spans="1:11" x14ac:dyDescent="0.25">
      <c r="A719" t="s">
        <v>2211</v>
      </c>
      <c r="B719" t="s">
        <v>2735</v>
      </c>
      <c r="C719" t="s">
        <v>16</v>
      </c>
      <c r="D719" t="s">
        <v>4462</v>
      </c>
      <c r="E719" t="s">
        <v>4426</v>
      </c>
      <c r="F719" t="s">
        <v>2740</v>
      </c>
      <c r="G719" s="2">
        <v>45375</v>
      </c>
      <c r="H719" t="s">
        <v>2212</v>
      </c>
      <c r="I719">
        <v>92.2</v>
      </c>
      <c r="J719" s="1">
        <v>25000</v>
      </c>
      <c r="K719" s="1">
        <v>25000</v>
      </c>
    </row>
    <row r="720" spans="1:11" x14ac:dyDescent="0.25">
      <c r="A720" t="s">
        <v>2213</v>
      </c>
      <c r="B720" t="s">
        <v>2735</v>
      </c>
      <c r="C720" t="s">
        <v>16</v>
      </c>
      <c r="D720" t="s">
        <v>4462</v>
      </c>
      <c r="E720" t="s">
        <v>4426</v>
      </c>
      <c r="F720" t="s">
        <v>2740</v>
      </c>
      <c r="G720" s="2">
        <v>45375</v>
      </c>
      <c r="H720" t="s">
        <v>2214</v>
      </c>
      <c r="I720">
        <v>147.5</v>
      </c>
      <c r="J720" s="1">
        <v>40000</v>
      </c>
      <c r="K720" s="1">
        <v>40000</v>
      </c>
    </row>
    <row r="721" spans="1:11" x14ac:dyDescent="0.25">
      <c r="A721" t="s">
        <v>2209</v>
      </c>
      <c r="B721" t="s">
        <v>2708</v>
      </c>
      <c r="C721" t="s">
        <v>16</v>
      </c>
      <c r="D721" t="s">
        <v>4466</v>
      </c>
      <c r="E721" t="s">
        <v>4457</v>
      </c>
      <c r="F721" t="s">
        <v>2740</v>
      </c>
      <c r="G721" s="2">
        <v>45376</v>
      </c>
      <c r="H721" t="s">
        <v>2210</v>
      </c>
      <c r="I721">
        <v>221.3</v>
      </c>
      <c r="J721" s="1">
        <v>60000</v>
      </c>
      <c r="K721" s="1">
        <v>60000</v>
      </c>
    </row>
    <row r="722" spans="1:11" x14ac:dyDescent="0.25">
      <c r="A722" t="s">
        <v>2203</v>
      </c>
      <c r="B722" t="s">
        <v>2733</v>
      </c>
      <c r="C722" t="s">
        <v>16</v>
      </c>
      <c r="D722" t="s">
        <v>4465</v>
      </c>
      <c r="E722" t="s">
        <v>4448</v>
      </c>
      <c r="F722" t="s">
        <v>2740</v>
      </c>
      <c r="G722" s="2">
        <v>45376</v>
      </c>
      <c r="H722" t="s">
        <v>2204</v>
      </c>
      <c r="I722">
        <v>221.3</v>
      </c>
      <c r="J722" s="1">
        <v>60000</v>
      </c>
      <c r="K722" s="1">
        <v>60000</v>
      </c>
    </row>
    <row r="723" spans="1:11" x14ac:dyDescent="0.25">
      <c r="A723" t="s">
        <v>2205</v>
      </c>
      <c r="B723" t="s">
        <v>2718</v>
      </c>
      <c r="C723" t="s">
        <v>16</v>
      </c>
      <c r="D723" t="s">
        <v>4466</v>
      </c>
      <c r="E723" t="s">
        <v>4438</v>
      </c>
      <c r="F723" t="s">
        <v>2740</v>
      </c>
      <c r="G723" s="2">
        <v>45376</v>
      </c>
      <c r="H723" t="s">
        <v>2206</v>
      </c>
      <c r="I723">
        <v>147.5</v>
      </c>
      <c r="J723" s="1">
        <v>40000</v>
      </c>
      <c r="K723" s="1">
        <v>40000</v>
      </c>
    </row>
    <row r="724" spans="1:11" x14ac:dyDescent="0.25">
      <c r="A724" t="s">
        <v>2207</v>
      </c>
      <c r="B724" t="s">
        <v>66</v>
      </c>
      <c r="C724" t="s">
        <v>35</v>
      </c>
      <c r="D724" t="s">
        <v>4466</v>
      </c>
      <c r="E724" t="s">
        <v>3304</v>
      </c>
      <c r="F724" t="s">
        <v>2740</v>
      </c>
      <c r="G724" s="2">
        <v>45376</v>
      </c>
      <c r="H724" t="s">
        <v>2208</v>
      </c>
      <c r="I724">
        <v>184.4</v>
      </c>
      <c r="J724" s="1">
        <v>50000</v>
      </c>
      <c r="K724" s="1">
        <v>50000</v>
      </c>
    </row>
    <row r="725" spans="1:11" x14ac:dyDescent="0.25">
      <c r="A725" t="s">
        <v>2196</v>
      </c>
      <c r="B725" t="s">
        <v>2716</v>
      </c>
      <c r="C725" t="s">
        <v>16</v>
      </c>
      <c r="D725" t="s">
        <v>4462</v>
      </c>
      <c r="E725" t="s">
        <v>4458</v>
      </c>
      <c r="F725" t="s">
        <v>2740</v>
      </c>
      <c r="G725" s="2">
        <v>45377</v>
      </c>
      <c r="H725" t="s">
        <v>2197</v>
      </c>
      <c r="I725">
        <v>184.4</v>
      </c>
      <c r="J725" s="1">
        <v>50000</v>
      </c>
      <c r="K725" s="1">
        <v>50000</v>
      </c>
    </row>
    <row r="726" spans="1:11" x14ac:dyDescent="0.25">
      <c r="A726" t="s">
        <v>2194</v>
      </c>
      <c r="B726" t="s">
        <v>2701</v>
      </c>
      <c r="C726" t="s">
        <v>16</v>
      </c>
      <c r="D726" t="s">
        <v>4466</v>
      </c>
      <c r="E726" t="s">
        <v>4453</v>
      </c>
      <c r="F726" t="s">
        <v>2740</v>
      </c>
      <c r="G726" s="2">
        <v>45377</v>
      </c>
      <c r="H726" t="s">
        <v>2195</v>
      </c>
      <c r="I726">
        <v>36.9</v>
      </c>
      <c r="J726" s="1">
        <v>10000</v>
      </c>
      <c r="K726" s="1">
        <v>10000</v>
      </c>
    </row>
    <row r="727" spans="1:11" x14ac:dyDescent="0.25">
      <c r="A727" t="s">
        <v>2198</v>
      </c>
      <c r="B727" t="s">
        <v>4463</v>
      </c>
      <c r="C727" t="s">
        <v>35</v>
      </c>
      <c r="D727" t="s">
        <v>4464</v>
      </c>
      <c r="E727" t="s">
        <v>3304</v>
      </c>
      <c r="F727" t="s">
        <v>2740</v>
      </c>
      <c r="G727" s="2">
        <v>45377</v>
      </c>
      <c r="H727" t="s">
        <v>2199</v>
      </c>
      <c r="I727">
        <v>368.8</v>
      </c>
      <c r="J727" s="1">
        <v>100000</v>
      </c>
      <c r="K727" s="1">
        <v>100000</v>
      </c>
    </row>
    <row r="728" spans="1:11" x14ac:dyDescent="0.25">
      <c r="A728" t="s">
        <v>2200</v>
      </c>
      <c r="B728" t="s">
        <v>2724</v>
      </c>
      <c r="C728" t="s">
        <v>16</v>
      </c>
      <c r="D728" t="s">
        <v>4462</v>
      </c>
      <c r="E728" t="s">
        <v>4451</v>
      </c>
      <c r="F728" t="s">
        <v>2740</v>
      </c>
      <c r="G728" s="2">
        <v>45377</v>
      </c>
      <c r="H728" t="s">
        <v>2201</v>
      </c>
      <c r="I728">
        <v>147.5</v>
      </c>
      <c r="J728" s="1">
        <v>40000</v>
      </c>
      <c r="K728" s="1">
        <v>40000</v>
      </c>
    </row>
    <row r="729" spans="1:11" x14ac:dyDescent="0.25">
      <c r="A729" t="s">
        <v>2185</v>
      </c>
      <c r="B729" t="s">
        <v>2707</v>
      </c>
      <c r="C729" t="s">
        <v>16</v>
      </c>
      <c r="D729" t="s">
        <v>4462</v>
      </c>
      <c r="E729" t="s">
        <v>4433</v>
      </c>
      <c r="F729" t="s">
        <v>2740</v>
      </c>
      <c r="G729" s="2">
        <v>45379</v>
      </c>
      <c r="H729" t="s">
        <v>2186</v>
      </c>
      <c r="I729">
        <v>405.7</v>
      </c>
      <c r="J729" s="1">
        <v>110000</v>
      </c>
      <c r="K729" s="1">
        <v>110000</v>
      </c>
    </row>
    <row r="730" spans="1:11" x14ac:dyDescent="0.25">
      <c r="A730" t="s">
        <v>2187</v>
      </c>
      <c r="B730" t="s">
        <v>2709</v>
      </c>
      <c r="C730" t="s">
        <v>42</v>
      </c>
      <c r="D730" t="s">
        <v>4467</v>
      </c>
      <c r="E730" t="s">
        <v>4456</v>
      </c>
      <c r="F730" t="s">
        <v>2740</v>
      </c>
      <c r="G730" s="2">
        <v>45379</v>
      </c>
      <c r="H730" t="s">
        <v>2188</v>
      </c>
      <c r="I730">
        <v>295</v>
      </c>
      <c r="J730" s="1">
        <v>80000</v>
      </c>
      <c r="K730" s="1">
        <v>80000</v>
      </c>
    </row>
    <row r="731" spans="1:11" x14ac:dyDescent="0.25">
      <c r="A731" t="s">
        <v>2189</v>
      </c>
      <c r="B731" t="s">
        <v>2701</v>
      </c>
      <c r="C731" t="s">
        <v>16</v>
      </c>
      <c r="D731" t="s">
        <v>4466</v>
      </c>
      <c r="E731" t="s">
        <v>4453</v>
      </c>
      <c r="F731" t="s">
        <v>2740</v>
      </c>
      <c r="G731" s="2">
        <v>45379</v>
      </c>
      <c r="H731" t="s">
        <v>2190</v>
      </c>
      <c r="I731">
        <v>55.3</v>
      </c>
      <c r="J731" s="1">
        <v>15000</v>
      </c>
      <c r="K731" s="1">
        <v>15000</v>
      </c>
    </row>
    <row r="732" spans="1:11" x14ac:dyDescent="0.25">
      <c r="A732" t="s">
        <v>2191</v>
      </c>
      <c r="B732" t="s">
        <v>2699</v>
      </c>
      <c r="C732" t="s">
        <v>16</v>
      </c>
      <c r="D732" t="s">
        <v>4462</v>
      </c>
      <c r="E732" t="s">
        <v>4440</v>
      </c>
      <c r="F732" t="s">
        <v>2740</v>
      </c>
      <c r="G732" s="2">
        <v>45379</v>
      </c>
      <c r="H732" t="s">
        <v>2192</v>
      </c>
      <c r="I732">
        <v>73.8</v>
      </c>
      <c r="J732" s="1">
        <v>20000</v>
      </c>
      <c r="K732" s="1">
        <v>20000</v>
      </c>
    </row>
    <row r="733" spans="1:11" x14ac:dyDescent="0.25">
      <c r="A733" t="s">
        <v>2183</v>
      </c>
      <c r="B733" t="s">
        <v>2710</v>
      </c>
      <c r="C733" t="s">
        <v>42</v>
      </c>
      <c r="D733" t="s">
        <v>4467</v>
      </c>
      <c r="E733" t="s">
        <v>4436</v>
      </c>
      <c r="F733" t="s">
        <v>2740</v>
      </c>
      <c r="G733" s="2">
        <v>45380</v>
      </c>
      <c r="H733" t="s">
        <v>2184</v>
      </c>
      <c r="I733">
        <v>405.6</v>
      </c>
      <c r="J733" s="1">
        <v>110000</v>
      </c>
      <c r="K733" s="1">
        <v>110000</v>
      </c>
    </row>
    <row r="734" spans="1:11" x14ac:dyDescent="0.25">
      <c r="A734" t="s">
        <v>2173</v>
      </c>
      <c r="B734" t="s">
        <v>2698</v>
      </c>
      <c r="C734" t="s">
        <v>16</v>
      </c>
      <c r="D734" t="s">
        <v>4465</v>
      </c>
      <c r="E734" t="s">
        <v>4442</v>
      </c>
      <c r="F734" t="s">
        <v>2740</v>
      </c>
      <c r="G734" s="2">
        <v>45381</v>
      </c>
      <c r="H734" t="s">
        <v>2174</v>
      </c>
      <c r="I734">
        <v>368.8</v>
      </c>
      <c r="J734" s="1">
        <v>100000</v>
      </c>
      <c r="K734" s="1">
        <v>100000</v>
      </c>
    </row>
    <row r="735" spans="1:11" x14ac:dyDescent="0.25">
      <c r="A735" t="s">
        <v>2175</v>
      </c>
      <c r="B735" t="s">
        <v>2726</v>
      </c>
      <c r="C735" t="s">
        <v>16</v>
      </c>
      <c r="D735" t="s">
        <v>4466</v>
      </c>
      <c r="E735" t="s">
        <v>4437</v>
      </c>
      <c r="F735" t="s">
        <v>2740</v>
      </c>
      <c r="G735" s="2">
        <v>45381</v>
      </c>
      <c r="H735" t="s">
        <v>2176</v>
      </c>
      <c r="I735">
        <v>110.6</v>
      </c>
      <c r="J735" s="1">
        <v>30000</v>
      </c>
      <c r="K735" s="1">
        <v>30000</v>
      </c>
    </row>
    <row r="736" spans="1:11" x14ac:dyDescent="0.25">
      <c r="A736" t="s">
        <v>2177</v>
      </c>
      <c r="B736" t="s">
        <v>2712</v>
      </c>
      <c r="C736" t="s">
        <v>16</v>
      </c>
      <c r="D736" t="s">
        <v>4461</v>
      </c>
      <c r="E736" t="s">
        <v>4449</v>
      </c>
      <c r="F736" t="s">
        <v>2740</v>
      </c>
      <c r="G736" s="2">
        <v>45381</v>
      </c>
      <c r="H736" t="s">
        <v>2178</v>
      </c>
      <c r="I736">
        <v>295</v>
      </c>
      <c r="J736" s="1">
        <v>80000</v>
      </c>
      <c r="K736" s="1">
        <v>80000</v>
      </c>
    </row>
    <row r="737" spans="1:11" x14ac:dyDescent="0.25">
      <c r="A737" t="s">
        <v>2179</v>
      </c>
      <c r="B737" t="s">
        <v>2737</v>
      </c>
      <c r="C737" t="s">
        <v>16</v>
      </c>
      <c r="D737" t="s">
        <v>4466</v>
      </c>
      <c r="E737" t="s">
        <v>4432</v>
      </c>
      <c r="F737" t="s">
        <v>2740</v>
      </c>
      <c r="G737" s="2">
        <v>45381</v>
      </c>
      <c r="H737" t="s">
        <v>2180</v>
      </c>
      <c r="I737">
        <v>295</v>
      </c>
      <c r="J737" s="1">
        <v>80000</v>
      </c>
      <c r="K737" s="1">
        <v>80000</v>
      </c>
    </row>
    <row r="738" spans="1:11" x14ac:dyDescent="0.25">
      <c r="A738" t="s">
        <v>2181</v>
      </c>
      <c r="B738" t="s">
        <v>2721</v>
      </c>
      <c r="C738" t="s">
        <v>16</v>
      </c>
      <c r="D738" t="s">
        <v>4466</v>
      </c>
      <c r="E738" t="s">
        <v>4438</v>
      </c>
      <c r="F738" t="s">
        <v>2740</v>
      </c>
      <c r="G738" s="2">
        <v>45381</v>
      </c>
      <c r="H738" t="s">
        <v>2182</v>
      </c>
      <c r="I738">
        <v>184.4</v>
      </c>
      <c r="J738" s="1">
        <v>50000</v>
      </c>
      <c r="K738" s="1">
        <v>50000</v>
      </c>
    </row>
    <row r="739" spans="1:11" x14ac:dyDescent="0.25">
      <c r="A739" t="s">
        <v>2169</v>
      </c>
      <c r="B739" t="s">
        <v>2701</v>
      </c>
      <c r="C739" t="s">
        <v>16</v>
      </c>
      <c r="D739" t="s">
        <v>4466</v>
      </c>
      <c r="E739" t="s">
        <v>4453</v>
      </c>
      <c r="F739" t="s">
        <v>2740</v>
      </c>
      <c r="G739" s="2">
        <v>45382</v>
      </c>
      <c r="H739" t="s">
        <v>2170</v>
      </c>
      <c r="I739">
        <v>36.9</v>
      </c>
      <c r="J739" s="1">
        <v>10000</v>
      </c>
      <c r="K739" s="1">
        <v>10000</v>
      </c>
    </row>
    <row r="740" spans="1:11" x14ac:dyDescent="0.25">
      <c r="A740" t="s">
        <v>2171</v>
      </c>
      <c r="B740" t="s">
        <v>2701</v>
      </c>
      <c r="C740" t="s">
        <v>16</v>
      </c>
      <c r="D740" t="s">
        <v>4466</v>
      </c>
      <c r="E740" t="s">
        <v>4453</v>
      </c>
      <c r="F740" t="s">
        <v>2740</v>
      </c>
      <c r="G740" s="2">
        <v>45382</v>
      </c>
      <c r="H740" t="s">
        <v>2172</v>
      </c>
      <c r="I740">
        <v>36.9</v>
      </c>
      <c r="J740" s="1">
        <v>10000</v>
      </c>
      <c r="K740" s="1">
        <v>10000</v>
      </c>
    </row>
    <row r="741" spans="1:11" x14ac:dyDescent="0.25">
      <c r="A741" t="s">
        <v>2162</v>
      </c>
      <c r="B741" t="s">
        <v>2719</v>
      </c>
      <c r="C741" t="s">
        <v>16</v>
      </c>
      <c r="D741" t="s">
        <v>4466</v>
      </c>
      <c r="E741" t="s">
        <v>4430</v>
      </c>
      <c r="F741" t="s">
        <v>2740</v>
      </c>
      <c r="G741" s="2">
        <v>45383</v>
      </c>
      <c r="H741" t="s">
        <v>2163</v>
      </c>
      <c r="I741">
        <v>221.2</v>
      </c>
      <c r="J741" s="1">
        <v>60000</v>
      </c>
      <c r="K741" s="1">
        <v>60000</v>
      </c>
    </row>
    <row r="742" spans="1:11" x14ac:dyDescent="0.25">
      <c r="A742" t="s">
        <v>2164</v>
      </c>
      <c r="B742" t="s">
        <v>2732</v>
      </c>
      <c r="C742" t="s">
        <v>16</v>
      </c>
      <c r="D742" t="s">
        <v>4461</v>
      </c>
      <c r="E742" t="s">
        <v>4444</v>
      </c>
      <c r="F742" t="s">
        <v>2740</v>
      </c>
      <c r="G742" s="2">
        <v>45383</v>
      </c>
      <c r="H742" t="s">
        <v>2165</v>
      </c>
      <c r="I742">
        <v>73.8</v>
      </c>
      <c r="J742" s="1">
        <v>20000</v>
      </c>
      <c r="K742" s="1">
        <v>20000</v>
      </c>
    </row>
    <row r="743" spans="1:11" x14ac:dyDescent="0.25">
      <c r="A743" t="s">
        <v>2166</v>
      </c>
      <c r="B743" t="s">
        <v>2729</v>
      </c>
      <c r="C743" t="s">
        <v>16</v>
      </c>
      <c r="D743" t="s">
        <v>4465</v>
      </c>
      <c r="E743" t="s">
        <v>4427</v>
      </c>
      <c r="F743" t="s">
        <v>2740</v>
      </c>
      <c r="G743" s="2">
        <v>45383</v>
      </c>
      <c r="H743" t="s">
        <v>2167</v>
      </c>
      <c r="I743">
        <v>129</v>
      </c>
      <c r="J743" s="1">
        <v>35000</v>
      </c>
      <c r="K743" s="1">
        <v>35000</v>
      </c>
    </row>
    <row r="744" spans="1:11" x14ac:dyDescent="0.25">
      <c r="A744" t="s">
        <v>2158</v>
      </c>
      <c r="B744" t="s">
        <v>2717</v>
      </c>
      <c r="C744" t="s">
        <v>16</v>
      </c>
      <c r="D744" t="s">
        <v>4466</v>
      </c>
      <c r="E744" t="s">
        <v>4431</v>
      </c>
      <c r="F744" t="s">
        <v>2740</v>
      </c>
      <c r="G744" s="2">
        <v>45384</v>
      </c>
      <c r="H744" t="s">
        <v>2159</v>
      </c>
      <c r="I744">
        <v>184.4</v>
      </c>
      <c r="J744" s="1">
        <v>50000</v>
      </c>
      <c r="K744" s="1">
        <v>50000</v>
      </c>
    </row>
    <row r="745" spans="1:11" x14ac:dyDescent="0.25">
      <c r="A745" t="s">
        <v>2145</v>
      </c>
      <c r="B745" t="s">
        <v>2705</v>
      </c>
      <c r="C745" t="s">
        <v>42</v>
      </c>
      <c r="D745" t="s">
        <v>4467</v>
      </c>
      <c r="E745" t="s">
        <v>4435</v>
      </c>
      <c r="F745" t="s">
        <v>2740</v>
      </c>
      <c r="G745" s="2">
        <v>45385</v>
      </c>
      <c r="H745" t="s">
        <v>2146</v>
      </c>
      <c r="I745">
        <v>184.4</v>
      </c>
      <c r="J745" s="1">
        <v>50000</v>
      </c>
      <c r="K745" s="1">
        <v>50000</v>
      </c>
    </row>
    <row r="746" spans="1:11" x14ac:dyDescent="0.25">
      <c r="A746" t="s">
        <v>2147</v>
      </c>
      <c r="B746" t="s">
        <v>136</v>
      </c>
      <c r="C746" t="s">
        <v>35</v>
      </c>
      <c r="D746" t="s">
        <v>4462</v>
      </c>
      <c r="E746" t="s">
        <v>3304</v>
      </c>
      <c r="F746" t="s">
        <v>2740</v>
      </c>
      <c r="G746" s="2">
        <v>45385</v>
      </c>
      <c r="H746" t="s">
        <v>2148</v>
      </c>
      <c r="I746">
        <v>184.4</v>
      </c>
      <c r="J746" s="1">
        <v>50000</v>
      </c>
      <c r="K746" s="1">
        <v>50000</v>
      </c>
    </row>
    <row r="747" spans="1:11" x14ac:dyDescent="0.25">
      <c r="A747" t="s">
        <v>2149</v>
      </c>
      <c r="B747" t="s">
        <v>93</v>
      </c>
      <c r="C747" t="s">
        <v>35</v>
      </c>
      <c r="D747" t="s">
        <v>4465</v>
      </c>
      <c r="E747" t="s">
        <v>3304</v>
      </c>
      <c r="F747" t="s">
        <v>2740</v>
      </c>
      <c r="G747" s="2">
        <v>45385</v>
      </c>
      <c r="H747" t="s">
        <v>2150</v>
      </c>
      <c r="I747">
        <v>184.4</v>
      </c>
      <c r="J747" s="1">
        <v>50000</v>
      </c>
      <c r="K747" s="1">
        <v>50000</v>
      </c>
    </row>
    <row r="748" spans="1:11" x14ac:dyDescent="0.25">
      <c r="A748" t="s">
        <v>2151</v>
      </c>
      <c r="B748" t="s">
        <v>4463</v>
      </c>
      <c r="C748" t="s">
        <v>35</v>
      </c>
      <c r="D748" t="s">
        <v>4464</v>
      </c>
      <c r="E748" t="s">
        <v>3304</v>
      </c>
      <c r="F748" t="s">
        <v>2740</v>
      </c>
      <c r="G748" s="2">
        <v>45385</v>
      </c>
      <c r="H748" t="s">
        <v>2152</v>
      </c>
      <c r="I748">
        <v>368.8</v>
      </c>
      <c r="J748" s="1">
        <v>100000</v>
      </c>
      <c r="K748" s="1">
        <v>100000</v>
      </c>
    </row>
    <row r="749" spans="1:11" x14ac:dyDescent="0.25">
      <c r="A749" t="s">
        <v>2153</v>
      </c>
      <c r="B749" t="s">
        <v>2731</v>
      </c>
      <c r="C749" t="s">
        <v>16</v>
      </c>
      <c r="D749" t="s">
        <v>4465</v>
      </c>
      <c r="E749" t="s">
        <v>4460</v>
      </c>
      <c r="F749" t="s">
        <v>2740</v>
      </c>
      <c r="G749" s="2">
        <v>45385</v>
      </c>
      <c r="H749" t="s">
        <v>2154</v>
      </c>
      <c r="I749">
        <v>553.1</v>
      </c>
      <c r="J749" s="1">
        <v>150000</v>
      </c>
      <c r="K749" s="1">
        <v>150000</v>
      </c>
    </row>
    <row r="750" spans="1:11" x14ac:dyDescent="0.25">
      <c r="A750" t="s">
        <v>2134</v>
      </c>
      <c r="B750" t="s">
        <v>2733</v>
      </c>
      <c r="C750" t="s">
        <v>16</v>
      </c>
      <c r="D750" t="s">
        <v>4465</v>
      </c>
      <c r="E750" t="s">
        <v>4448</v>
      </c>
      <c r="F750" t="s">
        <v>2740</v>
      </c>
      <c r="G750" s="2">
        <v>45386</v>
      </c>
      <c r="H750" t="s">
        <v>2135</v>
      </c>
      <c r="I750">
        <v>73.7</v>
      </c>
      <c r="J750" s="1">
        <v>20000</v>
      </c>
      <c r="K750" s="1">
        <v>20000</v>
      </c>
    </row>
    <row r="751" spans="1:11" x14ac:dyDescent="0.25">
      <c r="A751" t="s">
        <v>2140</v>
      </c>
      <c r="B751" t="s">
        <v>2699</v>
      </c>
      <c r="C751" t="s">
        <v>16</v>
      </c>
      <c r="D751" t="s">
        <v>4462</v>
      </c>
      <c r="E751" t="s">
        <v>4440</v>
      </c>
      <c r="F751" t="s">
        <v>2740</v>
      </c>
      <c r="G751" s="2">
        <v>45386</v>
      </c>
      <c r="H751" t="s">
        <v>2141</v>
      </c>
      <c r="I751">
        <v>73.7</v>
      </c>
      <c r="J751" s="1">
        <v>20000</v>
      </c>
      <c r="K751" s="1">
        <v>20000</v>
      </c>
    </row>
    <row r="752" spans="1:11" x14ac:dyDescent="0.25">
      <c r="A752" t="s">
        <v>2142</v>
      </c>
      <c r="B752" t="s">
        <v>2722</v>
      </c>
      <c r="C752" t="s">
        <v>16</v>
      </c>
      <c r="D752" t="s">
        <v>4462</v>
      </c>
      <c r="E752" t="s">
        <v>4446</v>
      </c>
      <c r="F752" t="s">
        <v>2740</v>
      </c>
      <c r="G752" s="2">
        <v>45386</v>
      </c>
      <c r="H752" t="s">
        <v>2143</v>
      </c>
      <c r="I752">
        <v>442.6</v>
      </c>
      <c r="J752" s="1">
        <v>120000</v>
      </c>
      <c r="K752" s="1">
        <v>120000</v>
      </c>
    </row>
    <row r="753" spans="1:11" x14ac:dyDescent="0.25">
      <c r="A753" t="s">
        <v>2136</v>
      </c>
      <c r="B753" t="s">
        <v>2729</v>
      </c>
      <c r="C753" t="s">
        <v>16</v>
      </c>
      <c r="D753" t="s">
        <v>4465</v>
      </c>
      <c r="E753" t="s">
        <v>4427</v>
      </c>
      <c r="F753" t="s">
        <v>2740</v>
      </c>
      <c r="G753" s="2">
        <v>45386</v>
      </c>
      <c r="H753" t="s">
        <v>2137</v>
      </c>
      <c r="I753">
        <v>129.1</v>
      </c>
      <c r="J753" s="1">
        <v>35000</v>
      </c>
      <c r="K753" s="1">
        <v>35000</v>
      </c>
    </row>
    <row r="754" spans="1:11" x14ac:dyDescent="0.25">
      <c r="A754" t="s">
        <v>2138</v>
      </c>
      <c r="B754" t="s">
        <v>2732</v>
      </c>
      <c r="C754" t="s">
        <v>16</v>
      </c>
      <c r="D754" t="s">
        <v>4461</v>
      </c>
      <c r="E754" t="s">
        <v>4444</v>
      </c>
      <c r="F754" t="s">
        <v>2740</v>
      </c>
      <c r="G754" s="2">
        <v>45386</v>
      </c>
      <c r="H754" t="s">
        <v>2139</v>
      </c>
      <c r="I754">
        <v>77.400000000000006</v>
      </c>
      <c r="J754" s="1">
        <v>21000</v>
      </c>
      <c r="K754" s="1">
        <v>21000</v>
      </c>
    </row>
    <row r="755" spans="1:11" x14ac:dyDescent="0.25">
      <c r="A755" t="s">
        <v>2132</v>
      </c>
      <c r="B755" t="s">
        <v>2736</v>
      </c>
      <c r="C755" t="s">
        <v>16</v>
      </c>
      <c r="D755" t="s">
        <v>4461</v>
      </c>
      <c r="E755" t="s">
        <v>4459</v>
      </c>
      <c r="F755" t="s">
        <v>2740</v>
      </c>
      <c r="G755" s="2">
        <v>45387</v>
      </c>
      <c r="H755" t="s">
        <v>2133</v>
      </c>
      <c r="I755">
        <v>36.9</v>
      </c>
      <c r="J755" s="1">
        <v>10000</v>
      </c>
      <c r="K755" s="1">
        <v>10000</v>
      </c>
    </row>
    <row r="756" spans="1:11" x14ac:dyDescent="0.25">
      <c r="A756" t="s">
        <v>2130</v>
      </c>
      <c r="B756" t="s">
        <v>2736</v>
      </c>
      <c r="C756" t="s">
        <v>16</v>
      </c>
      <c r="D756" t="s">
        <v>4461</v>
      </c>
      <c r="E756" t="s">
        <v>4459</v>
      </c>
      <c r="F756" t="s">
        <v>2740</v>
      </c>
      <c r="G756" s="2">
        <v>45387</v>
      </c>
      <c r="H756" t="s">
        <v>2131</v>
      </c>
      <c r="I756">
        <v>166</v>
      </c>
      <c r="J756" s="1">
        <v>45000</v>
      </c>
      <c r="K756" s="1">
        <v>45000</v>
      </c>
    </row>
    <row r="757" spans="1:11" x14ac:dyDescent="0.25">
      <c r="A757" t="s">
        <v>2118</v>
      </c>
      <c r="B757" t="s">
        <v>2701</v>
      </c>
      <c r="C757" t="s">
        <v>16</v>
      </c>
      <c r="D757" t="s">
        <v>4466</v>
      </c>
      <c r="E757" t="s">
        <v>4453</v>
      </c>
      <c r="F757" t="s">
        <v>2740</v>
      </c>
      <c r="G757" s="2">
        <v>45388</v>
      </c>
      <c r="H757" t="s">
        <v>2119</v>
      </c>
      <c r="I757">
        <v>36.799999999999997</v>
      </c>
      <c r="J757" s="1">
        <v>10000</v>
      </c>
      <c r="K757" s="1">
        <v>10000</v>
      </c>
    </row>
    <row r="758" spans="1:11" x14ac:dyDescent="0.25">
      <c r="A758" t="s">
        <v>2120</v>
      </c>
      <c r="B758" t="s">
        <v>2724</v>
      </c>
      <c r="C758" t="s">
        <v>16</v>
      </c>
      <c r="D758" t="s">
        <v>4462</v>
      </c>
      <c r="E758" t="s">
        <v>4451</v>
      </c>
      <c r="F758" t="s">
        <v>2740</v>
      </c>
      <c r="G758" s="2">
        <v>45388</v>
      </c>
      <c r="H758" t="s">
        <v>2121</v>
      </c>
      <c r="I758">
        <v>36.9</v>
      </c>
      <c r="J758" s="1">
        <v>10000</v>
      </c>
      <c r="K758" s="1">
        <v>10000</v>
      </c>
    </row>
    <row r="759" spans="1:11" x14ac:dyDescent="0.25">
      <c r="A759" t="s">
        <v>2122</v>
      </c>
      <c r="B759" t="s">
        <v>2702</v>
      </c>
      <c r="C759" t="s">
        <v>35</v>
      </c>
      <c r="D759" t="s">
        <v>3305</v>
      </c>
      <c r="E759" t="s">
        <v>3304</v>
      </c>
      <c r="F759" t="s">
        <v>2740</v>
      </c>
      <c r="G759" s="2">
        <v>45388</v>
      </c>
      <c r="H759" t="s">
        <v>2123</v>
      </c>
      <c r="I759">
        <v>184.4</v>
      </c>
      <c r="J759" s="1">
        <v>50000</v>
      </c>
      <c r="K759" s="1">
        <v>50000</v>
      </c>
    </row>
    <row r="760" spans="1:11" x14ac:dyDescent="0.25">
      <c r="A760" t="s">
        <v>2124</v>
      </c>
      <c r="B760" t="s">
        <v>66</v>
      </c>
      <c r="C760" t="s">
        <v>35</v>
      </c>
      <c r="D760" t="s">
        <v>4466</v>
      </c>
      <c r="E760" t="s">
        <v>3304</v>
      </c>
      <c r="F760" t="s">
        <v>2740</v>
      </c>
      <c r="G760" s="2">
        <v>45388</v>
      </c>
      <c r="H760" t="s">
        <v>2125</v>
      </c>
      <c r="I760">
        <v>184.4</v>
      </c>
      <c r="J760" s="1">
        <v>50000</v>
      </c>
      <c r="K760" s="1">
        <v>50000</v>
      </c>
    </row>
    <row r="761" spans="1:11" x14ac:dyDescent="0.25">
      <c r="A761" t="s">
        <v>2128</v>
      </c>
      <c r="B761" t="s">
        <v>4471</v>
      </c>
      <c r="C761" t="s">
        <v>35</v>
      </c>
      <c r="D761" t="s">
        <v>4470</v>
      </c>
      <c r="E761" t="s">
        <v>35</v>
      </c>
      <c r="F761" t="s">
        <v>2740</v>
      </c>
      <c r="G761" s="2">
        <v>45388</v>
      </c>
      <c r="H761" t="s">
        <v>2129</v>
      </c>
      <c r="I761">
        <v>73.7</v>
      </c>
      <c r="J761" s="1">
        <v>20000</v>
      </c>
      <c r="K761" s="1">
        <v>20000</v>
      </c>
    </row>
    <row r="762" spans="1:11" x14ac:dyDescent="0.25">
      <c r="A762" t="s">
        <v>2126</v>
      </c>
      <c r="B762" t="s">
        <v>4463</v>
      </c>
      <c r="C762" t="s">
        <v>35</v>
      </c>
      <c r="D762" t="s">
        <v>4464</v>
      </c>
      <c r="E762" t="s">
        <v>3304</v>
      </c>
      <c r="F762" t="s">
        <v>2740</v>
      </c>
      <c r="G762" s="2">
        <v>45388</v>
      </c>
      <c r="H762" t="s">
        <v>2127</v>
      </c>
      <c r="I762">
        <v>368.8</v>
      </c>
      <c r="J762" s="1">
        <v>100000</v>
      </c>
      <c r="K762" s="1">
        <v>100000</v>
      </c>
    </row>
    <row r="763" spans="1:11" x14ac:dyDescent="0.25">
      <c r="A763" t="s">
        <v>2110</v>
      </c>
      <c r="B763" t="s">
        <v>2700</v>
      </c>
      <c r="C763" t="s">
        <v>27</v>
      </c>
      <c r="D763" t="s">
        <v>4466</v>
      </c>
      <c r="E763" t="s">
        <v>4450</v>
      </c>
      <c r="F763" t="s">
        <v>2740</v>
      </c>
      <c r="G763" s="2">
        <v>45389</v>
      </c>
      <c r="H763" t="s">
        <v>2111</v>
      </c>
      <c r="I763">
        <v>147.5</v>
      </c>
      <c r="J763" s="1">
        <v>40000</v>
      </c>
      <c r="K763" s="1">
        <v>40000</v>
      </c>
    </row>
    <row r="764" spans="1:11" x14ac:dyDescent="0.25">
      <c r="A764" t="s">
        <v>2112</v>
      </c>
      <c r="B764" t="s">
        <v>2720</v>
      </c>
      <c r="C764" t="s">
        <v>16</v>
      </c>
      <c r="D764" t="s">
        <v>4461</v>
      </c>
      <c r="E764" t="s">
        <v>4425</v>
      </c>
      <c r="F764" t="s">
        <v>2740</v>
      </c>
      <c r="G764" s="2">
        <v>45389</v>
      </c>
      <c r="H764" t="s">
        <v>2113</v>
      </c>
      <c r="I764">
        <v>921.9</v>
      </c>
      <c r="J764" s="1">
        <v>250000</v>
      </c>
      <c r="K764" s="1">
        <v>250000</v>
      </c>
    </row>
    <row r="765" spans="1:11" x14ac:dyDescent="0.25">
      <c r="A765" t="s">
        <v>2114</v>
      </c>
      <c r="B765" t="s">
        <v>2707</v>
      </c>
      <c r="C765" t="s">
        <v>16</v>
      </c>
      <c r="D765" t="s">
        <v>4462</v>
      </c>
      <c r="E765" t="s">
        <v>4433</v>
      </c>
      <c r="F765" t="s">
        <v>2740</v>
      </c>
      <c r="G765" s="2">
        <v>45389</v>
      </c>
      <c r="H765" t="s">
        <v>2115</v>
      </c>
      <c r="I765">
        <v>250.7</v>
      </c>
      <c r="J765" s="1">
        <v>68000</v>
      </c>
      <c r="K765" s="1">
        <v>68000</v>
      </c>
    </row>
    <row r="766" spans="1:11" x14ac:dyDescent="0.25">
      <c r="A766" t="s">
        <v>2116</v>
      </c>
      <c r="B766" t="s">
        <v>2705</v>
      </c>
      <c r="C766" t="s">
        <v>42</v>
      </c>
      <c r="D766" t="s">
        <v>4467</v>
      </c>
      <c r="E766" t="s">
        <v>4435</v>
      </c>
      <c r="F766" t="s">
        <v>2740</v>
      </c>
      <c r="G766" s="2">
        <v>45389</v>
      </c>
      <c r="H766" t="s">
        <v>2117</v>
      </c>
      <c r="I766">
        <v>184.4</v>
      </c>
      <c r="J766" s="1">
        <v>50000</v>
      </c>
      <c r="K766" s="1">
        <v>50000</v>
      </c>
    </row>
    <row r="767" spans="1:11" x14ac:dyDescent="0.25">
      <c r="A767" t="s">
        <v>2108</v>
      </c>
      <c r="B767" t="s">
        <v>2726</v>
      </c>
      <c r="C767" t="s">
        <v>16</v>
      </c>
      <c r="D767" t="s">
        <v>4466</v>
      </c>
      <c r="E767" t="s">
        <v>4437</v>
      </c>
      <c r="F767" t="s">
        <v>2740</v>
      </c>
      <c r="G767" s="2">
        <v>45390</v>
      </c>
      <c r="H767" t="s">
        <v>2109</v>
      </c>
      <c r="I767">
        <v>236</v>
      </c>
      <c r="J767" s="1">
        <v>64000</v>
      </c>
      <c r="K767" s="1">
        <v>64000</v>
      </c>
    </row>
    <row r="768" spans="1:11" x14ac:dyDescent="0.25">
      <c r="A768" t="s">
        <v>2103</v>
      </c>
      <c r="B768" t="s">
        <v>66</v>
      </c>
      <c r="C768" t="s">
        <v>35</v>
      </c>
      <c r="D768" t="s">
        <v>4466</v>
      </c>
      <c r="E768" t="s">
        <v>3304</v>
      </c>
      <c r="F768" t="s">
        <v>2740</v>
      </c>
      <c r="G768" s="2">
        <v>45390</v>
      </c>
      <c r="H768" t="s">
        <v>2104</v>
      </c>
      <c r="I768">
        <v>184.3</v>
      </c>
      <c r="J768" s="1">
        <v>50000</v>
      </c>
      <c r="K768" s="1">
        <v>50000</v>
      </c>
    </row>
    <row r="769" spans="1:11" x14ac:dyDescent="0.25">
      <c r="A769" t="s">
        <v>2105</v>
      </c>
      <c r="B769" t="s">
        <v>4463</v>
      </c>
      <c r="C769" t="s">
        <v>35</v>
      </c>
      <c r="D769" t="s">
        <v>4464</v>
      </c>
      <c r="E769" t="s">
        <v>3304</v>
      </c>
      <c r="F769" t="s">
        <v>2740</v>
      </c>
      <c r="G769" s="2">
        <v>45390</v>
      </c>
      <c r="H769" t="s">
        <v>2106</v>
      </c>
      <c r="I769">
        <v>368.7</v>
      </c>
      <c r="J769" s="1">
        <v>100000</v>
      </c>
      <c r="K769" s="1">
        <v>100000</v>
      </c>
    </row>
    <row r="770" spans="1:11" x14ac:dyDescent="0.25">
      <c r="A770" t="s">
        <v>2101</v>
      </c>
      <c r="B770" t="s">
        <v>2718</v>
      </c>
      <c r="C770" t="s">
        <v>16</v>
      </c>
      <c r="D770" t="s">
        <v>4466</v>
      </c>
      <c r="E770" t="s">
        <v>4438</v>
      </c>
      <c r="F770" t="s">
        <v>2740</v>
      </c>
      <c r="G770" s="2">
        <v>45391</v>
      </c>
      <c r="H770" t="s">
        <v>2102</v>
      </c>
      <c r="I770">
        <v>93.5</v>
      </c>
      <c r="J770" s="1">
        <v>40000</v>
      </c>
      <c r="K770" s="1">
        <v>40000</v>
      </c>
    </row>
    <row r="771" spans="1:11" x14ac:dyDescent="0.25">
      <c r="A771" t="s">
        <v>2098</v>
      </c>
      <c r="B771" t="s">
        <v>2701</v>
      </c>
      <c r="C771" t="s">
        <v>16</v>
      </c>
      <c r="D771" t="s">
        <v>4466</v>
      </c>
      <c r="E771" t="s">
        <v>4453</v>
      </c>
      <c r="F771" t="s">
        <v>2740</v>
      </c>
      <c r="G771" s="2">
        <v>45391</v>
      </c>
      <c r="H771" t="s">
        <v>2099</v>
      </c>
      <c r="I771">
        <v>23.4</v>
      </c>
      <c r="J771" s="1">
        <v>10000</v>
      </c>
      <c r="K771" s="1">
        <v>10000</v>
      </c>
    </row>
    <row r="772" spans="1:11" x14ac:dyDescent="0.25">
      <c r="A772" t="s">
        <v>2093</v>
      </c>
      <c r="B772" t="s">
        <v>2714</v>
      </c>
      <c r="C772" t="s">
        <v>16</v>
      </c>
      <c r="D772" t="s">
        <v>4466</v>
      </c>
      <c r="E772" t="s">
        <v>4434</v>
      </c>
      <c r="F772" t="s">
        <v>2740</v>
      </c>
      <c r="G772" s="2">
        <v>45393</v>
      </c>
      <c r="H772" t="s">
        <v>2094</v>
      </c>
      <c r="I772">
        <v>280.5</v>
      </c>
      <c r="J772" s="1">
        <v>120000</v>
      </c>
      <c r="K772" s="1">
        <v>120000</v>
      </c>
    </row>
    <row r="773" spans="1:11" x14ac:dyDescent="0.25">
      <c r="A773" t="s">
        <v>2095</v>
      </c>
      <c r="B773" t="s">
        <v>2701</v>
      </c>
      <c r="C773" t="s">
        <v>16</v>
      </c>
      <c r="D773" t="s">
        <v>4466</v>
      </c>
      <c r="E773" t="s">
        <v>4453</v>
      </c>
      <c r="F773" t="s">
        <v>2740</v>
      </c>
      <c r="G773" s="2">
        <v>45393</v>
      </c>
      <c r="H773" t="s">
        <v>2096</v>
      </c>
      <c r="I773">
        <v>35.1</v>
      </c>
      <c r="J773" s="1">
        <v>15000</v>
      </c>
      <c r="K773" s="1">
        <v>15000</v>
      </c>
    </row>
    <row r="774" spans="1:11" x14ac:dyDescent="0.25">
      <c r="A774" t="s">
        <v>2082</v>
      </c>
      <c r="B774" t="s">
        <v>2712</v>
      </c>
      <c r="C774" t="s">
        <v>16</v>
      </c>
      <c r="D774" t="s">
        <v>4461</v>
      </c>
      <c r="E774" t="s">
        <v>4449</v>
      </c>
      <c r="F774" t="s">
        <v>2740</v>
      </c>
      <c r="G774" s="2">
        <v>45394</v>
      </c>
      <c r="H774" t="s">
        <v>2083</v>
      </c>
      <c r="I774">
        <v>36.5</v>
      </c>
      <c r="J774" s="1">
        <v>10000</v>
      </c>
      <c r="K774" s="1">
        <v>10000</v>
      </c>
    </row>
    <row r="775" spans="1:11" x14ac:dyDescent="0.25">
      <c r="A775" t="s">
        <v>2084</v>
      </c>
      <c r="B775" t="s">
        <v>4472</v>
      </c>
      <c r="C775" t="s">
        <v>16</v>
      </c>
      <c r="D775" t="s">
        <v>4461</v>
      </c>
      <c r="E775" t="s">
        <v>4373</v>
      </c>
      <c r="F775" t="s">
        <v>2740</v>
      </c>
      <c r="G775" s="2">
        <v>45394</v>
      </c>
      <c r="H775" t="s">
        <v>2085</v>
      </c>
      <c r="I775">
        <v>911.9</v>
      </c>
      <c r="J775" s="1">
        <v>250000</v>
      </c>
      <c r="K775" s="1">
        <v>250000</v>
      </c>
    </row>
    <row r="776" spans="1:11" x14ac:dyDescent="0.25">
      <c r="A776" t="s">
        <v>2086</v>
      </c>
      <c r="B776" t="s">
        <v>2725</v>
      </c>
      <c r="C776" t="s">
        <v>16</v>
      </c>
      <c r="D776" t="s">
        <v>4465</v>
      </c>
      <c r="E776" t="s">
        <v>4429</v>
      </c>
      <c r="F776" t="s">
        <v>2740</v>
      </c>
      <c r="G776" s="2">
        <v>45394</v>
      </c>
      <c r="H776" t="s">
        <v>2087</v>
      </c>
      <c r="I776">
        <v>40.1</v>
      </c>
      <c r="J776" s="1">
        <v>11000</v>
      </c>
      <c r="K776" s="1">
        <v>11000</v>
      </c>
    </row>
    <row r="777" spans="1:11" x14ac:dyDescent="0.25">
      <c r="A777" t="s">
        <v>2088</v>
      </c>
      <c r="B777" t="s">
        <v>2710</v>
      </c>
      <c r="C777" t="s">
        <v>42</v>
      </c>
      <c r="D777" t="s">
        <v>4467</v>
      </c>
      <c r="E777" t="s">
        <v>4436</v>
      </c>
      <c r="F777" t="s">
        <v>2740</v>
      </c>
      <c r="G777" s="2">
        <v>45394</v>
      </c>
      <c r="H777" t="s">
        <v>2089</v>
      </c>
      <c r="I777">
        <v>766.1</v>
      </c>
      <c r="J777" s="1">
        <v>210000</v>
      </c>
      <c r="K777" s="1">
        <v>210000</v>
      </c>
    </row>
    <row r="778" spans="1:11" x14ac:dyDescent="0.25">
      <c r="A778" t="s">
        <v>2091</v>
      </c>
      <c r="B778" t="s">
        <v>2698</v>
      </c>
      <c r="C778" t="s">
        <v>16</v>
      </c>
      <c r="D778" t="s">
        <v>4465</v>
      </c>
      <c r="E778" t="s">
        <v>4442</v>
      </c>
      <c r="F778" t="s">
        <v>2740</v>
      </c>
      <c r="G778" s="2">
        <v>45394</v>
      </c>
      <c r="H778" t="s">
        <v>2092</v>
      </c>
      <c r="I778">
        <v>547.20000000000005</v>
      </c>
      <c r="J778" s="1">
        <v>150000</v>
      </c>
      <c r="K778" s="1">
        <v>150000</v>
      </c>
    </row>
    <row r="779" spans="1:11" x14ac:dyDescent="0.25">
      <c r="A779" t="s">
        <v>2050</v>
      </c>
      <c r="B779" t="s">
        <v>2727</v>
      </c>
      <c r="C779" t="s">
        <v>16</v>
      </c>
      <c r="D779" t="s">
        <v>4465</v>
      </c>
      <c r="E779" t="s">
        <v>4445</v>
      </c>
      <c r="F779" t="s">
        <v>2740</v>
      </c>
      <c r="G779" s="2">
        <v>45395</v>
      </c>
      <c r="H779" t="s">
        <v>2051</v>
      </c>
      <c r="I779">
        <v>72.900000000000006</v>
      </c>
      <c r="J779" s="1">
        <v>20000</v>
      </c>
      <c r="K779" s="1">
        <v>20000</v>
      </c>
    </row>
    <row r="780" spans="1:11" x14ac:dyDescent="0.25">
      <c r="A780" t="s">
        <v>2060</v>
      </c>
      <c r="B780" t="s">
        <v>2735</v>
      </c>
      <c r="C780" t="s">
        <v>16</v>
      </c>
      <c r="D780" t="s">
        <v>4462</v>
      </c>
      <c r="E780" t="s">
        <v>4426</v>
      </c>
      <c r="F780" t="s">
        <v>2740</v>
      </c>
      <c r="G780" s="2">
        <v>45395</v>
      </c>
      <c r="H780" t="s">
        <v>2061</v>
      </c>
      <c r="I780">
        <v>182.4</v>
      </c>
      <c r="J780" s="1">
        <v>50000</v>
      </c>
      <c r="K780" s="1">
        <v>50000</v>
      </c>
    </row>
    <row r="781" spans="1:11" x14ac:dyDescent="0.25">
      <c r="A781" t="s">
        <v>2066</v>
      </c>
      <c r="B781" t="s">
        <v>2709</v>
      </c>
      <c r="C781" t="s">
        <v>42</v>
      </c>
      <c r="D781" t="s">
        <v>4467</v>
      </c>
      <c r="E781" t="s">
        <v>4456</v>
      </c>
      <c r="F781" t="s">
        <v>2740</v>
      </c>
      <c r="G781" s="2">
        <v>45395</v>
      </c>
      <c r="H781" t="s">
        <v>2067</v>
      </c>
      <c r="I781">
        <v>656.6</v>
      </c>
      <c r="J781" s="1">
        <v>180000</v>
      </c>
      <c r="K781" s="1">
        <v>180000</v>
      </c>
    </row>
    <row r="782" spans="1:11" x14ac:dyDescent="0.25">
      <c r="A782" t="s">
        <v>2068</v>
      </c>
      <c r="B782" t="s">
        <v>2721</v>
      </c>
      <c r="C782" t="s">
        <v>16</v>
      </c>
      <c r="D782" t="s">
        <v>4466</v>
      </c>
      <c r="E782" t="s">
        <v>4438</v>
      </c>
      <c r="F782" t="s">
        <v>2740</v>
      </c>
      <c r="G782" s="2">
        <v>45395</v>
      </c>
      <c r="H782" t="s">
        <v>2069</v>
      </c>
      <c r="I782">
        <v>547.20000000000005</v>
      </c>
      <c r="J782" s="1">
        <v>150000</v>
      </c>
      <c r="K782" s="1">
        <v>150000</v>
      </c>
    </row>
    <row r="783" spans="1:11" x14ac:dyDescent="0.25">
      <c r="A783" t="s">
        <v>2074</v>
      </c>
      <c r="B783" t="s">
        <v>2723</v>
      </c>
      <c r="C783" t="s">
        <v>16</v>
      </c>
      <c r="D783" t="s">
        <v>4462</v>
      </c>
      <c r="E783" t="s">
        <v>4443</v>
      </c>
      <c r="F783" t="s">
        <v>2740</v>
      </c>
      <c r="G783" s="2">
        <v>45395</v>
      </c>
      <c r="H783" t="s">
        <v>2075</v>
      </c>
      <c r="I783">
        <v>912</v>
      </c>
      <c r="J783" s="1">
        <v>250000</v>
      </c>
      <c r="K783" s="1">
        <v>250000</v>
      </c>
    </row>
    <row r="784" spans="1:11" x14ac:dyDescent="0.25">
      <c r="A784" t="s">
        <v>2078</v>
      </c>
      <c r="B784" t="s">
        <v>133</v>
      </c>
      <c r="C784" t="s">
        <v>35</v>
      </c>
      <c r="D784" t="s">
        <v>4461</v>
      </c>
      <c r="E784" t="s">
        <v>3304</v>
      </c>
      <c r="F784" t="s">
        <v>2740</v>
      </c>
      <c r="G784" s="2">
        <v>45395</v>
      </c>
      <c r="H784" t="s">
        <v>2079</v>
      </c>
      <c r="I784">
        <v>80.2</v>
      </c>
      <c r="J784" s="1">
        <v>22000</v>
      </c>
      <c r="K784" s="1">
        <v>22000</v>
      </c>
    </row>
    <row r="785" spans="1:11" x14ac:dyDescent="0.25">
      <c r="A785" t="s">
        <v>2052</v>
      </c>
      <c r="B785" t="s">
        <v>2735</v>
      </c>
      <c r="C785" t="s">
        <v>16</v>
      </c>
      <c r="D785" t="s">
        <v>4462</v>
      </c>
      <c r="E785" t="s">
        <v>4426</v>
      </c>
      <c r="F785" t="s">
        <v>2740</v>
      </c>
      <c r="G785" s="2">
        <v>45395</v>
      </c>
      <c r="H785" t="s">
        <v>2053</v>
      </c>
      <c r="I785">
        <v>145.9</v>
      </c>
      <c r="J785" s="1">
        <v>40000</v>
      </c>
      <c r="K785" s="1">
        <v>40000</v>
      </c>
    </row>
    <row r="786" spans="1:11" x14ac:dyDescent="0.25">
      <c r="A786" t="s">
        <v>2054</v>
      </c>
      <c r="B786" t="s">
        <v>2735</v>
      </c>
      <c r="C786" t="s">
        <v>16</v>
      </c>
      <c r="D786" t="s">
        <v>4462</v>
      </c>
      <c r="E786" t="s">
        <v>4426</v>
      </c>
      <c r="F786" t="s">
        <v>2740</v>
      </c>
      <c r="G786" s="2">
        <v>45395</v>
      </c>
      <c r="H786" t="s">
        <v>2055</v>
      </c>
      <c r="I786">
        <v>109.4</v>
      </c>
      <c r="J786" s="1">
        <v>30000</v>
      </c>
      <c r="K786" s="1">
        <v>30000</v>
      </c>
    </row>
    <row r="787" spans="1:11" x14ac:dyDescent="0.25">
      <c r="A787" t="s">
        <v>2056</v>
      </c>
      <c r="B787" t="s">
        <v>2735</v>
      </c>
      <c r="C787" t="s">
        <v>16</v>
      </c>
      <c r="D787" t="s">
        <v>4462</v>
      </c>
      <c r="E787" t="s">
        <v>4426</v>
      </c>
      <c r="F787" t="s">
        <v>2740</v>
      </c>
      <c r="G787" s="2">
        <v>45395</v>
      </c>
      <c r="H787" t="s">
        <v>2057</v>
      </c>
      <c r="I787">
        <v>109.5</v>
      </c>
      <c r="J787" s="1">
        <v>30000</v>
      </c>
      <c r="K787" s="1">
        <v>30000</v>
      </c>
    </row>
    <row r="788" spans="1:11" x14ac:dyDescent="0.25">
      <c r="A788" t="s">
        <v>2058</v>
      </c>
      <c r="B788" t="s">
        <v>2735</v>
      </c>
      <c r="C788" t="s">
        <v>16</v>
      </c>
      <c r="D788" t="s">
        <v>4462</v>
      </c>
      <c r="E788" t="s">
        <v>4426</v>
      </c>
      <c r="F788" t="s">
        <v>2740</v>
      </c>
      <c r="G788" s="2">
        <v>45395</v>
      </c>
      <c r="H788" t="s">
        <v>2059</v>
      </c>
      <c r="I788">
        <v>182.4</v>
      </c>
      <c r="J788" s="1">
        <v>50000</v>
      </c>
      <c r="K788" s="1">
        <v>50000</v>
      </c>
    </row>
    <row r="789" spans="1:11" x14ac:dyDescent="0.25">
      <c r="A789" t="s">
        <v>2062</v>
      </c>
      <c r="B789" t="s">
        <v>2719</v>
      </c>
      <c r="C789" t="s">
        <v>16</v>
      </c>
      <c r="D789" t="s">
        <v>4466</v>
      </c>
      <c r="E789" t="s">
        <v>4430</v>
      </c>
      <c r="F789" t="s">
        <v>2740</v>
      </c>
      <c r="G789" s="2">
        <v>45395</v>
      </c>
      <c r="H789" t="s">
        <v>2063</v>
      </c>
      <c r="I789">
        <v>364.8</v>
      </c>
      <c r="J789" s="1">
        <v>100000</v>
      </c>
      <c r="K789" s="1">
        <v>100000</v>
      </c>
    </row>
    <row r="790" spans="1:11" x14ac:dyDescent="0.25">
      <c r="A790" t="s">
        <v>2064</v>
      </c>
      <c r="B790" t="s">
        <v>2731</v>
      </c>
      <c r="C790" t="s">
        <v>16</v>
      </c>
      <c r="D790" t="s">
        <v>4465</v>
      </c>
      <c r="E790" t="s">
        <v>4460</v>
      </c>
      <c r="F790" t="s">
        <v>2740</v>
      </c>
      <c r="G790" s="2">
        <v>45395</v>
      </c>
      <c r="H790" t="s">
        <v>2065</v>
      </c>
      <c r="I790">
        <v>729.2</v>
      </c>
      <c r="J790" s="1">
        <v>199900</v>
      </c>
      <c r="K790" s="1">
        <v>199900</v>
      </c>
    </row>
    <row r="791" spans="1:11" x14ac:dyDescent="0.25">
      <c r="A791" t="s">
        <v>2070</v>
      </c>
      <c r="B791" t="s">
        <v>2731</v>
      </c>
      <c r="C791" t="s">
        <v>16</v>
      </c>
      <c r="D791" t="s">
        <v>4465</v>
      </c>
      <c r="E791" t="s">
        <v>4460</v>
      </c>
      <c r="F791" t="s">
        <v>2740</v>
      </c>
      <c r="G791" s="2">
        <v>45395</v>
      </c>
      <c r="H791" t="s">
        <v>2071</v>
      </c>
      <c r="I791">
        <v>502.4</v>
      </c>
      <c r="J791" s="1">
        <v>137700</v>
      </c>
      <c r="K791" s="1">
        <v>137700</v>
      </c>
    </row>
    <row r="792" spans="1:11" x14ac:dyDescent="0.25">
      <c r="A792" t="s">
        <v>2072</v>
      </c>
      <c r="B792" t="s">
        <v>2729</v>
      </c>
      <c r="C792" t="s">
        <v>16</v>
      </c>
      <c r="D792" t="s">
        <v>4465</v>
      </c>
      <c r="E792" t="s">
        <v>4427</v>
      </c>
      <c r="F792" t="s">
        <v>2740</v>
      </c>
      <c r="G792" s="2">
        <v>45395</v>
      </c>
      <c r="H792" t="s">
        <v>2073</v>
      </c>
      <c r="I792">
        <v>73</v>
      </c>
      <c r="J792" s="1">
        <v>20000</v>
      </c>
      <c r="K792" s="1">
        <v>20000</v>
      </c>
    </row>
    <row r="793" spans="1:11" x14ac:dyDescent="0.25">
      <c r="A793" t="s">
        <v>2076</v>
      </c>
      <c r="B793" t="s">
        <v>2726</v>
      </c>
      <c r="C793" t="s">
        <v>16</v>
      </c>
      <c r="D793" t="s">
        <v>4466</v>
      </c>
      <c r="E793" t="s">
        <v>4437</v>
      </c>
      <c r="F793" t="s">
        <v>2740</v>
      </c>
      <c r="G793" s="2">
        <v>45395</v>
      </c>
      <c r="H793" t="s">
        <v>2077</v>
      </c>
      <c r="I793">
        <v>912</v>
      </c>
      <c r="J793" s="1">
        <v>250000</v>
      </c>
      <c r="K793" s="1">
        <v>250000</v>
      </c>
    </row>
    <row r="794" spans="1:11" x14ac:dyDescent="0.25">
      <c r="A794" t="s">
        <v>2080</v>
      </c>
      <c r="B794" t="s">
        <v>4463</v>
      </c>
      <c r="C794" t="s">
        <v>35</v>
      </c>
      <c r="D794" t="s">
        <v>4464</v>
      </c>
      <c r="E794" t="s">
        <v>3304</v>
      </c>
      <c r="F794" t="s">
        <v>2740</v>
      </c>
      <c r="G794" s="2">
        <v>45395</v>
      </c>
      <c r="H794" t="s">
        <v>2081</v>
      </c>
      <c r="I794">
        <v>364.8</v>
      </c>
      <c r="J794" s="1">
        <v>100000</v>
      </c>
      <c r="K794" s="1">
        <v>100000</v>
      </c>
    </row>
    <row r="795" spans="1:11" x14ac:dyDescent="0.25">
      <c r="A795" t="s">
        <v>2048</v>
      </c>
      <c r="B795" t="s">
        <v>2713</v>
      </c>
      <c r="C795" t="s">
        <v>16</v>
      </c>
      <c r="D795" t="s">
        <v>4465</v>
      </c>
      <c r="E795" t="s">
        <v>4428</v>
      </c>
      <c r="F795" t="s">
        <v>2740</v>
      </c>
      <c r="G795" s="2">
        <v>45397</v>
      </c>
      <c r="H795" t="s">
        <v>2049</v>
      </c>
      <c r="I795">
        <v>584.29999999999995</v>
      </c>
      <c r="J795" s="1">
        <v>250000</v>
      </c>
      <c r="K795" s="1">
        <v>250000</v>
      </c>
    </row>
    <row r="796" spans="1:11" x14ac:dyDescent="0.25">
      <c r="A796" t="s">
        <v>2044</v>
      </c>
      <c r="B796" t="s">
        <v>2727</v>
      </c>
      <c r="C796" t="s">
        <v>16</v>
      </c>
      <c r="D796" t="s">
        <v>4465</v>
      </c>
      <c r="E796" t="s">
        <v>4445</v>
      </c>
      <c r="F796" t="s">
        <v>2740</v>
      </c>
      <c r="G796" s="2">
        <v>45397</v>
      </c>
      <c r="H796" t="s">
        <v>2045</v>
      </c>
      <c r="I796">
        <v>233.7</v>
      </c>
      <c r="J796" s="1">
        <v>100000</v>
      </c>
      <c r="K796" s="1">
        <v>100000</v>
      </c>
    </row>
    <row r="797" spans="1:11" x14ac:dyDescent="0.25">
      <c r="A797" t="s">
        <v>2046</v>
      </c>
      <c r="B797" t="s">
        <v>2732</v>
      </c>
      <c r="C797" t="s">
        <v>16</v>
      </c>
      <c r="D797" t="s">
        <v>4461</v>
      </c>
      <c r="E797" t="s">
        <v>4444</v>
      </c>
      <c r="F797" t="s">
        <v>2740</v>
      </c>
      <c r="G797" s="2">
        <v>45397</v>
      </c>
      <c r="H797" t="s">
        <v>2047</v>
      </c>
      <c r="I797">
        <v>70.099999999999994</v>
      </c>
      <c r="J797" s="1">
        <v>30000</v>
      </c>
      <c r="K797" s="1">
        <v>30000</v>
      </c>
    </row>
    <row r="798" spans="1:11" x14ac:dyDescent="0.25">
      <c r="A798" t="s">
        <v>2026</v>
      </c>
      <c r="B798" t="s">
        <v>2724</v>
      </c>
      <c r="C798" t="s">
        <v>16</v>
      </c>
      <c r="D798" t="s">
        <v>4462</v>
      </c>
      <c r="E798" t="s">
        <v>4451</v>
      </c>
      <c r="F798" t="s">
        <v>2740</v>
      </c>
      <c r="G798" s="2">
        <v>45398</v>
      </c>
      <c r="H798" t="s">
        <v>2027</v>
      </c>
      <c r="I798">
        <v>116.9</v>
      </c>
      <c r="J798" s="1">
        <v>50000</v>
      </c>
      <c r="K798" s="1">
        <v>50000</v>
      </c>
    </row>
    <row r="799" spans="1:11" x14ac:dyDescent="0.25">
      <c r="A799" t="s">
        <v>2028</v>
      </c>
      <c r="B799" t="s">
        <v>133</v>
      </c>
      <c r="C799" t="s">
        <v>35</v>
      </c>
      <c r="D799" t="s">
        <v>4461</v>
      </c>
      <c r="E799" t="s">
        <v>3304</v>
      </c>
      <c r="F799" t="s">
        <v>2740</v>
      </c>
      <c r="G799" s="2">
        <v>45398</v>
      </c>
      <c r="H799" t="s">
        <v>2029</v>
      </c>
      <c r="I799">
        <v>116.9</v>
      </c>
      <c r="J799" s="1">
        <v>50000</v>
      </c>
      <c r="K799" s="1">
        <v>50000</v>
      </c>
    </row>
    <row r="800" spans="1:11" x14ac:dyDescent="0.25">
      <c r="A800" t="s">
        <v>2030</v>
      </c>
      <c r="B800" t="s">
        <v>93</v>
      </c>
      <c r="C800" t="s">
        <v>35</v>
      </c>
      <c r="D800" t="s">
        <v>4465</v>
      </c>
      <c r="E800" t="s">
        <v>3304</v>
      </c>
      <c r="F800" t="s">
        <v>2740</v>
      </c>
      <c r="G800" s="2">
        <v>45398</v>
      </c>
      <c r="H800" t="s">
        <v>2031</v>
      </c>
      <c r="I800">
        <v>116.8</v>
      </c>
      <c r="J800" s="1">
        <v>50000</v>
      </c>
      <c r="K800" s="1">
        <v>50000</v>
      </c>
    </row>
    <row r="801" spans="1:11" x14ac:dyDescent="0.25">
      <c r="A801" t="s">
        <v>2032</v>
      </c>
      <c r="B801" t="s">
        <v>136</v>
      </c>
      <c r="C801" t="s">
        <v>35</v>
      </c>
      <c r="D801" t="s">
        <v>4462</v>
      </c>
      <c r="E801" t="s">
        <v>3304</v>
      </c>
      <c r="F801" t="s">
        <v>2740</v>
      </c>
      <c r="G801" s="2">
        <v>45398</v>
      </c>
      <c r="H801" t="s">
        <v>2033</v>
      </c>
      <c r="I801">
        <v>116.8</v>
      </c>
      <c r="J801" s="1">
        <v>50000</v>
      </c>
      <c r="K801" s="1">
        <v>50000</v>
      </c>
    </row>
    <row r="802" spans="1:11" x14ac:dyDescent="0.25">
      <c r="A802" t="s">
        <v>2034</v>
      </c>
      <c r="B802" t="s">
        <v>2702</v>
      </c>
      <c r="C802" t="s">
        <v>35</v>
      </c>
      <c r="D802" t="s">
        <v>3305</v>
      </c>
      <c r="E802" t="s">
        <v>3304</v>
      </c>
      <c r="F802" t="s">
        <v>2740</v>
      </c>
      <c r="G802" s="2">
        <v>45398</v>
      </c>
      <c r="H802" t="s">
        <v>2035</v>
      </c>
      <c r="I802">
        <v>116.8</v>
      </c>
      <c r="J802" s="1">
        <v>50000</v>
      </c>
      <c r="K802" s="1">
        <v>50000</v>
      </c>
    </row>
    <row r="803" spans="1:11" x14ac:dyDescent="0.25">
      <c r="A803" t="s">
        <v>2036</v>
      </c>
      <c r="B803" t="s">
        <v>66</v>
      </c>
      <c r="C803" t="s">
        <v>35</v>
      </c>
      <c r="D803" t="s">
        <v>4466</v>
      </c>
      <c r="E803" t="s">
        <v>3304</v>
      </c>
      <c r="F803" t="s">
        <v>2740</v>
      </c>
      <c r="G803" s="2">
        <v>45398</v>
      </c>
      <c r="H803" t="s">
        <v>2037</v>
      </c>
      <c r="I803">
        <v>116.9</v>
      </c>
      <c r="J803" s="1">
        <v>50000</v>
      </c>
      <c r="K803" s="1">
        <v>50000</v>
      </c>
    </row>
    <row r="804" spans="1:11" x14ac:dyDescent="0.25">
      <c r="A804" t="s">
        <v>2038</v>
      </c>
      <c r="B804" t="s">
        <v>4463</v>
      </c>
      <c r="C804" t="s">
        <v>35</v>
      </c>
      <c r="D804" t="s">
        <v>4464</v>
      </c>
      <c r="E804" t="s">
        <v>3304</v>
      </c>
      <c r="F804" t="s">
        <v>2740</v>
      </c>
      <c r="G804" s="2">
        <v>45398</v>
      </c>
      <c r="H804" t="s">
        <v>2039</v>
      </c>
      <c r="I804">
        <v>233.7</v>
      </c>
      <c r="J804" s="1">
        <v>100000</v>
      </c>
      <c r="K804" s="1">
        <v>100000</v>
      </c>
    </row>
    <row r="805" spans="1:11" x14ac:dyDescent="0.25">
      <c r="A805" t="s">
        <v>2040</v>
      </c>
      <c r="B805" t="s">
        <v>4471</v>
      </c>
      <c r="C805" t="s">
        <v>35</v>
      </c>
      <c r="D805" t="s">
        <v>4470</v>
      </c>
      <c r="E805" t="s">
        <v>35</v>
      </c>
      <c r="F805" t="s">
        <v>2740</v>
      </c>
      <c r="G805" s="2">
        <v>45398</v>
      </c>
      <c r="H805" t="s">
        <v>2041</v>
      </c>
      <c r="I805">
        <v>46.7</v>
      </c>
      <c r="J805" s="1">
        <v>20000</v>
      </c>
      <c r="K805" s="1">
        <v>20000</v>
      </c>
    </row>
    <row r="806" spans="1:11" x14ac:dyDescent="0.25">
      <c r="A806" t="s">
        <v>2020</v>
      </c>
      <c r="B806" t="s">
        <v>2699</v>
      </c>
      <c r="C806" t="s">
        <v>16</v>
      </c>
      <c r="D806" t="s">
        <v>4462</v>
      </c>
      <c r="E806" t="s">
        <v>4440</v>
      </c>
      <c r="F806" t="s">
        <v>2740</v>
      </c>
      <c r="G806" s="2">
        <v>45399</v>
      </c>
      <c r="H806" t="s">
        <v>2021</v>
      </c>
      <c r="I806">
        <v>46.7</v>
      </c>
      <c r="J806" s="1">
        <v>20000</v>
      </c>
      <c r="K806" s="1">
        <v>20000</v>
      </c>
    </row>
    <row r="807" spans="1:11" x14ac:dyDescent="0.25">
      <c r="A807" t="s">
        <v>2022</v>
      </c>
      <c r="B807" t="s">
        <v>2729</v>
      </c>
      <c r="C807" t="s">
        <v>16</v>
      </c>
      <c r="D807" t="s">
        <v>4465</v>
      </c>
      <c r="E807" t="s">
        <v>4427</v>
      </c>
      <c r="F807" t="s">
        <v>2740</v>
      </c>
      <c r="G807" s="2">
        <v>45399</v>
      </c>
      <c r="H807" t="s">
        <v>2023</v>
      </c>
      <c r="I807">
        <v>58.5</v>
      </c>
      <c r="J807" s="1">
        <v>25000</v>
      </c>
      <c r="K807" s="1">
        <v>25000</v>
      </c>
    </row>
    <row r="808" spans="1:11" x14ac:dyDescent="0.25">
      <c r="A808" t="s">
        <v>2024</v>
      </c>
      <c r="B808" t="s">
        <v>2705</v>
      </c>
      <c r="C808" t="s">
        <v>42</v>
      </c>
      <c r="D808" t="s">
        <v>4467</v>
      </c>
      <c r="E808" t="s">
        <v>4435</v>
      </c>
      <c r="F808" t="s">
        <v>2740</v>
      </c>
      <c r="G808" s="2">
        <v>45399</v>
      </c>
      <c r="H808" t="s">
        <v>2025</v>
      </c>
      <c r="I808">
        <v>116.8</v>
      </c>
      <c r="J808" s="1">
        <v>50000</v>
      </c>
      <c r="K808" s="1">
        <v>50000</v>
      </c>
    </row>
    <row r="809" spans="1:11" x14ac:dyDescent="0.25">
      <c r="A809" t="s">
        <v>2014</v>
      </c>
      <c r="B809" t="s">
        <v>2705</v>
      </c>
      <c r="C809" t="s">
        <v>42</v>
      </c>
      <c r="D809" t="s">
        <v>4467</v>
      </c>
      <c r="E809" t="s">
        <v>4435</v>
      </c>
      <c r="F809" t="s">
        <v>2740</v>
      </c>
      <c r="G809" s="2">
        <v>45400</v>
      </c>
      <c r="H809" t="s">
        <v>2015</v>
      </c>
      <c r="I809">
        <v>116.9</v>
      </c>
      <c r="J809" s="1">
        <v>50000</v>
      </c>
      <c r="K809" s="1">
        <v>50000</v>
      </c>
    </row>
    <row r="810" spans="1:11" x14ac:dyDescent="0.25">
      <c r="A810" t="s">
        <v>2016</v>
      </c>
      <c r="B810" t="s">
        <v>4463</v>
      </c>
      <c r="C810" t="s">
        <v>35</v>
      </c>
      <c r="D810" t="s">
        <v>4464</v>
      </c>
      <c r="E810" t="s">
        <v>3304</v>
      </c>
      <c r="F810" t="s">
        <v>2740</v>
      </c>
      <c r="G810" s="2">
        <v>45400</v>
      </c>
      <c r="H810" t="s">
        <v>2017</v>
      </c>
      <c r="I810">
        <v>233.8</v>
      </c>
      <c r="J810" s="1">
        <v>100000</v>
      </c>
      <c r="K810" s="1">
        <v>100000</v>
      </c>
    </row>
    <row r="811" spans="1:11" x14ac:dyDescent="0.25">
      <c r="A811" t="s">
        <v>2018</v>
      </c>
      <c r="B811" t="s">
        <v>4471</v>
      </c>
      <c r="C811" t="s">
        <v>35</v>
      </c>
      <c r="D811" t="s">
        <v>4470</v>
      </c>
      <c r="E811" t="s">
        <v>35</v>
      </c>
      <c r="F811" t="s">
        <v>2740</v>
      </c>
      <c r="G811" s="2">
        <v>45400</v>
      </c>
      <c r="H811" t="s">
        <v>2019</v>
      </c>
      <c r="I811">
        <v>46.8</v>
      </c>
      <c r="J811" s="1">
        <v>20000</v>
      </c>
      <c r="K811" s="1">
        <v>20000</v>
      </c>
    </row>
    <row r="812" spans="1:11" x14ac:dyDescent="0.25">
      <c r="A812" t="s">
        <v>2010</v>
      </c>
      <c r="B812" t="s">
        <v>2703</v>
      </c>
      <c r="C812" t="s">
        <v>35</v>
      </c>
      <c r="D812" t="s">
        <v>4404</v>
      </c>
      <c r="E812" t="s">
        <v>3275</v>
      </c>
      <c r="F812" t="s">
        <v>2740</v>
      </c>
      <c r="G812" s="2">
        <v>45401</v>
      </c>
      <c r="H812" t="s">
        <v>2011</v>
      </c>
      <c r="I812">
        <v>112.2</v>
      </c>
      <c r="J812" s="1">
        <v>48000</v>
      </c>
      <c r="K812" s="1">
        <v>48000</v>
      </c>
    </row>
    <row r="813" spans="1:11" x14ac:dyDescent="0.25">
      <c r="A813" t="s">
        <v>2012</v>
      </c>
      <c r="B813" t="s">
        <v>2704</v>
      </c>
      <c r="C813" t="s">
        <v>35</v>
      </c>
      <c r="D813" t="s">
        <v>42</v>
      </c>
      <c r="E813" t="s">
        <v>3275</v>
      </c>
      <c r="F813" t="s">
        <v>2740</v>
      </c>
      <c r="G813" s="2">
        <v>45401</v>
      </c>
      <c r="H813" t="s">
        <v>2013</v>
      </c>
      <c r="I813">
        <v>112.2</v>
      </c>
      <c r="J813" s="1">
        <v>48000</v>
      </c>
      <c r="K813" s="1">
        <v>48000</v>
      </c>
    </row>
    <row r="814" spans="1:11" x14ac:dyDescent="0.25">
      <c r="A814" t="s">
        <v>2002</v>
      </c>
      <c r="B814" t="s">
        <v>2729</v>
      </c>
      <c r="C814" t="s">
        <v>16</v>
      </c>
      <c r="D814" t="s">
        <v>4465</v>
      </c>
      <c r="E814" t="s">
        <v>4427</v>
      </c>
      <c r="F814" t="s">
        <v>2740</v>
      </c>
      <c r="G814" s="2">
        <v>45401</v>
      </c>
      <c r="H814" t="s">
        <v>2003</v>
      </c>
      <c r="I814">
        <v>58.4</v>
      </c>
      <c r="J814" s="1">
        <v>25000</v>
      </c>
      <c r="K814" s="1">
        <v>25000</v>
      </c>
    </row>
    <row r="815" spans="1:11" x14ac:dyDescent="0.25">
      <c r="A815" t="s">
        <v>2004</v>
      </c>
      <c r="B815" t="s">
        <v>2702</v>
      </c>
      <c r="C815" t="s">
        <v>35</v>
      </c>
      <c r="D815" t="s">
        <v>3305</v>
      </c>
      <c r="E815" t="s">
        <v>3304</v>
      </c>
      <c r="F815" t="s">
        <v>2740</v>
      </c>
      <c r="G815" s="2">
        <v>45401</v>
      </c>
      <c r="H815" t="s">
        <v>2005</v>
      </c>
      <c r="I815">
        <v>116.9</v>
      </c>
      <c r="J815" s="1">
        <v>50000</v>
      </c>
      <c r="K815" s="1">
        <v>50000</v>
      </c>
    </row>
    <row r="816" spans="1:11" x14ac:dyDescent="0.25">
      <c r="A816" t="s">
        <v>2006</v>
      </c>
      <c r="B816" t="s">
        <v>66</v>
      </c>
      <c r="C816" t="s">
        <v>35</v>
      </c>
      <c r="D816" t="s">
        <v>4466</v>
      </c>
      <c r="E816" t="s">
        <v>3304</v>
      </c>
      <c r="F816" t="s">
        <v>2740</v>
      </c>
      <c r="G816" s="2">
        <v>45401</v>
      </c>
      <c r="H816" t="s">
        <v>2007</v>
      </c>
      <c r="I816">
        <v>233.7</v>
      </c>
      <c r="J816" s="1">
        <v>100000</v>
      </c>
      <c r="K816" s="1">
        <v>100000</v>
      </c>
    </row>
    <row r="817" spans="1:11" x14ac:dyDescent="0.25">
      <c r="A817" t="s">
        <v>2008</v>
      </c>
      <c r="B817" t="s">
        <v>4463</v>
      </c>
      <c r="C817" t="s">
        <v>35</v>
      </c>
      <c r="D817" t="s">
        <v>4464</v>
      </c>
      <c r="E817" t="s">
        <v>3304</v>
      </c>
      <c r="F817" t="s">
        <v>2740</v>
      </c>
      <c r="G817" s="2">
        <v>45401</v>
      </c>
      <c r="H817" t="s">
        <v>2009</v>
      </c>
      <c r="I817">
        <v>467.4</v>
      </c>
      <c r="J817" s="1">
        <v>200000</v>
      </c>
      <c r="K817" s="1">
        <v>200000</v>
      </c>
    </row>
    <row r="818" spans="1:11" x14ac:dyDescent="0.25">
      <c r="A818" t="s">
        <v>1996</v>
      </c>
      <c r="B818" t="s">
        <v>2705</v>
      </c>
      <c r="C818" t="s">
        <v>42</v>
      </c>
      <c r="D818" t="s">
        <v>4467</v>
      </c>
      <c r="E818" t="s">
        <v>4435</v>
      </c>
      <c r="F818" t="s">
        <v>2740</v>
      </c>
      <c r="G818" s="2">
        <v>45402</v>
      </c>
      <c r="H818" t="s">
        <v>1997</v>
      </c>
      <c r="I818">
        <v>116.9</v>
      </c>
      <c r="J818" s="1">
        <v>50000</v>
      </c>
      <c r="K818" s="1">
        <v>50000</v>
      </c>
    </row>
    <row r="819" spans="1:11" x14ac:dyDescent="0.25">
      <c r="A819" t="s">
        <v>1998</v>
      </c>
      <c r="B819" t="s">
        <v>2701</v>
      </c>
      <c r="C819" t="s">
        <v>16</v>
      </c>
      <c r="D819" t="s">
        <v>4466</v>
      </c>
      <c r="E819" t="s">
        <v>4453</v>
      </c>
      <c r="F819" t="s">
        <v>2740</v>
      </c>
      <c r="G819" s="2">
        <v>45402</v>
      </c>
      <c r="H819" t="s">
        <v>1999</v>
      </c>
      <c r="I819">
        <v>35.1</v>
      </c>
      <c r="J819" s="1">
        <v>15000</v>
      </c>
      <c r="K819" s="1">
        <v>15000</v>
      </c>
    </row>
    <row r="820" spans="1:11" x14ac:dyDescent="0.25">
      <c r="A820" t="s">
        <v>2000</v>
      </c>
      <c r="B820" t="s">
        <v>2718</v>
      </c>
      <c r="C820" t="s">
        <v>16</v>
      </c>
      <c r="D820" t="s">
        <v>4466</v>
      </c>
      <c r="E820" t="s">
        <v>4438</v>
      </c>
      <c r="F820" t="s">
        <v>2740</v>
      </c>
      <c r="G820" s="2">
        <v>45402</v>
      </c>
      <c r="H820" t="s">
        <v>2001</v>
      </c>
      <c r="I820">
        <v>93.5</v>
      </c>
      <c r="J820" s="1">
        <v>40000</v>
      </c>
      <c r="K820" s="1">
        <v>40000</v>
      </c>
    </row>
    <row r="821" spans="1:11" x14ac:dyDescent="0.25">
      <c r="A821" t="s">
        <v>1994</v>
      </c>
      <c r="B821" t="s">
        <v>2717</v>
      </c>
      <c r="C821" t="s">
        <v>16</v>
      </c>
      <c r="D821" t="s">
        <v>4466</v>
      </c>
      <c r="E821" t="s">
        <v>4431</v>
      </c>
      <c r="F821" t="s">
        <v>2740</v>
      </c>
      <c r="G821" s="2">
        <v>45403</v>
      </c>
      <c r="H821" t="s">
        <v>1995</v>
      </c>
      <c r="I821">
        <v>116.8</v>
      </c>
      <c r="J821" s="1">
        <v>50000</v>
      </c>
      <c r="K821" s="1">
        <v>50000</v>
      </c>
    </row>
    <row r="822" spans="1:11" x14ac:dyDescent="0.25">
      <c r="A822" t="s">
        <v>1988</v>
      </c>
      <c r="B822" t="s">
        <v>2729</v>
      </c>
      <c r="C822" t="s">
        <v>16</v>
      </c>
      <c r="D822" t="s">
        <v>4465</v>
      </c>
      <c r="E822" t="s">
        <v>4427</v>
      </c>
      <c r="F822" t="s">
        <v>2740</v>
      </c>
      <c r="G822" s="2">
        <v>45404</v>
      </c>
      <c r="H822" t="s">
        <v>1989</v>
      </c>
      <c r="I822">
        <v>68.900000000000006</v>
      </c>
      <c r="J822" s="1">
        <v>29500</v>
      </c>
      <c r="K822" s="1">
        <v>29500</v>
      </c>
    </row>
    <row r="823" spans="1:11" x14ac:dyDescent="0.25">
      <c r="A823" t="s">
        <v>1990</v>
      </c>
      <c r="B823" t="s">
        <v>4471</v>
      </c>
      <c r="C823" t="s">
        <v>35</v>
      </c>
      <c r="D823" t="s">
        <v>4470</v>
      </c>
      <c r="E823" t="s">
        <v>35</v>
      </c>
      <c r="F823" t="s">
        <v>2740</v>
      </c>
      <c r="G823" s="2">
        <v>45404</v>
      </c>
      <c r="H823" t="s">
        <v>1991</v>
      </c>
      <c r="I823">
        <v>46.7</v>
      </c>
      <c r="J823" s="1">
        <v>20000</v>
      </c>
      <c r="K823" s="1">
        <v>20000</v>
      </c>
    </row>
    <row r="824" spans="1:11" x14ac:dyDescent="0.25">
      <c r="A824" t="s">
        <v>1974</v>
      </c>
      <c r="B824" t="s">
        <v>133</v>
      </c>
      <c r="C824" t="s">
        <v>35</v>
      </c>
      <c r="D824" t="s">
        <v>4461</v>
      </c>
      <c r="E824" t="s">
        <v>3304</v>
      </c>
      <c r="F824" t="s">
        <v>2740</v>
      </c>
      <c r="G824" s="2">
        <v>45405</v>
      </c>
      <c r="H824" t="s">
        <v>1975</v>
      </c>
      <c r="I824">
        <v>116.8</v>
      </c>
      <c r="J824" s="1">
        <v>50000</v>
      </c>
      <c r="K824" s="1">
        <v>50000</v>
      </c>
    </row>
    <row r="825" spans="1:11" x14ac:dyDescent="0.25">
      <c r="A825" t="s">
        <v>1976</v>
      </c>
      <c r="B825" t="s">
        <v>136</v>
      </c>
      <c r="C825" t="s">
        <v>35</v>
      </c>
      <c r="D825" t="s">
        <v>4462</v>
      </c>
      <c r="E825" t="s">
        <v>3304</v>
      </c>
      <c r="F825" t="s">
        <v>2740</v>
      </c>
      <c r="G825" s="2">
        <v>45405</v>
      </c>
      <c r="H825" t="s">
        <v>1977</v>
      </c>
      <c r="I825">
        <v>116.9</v>
      </c>
      <c r="J825" s="1">
        <v>50000</v>
      </c>
      <c r="K825" s="1">
        <v>50000</v>
      </c>
    </row>
    <row r="826" spans="1:11" x14ac:dyDescent="0.25">
      <c r="A826" t="s">
        <v>1978</v>
      </c>
      <c r="B826" t="s">
        <v>66</v>
      </c>
      <c r="C826" t="s">
        <v>35</v>
      </c>
      <c r="D826" t="s">
        <v>4466</v>
      </c>
      <c r="E826" t="s">
        <v>3304</v>
      </c>
      <c r="F826" t="s">
        <v>2740</v>
      </c>
      <c r="G826" s="2">
        <v>45405</v>
      </c>
      <c r="H826" t="s">
        <v>1979</v>
      </c>
      <c r="I826">
        <v>116.9</v>
      </c>
      <c r="J826" s="1">
        <v>50000</v>
      </c>
      <c r="K826" s="1">
        <v>50000</v>
      </c>
    </row>
    <row r="827" spans="1:11" x14ac:dyDescent="0.25">
      <c r="A827" t="s">
        <v>1980</v>
      </c>
      <c r="B827" t="s">
        <v>2702</v>
      </c>
      <c r="C827" t="s">
        <v>35</v>
      </c>
      <c r="D827" t="s">
        <v>3305</v>
      </c>
      <c r="E827" t="s">
        <v>3304</v>
      </c>
      <c r="F827" t="s">
        <v>2740</v>
      </c>
      <c r="G827" s="2">
        <v>45405</v>
      </c>
      <c r="H827" t="s">
        <v>1981</v>
      </c>
      <c r="I827">
        <v>116.8</v>
      </c>
      <c r="J827" s="1">
        <v>50000</v>
      </c>
      <c r="K827" s="1">
        <v>50000</v>
      </c>
    </row>
    <row r="828" spans="1:11" x14ac:dyDescent="0.25">
      <c r="A828" t="s">
        <v>1982</v>
      </c>
      <c r="B828" t="s">
        <v>4463</v>
      </c>
      <c r="C828" t="s">
        <v>35</v>
      </c>
      <c r="D828" t="s">
        <v>4464</v>
      </c>
      <c r="E828" t="s">
        <v>3304</v>
      </c>
      <c r="F828" t="s">
        <v>2740</v>
      </c>
      <c r="G828" s="2">
        <v>45405</v>
      </c>
      <c r="H828" t="s">
        <v>1983</v>
      </c>
      <c r="I828">
        <v>233.7</v>
      </c>
      <c r="J828" s="1">
        <v>100000</v>
      </c>
      <c r="K828" s="1">
        <v>100000</v>
      </c>
    </row>
    <row r="829" spans="1:11" x14ac:dyDescent="0.25">
      <c r="A829" t="s">
        <v>1984</v>
      </c>
      <c r="B829" t="s">
        <v>2699</v>
      </c>
      <c r="C829" t="s">
        <v>16</v>
      </c>
      <c r="D829" t="s">
        <v>4462</v>
      </c>
      <c r="E829" t="s">
        <v>4440</v>
      </c>
      <c r="F829" t="s">
        <v>2740</v>
      </c>
      <c r="G829" s="2">
        <v>45405</v>
      </c>
      <c r="H829" t="s">
        <v>1985</v>
      </c>
      <c r="I829">
        <v>116.9</v>
      </c>
      <c r="J829" s="1">
        <v>50000</v>
      </c>
      <c r="K829" s="1">
        <v>50000</v>
      </c>
    </row>
    <row r="830" spans="1:11" x14ac:dyDescent="0.25">
      <c r="A830" t="s">
        <v>1986</v>
      </c>
      <c r="B830" t="s">
        <v>2701</v>
      </c>
      <c r="C830" t="s">
        <v>16</v>
      </c>
      <c r="D830" t="s">
        <v>4466</v>
      </c>
      <c r="E830" t="s">
        <v>4453</v>
      </c>
      <c r="F830" t="s">
        <v>2740</v>
      </c>
      <c r="G830" s="2">
        <v>45405</v>
      </c>
      <c r="H830" t="s">
        <v>1987</v>
      </c>
      <c r="I830">
        <v>23.3</v>
      </c>
      <c r="J830" s="1">
        <v>10000</v>
      </c>
      <c r="K830" s="1">
        <v>10000</v>
      </c>
    </row>
    <row r="831" spans="1:11" x14ac:dyDescent="0.25">
      <c r="A831" t="s">
        <v>1967</v>
      </c>
      <c r="B831" t="s">
        <v>2708</v>
      </c>
      <c r="C831" t="s">
        <v>16</v>
      </c>
      <c r="D831" t="s">
        <v>4466</v>
      </c>
      <c r="E831" t="s">
        <v>4457</v>
      </c>
      <c r="F831" t="s">
        <v>2740</v>
      </c>
      <c r="G831" s="2">
        <v>45406</v>
      </c>
      <c r="H831" t="s">
        <v>1968</v>
      </c>
      <c r="I831">
        <v>175.2</v>
      </c>
      <c r="J831" s="1">
        <v>75000</v>
      </c>
      <c r="K831" s="1">
        <v>75000</v>
      </c>
    </row>
    <row r="832" spans="1:11" x14ac:dyDescent="0.25">
      <c r="A832" t="s">
        <v>1971</v>
      </c>
      <c r="B832" t="s">
        <v>2737</v>
      </c>
      <c r="C832" t="s">
        <v>16</v>
      </c>
      <c r="D832" t="s">
        <v>4466</v>
      </c>
      <c r="E832" t="s">
        <v>4432</v>
      </c>
      <c r="F832" t="s">
        <v>2740</v>
      </c>
      <c r="G832" s="2">
        <v>45406</v>
      </c>
      <c r="H832" t="s">
        <v>1972</v>
      </c>
      <c r="I832">
        <v>187</v>
      </c>
      <c r="J832" s="1">
        <v>80000</v>
      </c>
      <c r="K832" s="1">
        <v>80000</v>
      </c>
    </row>
    <row r="833" spans="1:11" x14ac:dyDescent="0.25">
      <c r="A833" t="s">
        <v>1969</v>
      </c>
      <c r="B833" t="s">
        <v>2701</v>
      </c>
      <c r="C833" t="s">
        <v>16</v>
      </c>
      <c r="D833" t="s">
        <v>4466</v>
      </c>
      <c r="E833" t="s">
        <v>4453</v>
      </c>
      <c r="F833" t="s">
        <v>2740</v>
      </c>
      <c r="G833" s="2">
        <v>45406</v>
      </c>
      <c r="H833" t="s">
        <v>1970</v>
      </c>
      <c r="I833">
        <v>46.8</v>
      </c>
      <c r="J833" s="1">
        <v>20000</v>
      </c>
      <c r="K833" s="1">
        <v>20000</v>
      </c>
    </row>
    <row r="834" spans="1:11" x14ac:dyDescent="0.25">
      <c r="A834" t="s">
        <v>1963</v>
      </c>
      <c r="B834" t="s">
        <v>2716</v>
      </c>
      <c r="C834" t="s">
        <v>16</v>
      </c>
      <c r="D834" t="s">
        <v>4462</v>
      </c>
      <c r="E834" t="s">
        <v>4458</v>
      </c>
      <c r="F834" t="s">
        <v>2740</v>
      </c>
      <c r="G834" s="2">
        <v>45407</v>
      </c>
      <c r="H834" t="s">
        <v>1964</v>
      </c>
      <c r="I834">
        <v>116.8</v>
      </c>
      <c r="J834" s="1">
        <v>50000</v>
      </c>
      <c r="K834" s="1">
        <v>50000</v>
      </c>
    </row>
    <row r="835" spans="1:11" x14ac:dyDescent="0.25">
      <c r="A835" t="s">
        <v>1959</v>
      </c>
      <c r="B835" t="s">
        <v>2705</v>
      </c>
      <c r="C835" t="s">
        <v>42</v>
      </c>
      <c r="D835" t="s">
        <v>4467</v>
      </c>
      <c r="E835" t="s">
        <v>4435</v>
      </c>
      <c r="F835" t="s">
        <v>2740</v>
      </c>
      <c r="G835" s="2">
        <v>45407</v>
      </c>
      <c r="H835" t="s">
        <v>1960</v>
      </c>
      <c r="I835">
        <v>58.4</v>
      </c>
      <c r="J835" s="1">
        <v>25000</v>
      </c>
      <c r="K835" s="1">
        <v>25000</v>
      </c>
    </row>
    <row r="836" spans="1:11" x14ac:dyDescent="0.25">
      <c r="A836" t="s">
        <v>1961</v>
      </c>
      <c r="B836" t="s">
        <v>4463</v>
      </c>
      <c r="C836" t="s">
        <v>35</v>
      </c>
      <c r="D836" t="s">
        <v>4464</v>
      </c>
      <c r="E836" t="s">
        <v>3304</v>
      </c>
      <c r="F836" t="s">
        <v>2740</v>
      </c>
      <c r="G836" s="2">
        <v>45407</v>
      </c>
      <c r="H836" t="s">
        <v>1962</v>
      </c>
      <c r="I836">
        <v>233.7</v>
      </c>
      <c r="J836" s="1">
        <v>100000</v>
      </c>
      <c r="K836" s="1">
        <v>100000</v>
      </c>
    </row>
    <row r="837" spans="1:11" x14ac:dyDescent="0.25">
      <c r="A837" t="s">
        <v>1965</v>
      </c>
      <c r="B837" t="s">
        <v>4471</v>
      </c>
      <c r="C837" t="s">
        <v>35</v>
      </c>
      <c r="D837" t="s">
        <v>4470</v>
      </c>
      <c r="E837" t="s">
        <v>35</v>
      </c>
      <c r="F837" t="s">
        <v>2740</v>
      </c>
      <c r="G837" s="2">
        <v>45407</v>
      </c>
      <c r="H837" t="s">
        <v>1966</v>
      </c>
      <c r="I837">
        <v>46.8</v>
      </c>
      <c r="J837" s="1">
        <v>20000</v>
      </c>
      <c r="K837" s="1">
        <v>20000</v>
      </c>
    </row>
    <row r="838" spans="1:11" x14ac:dyDescent="0.25">
      <c r="A838" t="s">
        <v>1955</v>
      </c>
      <c r="B838" t="s">
        <v>2724</v>
      </c>
      <c r="C838" t="s">
        <v>16</v>
      </c>
      <c r="D838" t="s">
        <v>4462</v>
      </c>
      <c r="E838" t="s">
        <v>4451</v>
      </c>
      <c r="F838" t="s">
        <v>2740</v>
      </c>
      <c r="G838" s="2">
        <v>45408</v>
      </c>
      <c r="H838" t="s">
        <v>1956</v>
      </c>
      <c r="I838">
        <v>23.3</v>
      </c>
      <c r="J838" s="1">
        <v>10000</v>
      </c>
      <c r="K838" s="1">
        <v>10000</v>
      </c>
    </row>
    <row r="839" spans="1:11" x14ac:dyDescent="0.25">
      <c r="A839" t="s">
        <v>1957</v>
      </c>
      <c r="B839" t="s">
        <v>2729</v>
      </c>
      <c r="C839" t="s">
        <v>16</v>
      </c>
      <c r="D839" t="s">
        <v>4465</v>
      </c>
      <c r="E839" t="s">
        <v>4427</v>
      </c>
      <c r="F839" t="s">
        <v>2740</v>
      </c>
      <c r="G839" s="2">
        <v>45408</v>
      </c>
      <c r="H839" t="s">
        <v>1958</v>
      </c>
      <c r="I839">
        <v>70.099999999999994</v>
      </c>
      <c r="J839" s="1">
        <v>30000</v>
      </c>
      <c r="K839" s="1">
        <v>30000</v>
      </c>
    </row>
    <row r="840" spans="1:11" x14ac:dyDescent="0.25">
      <c r="A840" t="s">
        <v>1944</v>
      </c>
      <c r="B840" t="s">
        <v>2722</v>
      </c>
      <c r="C840" t="s">
        <v>16</v>
      </c>
      <c r="D840" t="s">
        <v>4462</v>
      </c>
      <c r="E840" t="s">
        <v>4446</v>
      </c>
      <c r="F840" t="s">
        <v>2740</v>
      </c>
      <c r="G840" s="2">
        <v>45409</v>
      </c>
      <c r="H840" t="s">
        <v>1945</v>
      </c>
      <c r="I840">
        <v>350.5</v>
      </c>
      <c r="J840" s="1">
        <v>150000</v>
      </c>
      <c r="K840" s="1">
        <v>150000</v>
      </c>
    </row>
    <row r="841" spans="1:11" x14ac:dyDescent="0.25">
      <c r="A841" t="s">
        <v>1946</v>
      </c>
      <c r="B841" t="s">
        <v>2705</v>
      </c>
      <c r="C841" t="s">
        <v>42</v>
      </c>
      <c r="D841" t="s">
        <v>4467</v>
      </c>
      <c r="E841" t="s">
        <v>4435</v>
      </c>
      <c r="F841" t="s">
        <v>2740</v>
      </c>
      <c r="G841" s="2">
        <v>45409</v>
      </c>
      <c r="H841" t="s">
        <v>1947</v>
      </c>
      <c r="I841">
        <v>58.4</v>
      </c>
      <c r="J841" s="1">
        <v>25000</v>
      </c>
      <c r="K841" s="1">
        <v>25000</v>
      </c>
    </row>
    <row r="842" spans="1:11" x14ac:dyDescent="0.25">
      <c r="A842" t="s">
        <v>1948</v>
      </c>
      <c r="B842" t="s">
        <v>93</v>
      </c>
      <c r="C842" t="s">
        <v>35</v>
      </c>
      <c r="D842" t="s">
        <v>4465</v>
      </c>
      <c r="E842" t="s">
        <v>3304</v>
      </c>
      <c r="F842" t="s">
        <v>2740</v>
      </c>
      <c r="G842" s="2">
        <v>45409</v>
      </c>
      <c r="H842" t="s">
        <v>1949</v>
      </c>
      <c r="I842">
        <v>116.9</v>
      </c>
      <c r="J842" s="1">
        <v>50000</v>
      </c>
      <c r="K842" s="1">
        <v>50000</v>
      </c>
    </row>
    <row r="843" spans="1:11" x14ac:dyDescent="0.25">
      <c r="A843" t="s">
        <v>1950</v>
      </c>
      <c r="B843" t="s">
        <v>66</v>
      </c>
      <c r="C843" t="s">
        <v>35</v>
      </c>
      <c r="D843" t="s">
        <v>4466</v>
      </c>
      <c r="E843" t="s">
        <v>3304</v>
      </c>
      <c r="F843" t="s">
        <v>2740</v>
      </c>
      <c r="G843" s="2">
        <v>45409</v>
      </c>
      <c r="H843" t="s">
        <v>1951</v>
      </c>
      <c r="I843">
        <v>116.8</v>
      </c>
      <c r="J843" s="1">
        <v>50000</v>
      </c>
      <c r="K843" s="1">
        <v>50000</v>
      </c>
    </row>
    <row r="844" spans="1:11" x14ac:dyDescent="0.25">
      <c r="A844" t="s">
        <v>1952</v>
      </c>
      <c r="B844" t="s">
        <v>4463</v>
      </c>
      <c r="C844" t="s">
        <v>35</v>
      </c>
      <c r="D844" t="s">
        <v>4464</v>
      </c>
      <c r="E844" t="s">
        <v>3304</v>
      </c>
      <c r="F844" t="s">
        <v>2740</v>
      </c>
      <c r="G844" s="2">
        <v>45409</v>
      </c>
      <c r="H844" t="s">
        <v>1953</v>
      </c>
      <c r="I844">
        <v>233.8</v>
      </c>
      <c r="J844" s="1">
        <v>100000</v>
      </c>
      <c r="K844" s="1">
        <v>100000</v>
      </c>
    </row>
    <row r="845" spans="1:11" x14ac:dyDescent="0.25">
      <c r="A845" t="s">
        <v>1938</v>
      </c>
      <c r="B845" t="s">
        <v>2717</v>
      </c>
      <c r="C845" t="s">
        <v>16</v>
      </c>
      <c r="D845" t="s">
        <v>4466</v>
      </c>
      <c r="E845" t="s">
        <v>4431</v>
      </c>
      <c r="F845" t="s">
        <v>2740</v>
      </c>
      <c r="G845" s="2">
        <v>45410</v>
      </c>
      <c r="H845" t="s">
        <v>1939</v>
      </c>
      <c r="I845">
        <v>128.6</v>
      </c>
      <c r="J845" s="1">
        <v>55000</v>
      </c>
      <c r="K845" s="1">
        <v>55000</v>
      </c>
    </row>
    <row r="846" spans="1:11" x14ac:dyDescent="0.25">
      <c r="A846" t="s">
        <v>1940</v>
      </c>
      <c r="B846" t="s">
        <v>2705</v>
      </c>
      <c r="C846" t="s">
        <v>42</v>
      </c>
      <c r="D846" t="s">
        <v>4467</v>
      </c>
      <c r="E846" t="s">
        <v>4435</v>
      </c>
      <c r="F846" t="s">
        <v>2740</v>
      </c>
      <c r="G846" s="2">
        <v>45410</v>
      </c>
      <c r="H846" t="s">
        <v>1941</v>
      </c>
      <c r="I846">
        <v>58.4</v>
      </c>
      <c r="J846" s="1">
        <v>25000</v>
      </c>
      <c r="K846" s="1">
        <v>25000</v>
      </c>
    </row>
    <row r="847" spans="1:11" x14ac:dyDescent="0.25">
      <c r="A847" t="s">
        <v>1942</v>
      </c>
      <c r="B847" t="s">
        <v>2724</v>
      </c>
      <c r="C847" t="s">
        <v>16</v>
      </c>
      <c r="D847" t="s">
        <v>4462</v>
      </c>
      <c r="E847" t="s">
        <v>4451</v>
      </c>
      <c r="F847" t="s">
        <v>2740</v>
      </c>
      <c r="G847" s="2">
        <v>45410</v>
      </c>
      <c r="H847" t="s">
        <v>1943</v>
      </c>
      <c r="I847">
        <v>70.099999999999994</v>
      </c>
      <c r="J847" s="1">
        <v>30000</v>
      </c>
      <c r="K847" s="1">
        <v>30000</v>
      </c>
    </row>
    <row r="848" spans="1:11" x14ac:dyDescent="0.25">
      <c r="A848" t="s">
        <v>1922</v>
      </c>
      <c r="B848" t="s">
        <v>2701</v>
      </c>
      <c r="C848" t="s">
        <v>16</v>
      </c>
      <c r="D848" t="s">
        <v>4466</v>
      </c>
      <c r="E848" t="s">
        <v>4453</v>
      </c>
      <c r="F848" t="s">
        <v>2740</v>
      </c>
      <c r="G848" s="2">
        <v>45411</v>
      </c>
      <c r="H848" t="s">
        <v>1923</v>
      </c>
      <c r="I848">
        <v>70.099999999999994</v>
      </c>
      <c r="J848" s="1">
        <v>30000</v>
      </c>
      <c r="K848" s="1">
        <v>30000</v>
      </c>
    </row>
    <row r="849" spans="1:11" x14ac:dyDescent="0.25">
      <c r="A849" t="s">
        <v>1924</v>
      </c>
      <c r="B849" t="s">
        <v>2705</v>
      </c>
      <c r="C849" t="s">
        <v>42</v>
      </c>
      <c r="D849" t="s">
        <v>4467</v>
      </c>
      <c r="E849" t="s">
        <v>4435</v>
      </c>
      <c r="F849" t="s">
        <v>2740</v>
      </c>
      <c r="G849" s="2">
        <v>45411</v>
      </c>
      <c r="H849" t="s">
        <v>1925</v>
      </c>
      <c r="I849">
        <v>70.2</v>
      </c>
      <c r="J849" s="1">
        <v>30000</v>
      </c>
      <c r="K849" s="1">
        <v>30000</v>
      </c>
    </row>
    <row r="850" spans="1:11" x14ac:dyDescent="0.25">
      <c r="A850" t="s">
        <v>1926</v>
      </c>
      <c r="B850" t="s">
        <v>136</v>
      </c>
      <c r="C850" t="s">
        <v>35</v>
      </c>
      <c r="D850" t="s">
        <v>4462</v>
      </c>
      <c r="E850" t="s">
        <v>3304</v>
      </c>
      <c r="F850" t="s">
        <v>2740</v>
      </c>
      <c r="G850" s="2">
        <v>45411</v>
      </c>
      <c r="H850" t="s">
        <v>1927</v>
      </c>
      <c r="I850">
        <v>116.8</v>
      </c>
      <c r="J850" s="1">
        <v>50000</v>
      </c>
      <c r="K850" s="1">
        <v>50000</v>
      </c>
    </row>
    <row r="851" spans="1:11" x14ac:dyDescent="0.25">
      <c r="A851" t="s">
        <v>1928</v>
      </c>
      <c r="B851" t="s">
        <v>66</v>
      </c>
      <c r="C851" t="s">
        <v>35</v>
      </c>
      <c r="D851" t="s">
        <v>4466</v>
      </c>
      <c r="E851" t="s">
        <v>3304</v>
      </c>
      <c r="F851" t="s">
        <v>2740</v>
      </c>
      <c r="G851" s="2">
        <v>45411</v>
      </c>
      <c r="H851" t="s">
        <v>1929</v>
      </c>
      <c r="I851">
        <v>116.9</v>
      </c>
      <c r="J851" s="1">
        <v>50000</v>
      </c>
      <c r="K851" s="1">
        <v>50000</v>
      </c>
    </row>
    <row r="852" spans="1:11" x14ac:dyDescent="0.25">
      <c r="A852" t="s">
        <v>1930</v>
      </c>
      <c r="B852" t="s">
        <v>2702</v>
      </c>
      <c r="C852" t="s">
        <v>35</v>
      </c>
      <c r="D852" t="s">
        <v>3305</v>
      </c>
      <c r="E852" t="s">
        <v>3304</v>
      </c>
      <c r="F852" t="s">
        <v>2740</v>
      </c>
      <c r="G852" s="2">
        <v>45411</v>
      </c>
      <c r="H852" t="s">
        <v>1931</v>
      </c>
      <c r="I852">
        <v>116.9</v>
      </c>
      <c r="J852" s="1">
        <v>50000</v>
      </c>
      <c r="K852" s="1">
        <v>50000</v>
      </c>
    </row>
    <row r="853" spans="1:11" x14ac:dyDescent="0.25">
      <c r="A853" t="s">
        <v>1932</v>
      </c>
      <c r="B853" t="s">
        <v>4463</v>
      </c>
      <c r="C853" t="s">
        <v>35</v>
      </c>
      <c r="D853" t="s">
        <v>4464</v>
      </c>
      <c r="E853" t="s">
        <v>3304</v>
      </c>
      <c r="F853" t="s">
        <v>2740</v>
      </c>
      <c r="G853" s="2">
        <v>45411</v>
      </c>
      <c r="H853" t="s">
        <v>1933</v>
      </c>
      <c r="I853">
        <v>233.7</v>
      </c>
      <c r="J853" s="1">
        <v>100000</v>
      </c>
      <c r="K853" s="1">
        <v>100000</v>
      </c>
    </row>
    <row r="854" spans="1:11" x14ac:dyDescent="0.25">
      <c r="A854" t="s">
        <v>1934</v>
      </c>
      <c r="B854" t="s">
        <v>4471</v>
      </c>
      <c r="C854" t="s">
        <v>35</v>
      </c>
      <c r="D854" t="s">
        <v>4470</v>
      </c>
      <c r="E854" t="s">
        <v>35</v>
      </c>
      <c r="F854" t="s">
        <v>2740</v>
      </c>
      <c r="G854" s="2">
        <v>45411</v>
      </c>
      <c r="H854" t="s">
        <v>1935</v>
      </c>
      <c r="I854">
        <v>46.7</v>
      </c>
      <c r="J854" s="1">
        <v>20000</v>
      </c>
      <c r="K854" s="1">
        <v>20000</v>
      </c>
    </row>
    <row r="855" spans="1:11" x14ac:dyDescent="0.25">
      <c r="A855" t="s">
        <v>1936</v>
      </c>
      <c r="B855" t="s">
        <v>2729</v>
      </c>
      <c r="C855" t="s">
        <v>16</v>
      </c>
      <c r="D855" t="s">
        <v>4465</v>
      </c>
      <c r="E855" t="s">
        <v>4427</v>
      </c>
      <c r="F855" t="s">
        <v>2740</v>
      </c>
      <c r="G855" s="2">
        <v>45411</v>
      </c>
      <c r="H855" t="s">
        <v>1937</v>
      </c>
      <c r="I855">
        <v>105.2</v>
      </c>
      <c r="J855" s="1">
        <v>45000</v>
      </c>
      <c r="K855" s="1">
        <v>45000</v>
      </c>
    </row>
    <row r="856" spans="1:11" x14ac:dyDescent="0.25">
      <c r="A856" t="s">
        <v>1908</v>
      </c>
      <c r="B856" t="s">
        <v>2729</v>
      </c>
      <c r="C856" t="s">
        <v>16</v>
      </c>
      <c r="D856" t="s">
        <v>4465</v>
      </c>
      <c r="E856" t="s">
        <v>4427</v>
      </c>
      <c r="F856" t="s">
        <v>2740</v>
      </c>
      <c r="G856" s="2">
        <v>45412</v>
      </c>
      <c r="H856" t="s">
        <v>1909</v>
      </c>
      <c r="I856">
        <v>58.4</v>
      </c>
      <c r="J856" s="1">
        <v>25000</v>
      </c>
      <c r="K856" s="1">
        <v>25000</v>
      </c>
    </row>
    <row r="857" spans="1:11" x14ac:dyDescent="0.25">
      <c r="A857" t="s">
        <v>1910</v>
      </c>
      <c r="B857" t="s">
        <v>133</v>
      </c>
      <c r="C857" t="s">
        <v>35</v>
      </c>
      <c r="D857" t="s">
        <v>4461</v>
      </c>
      <c r="E857" t="s">
        <v>3304</v>
      </c>
      <c r="F857" t="s">
        <v>2740</v>
      </c>
      <c r="G857" s="2">
        <v>45412</v>
      </c>
      <c r="H857" t="s">
        <v>1911</v>
      </c>
      <c r="I857">
        <v>116.9</v>
      </c>
      <c r="J857" s="1">
        <v>50000</v>
      </c>
      <c r="K857" s="1">
        <v>50000</v>
      </c>
    </row>
    <row r="858" spans="1:11" x14ac:dyDescent="0.25">
      <c r="A858" t="s">
        <v>1912</v>
      </c>
      <c r="B858" t="s">
        <v>66</v>
      </c>
      <c r="C858" t="s">
        <v>35</v>
      </c>
      <c r="D858" t="s">
        <v>4466</v>
      </c>
      <c r="E858" t="s">
        <v>3304</v>
      </c>
      <c r="F858" t="s">
        <v>2740</v>
      </c>
      <c r="G858" s="2">
        <v>45412</v>
      </c>
      <c r="H858" t="s">
        <v>1913</v>
      </c>
      <c r="I858">
        <v>233.7</v>
      </c>
      <c r="J858" s="1">
        <v>100000</v>
      </c>
      <c r="K858" s="1">
        <v>100000</v>
      </c>
    </row>
    <row r="859" spans="1:11" x14ac:dyDescent="0.25">
      <c r="A859" t="s">
        <v>1914</v>
      </c>
      <c r="B859" t="s">
        <v>4463</v>
      </c>
      <c r="C859" t="s">
        <v>35</v>
      </c>
      <c r="D859" t="s">
        <v>4464</v>
      </c>
      <c r="E859" t="s">
        <v>3304</v>
      </c>
      <c r="F859" t="s">
        <v>2740</v>
      </c>
      <c r="G859" s="2">
        <v>45412</v>
      </c>
      <c r="H859" t="s">
        <v>1915</v>
      </c>
      <c r="I859">
        <v>467.4</v>
      </c>
      <c r="J859" s="1">
        <v>200000</v>
      </c>
      <c r="K859" s="1">
        <v>200000</v>
      </c>
    </row>
    <row r="860" spans="1:11" x14ac:dyDescent="0.25">
      <c r="A860" t="s">
        <v>1916</v>
      </c>
      <c r="B860" t="s">
        <v>2701</v>
      </c>
      <c r="C860" t="s">
        <v>16</v>
      </c>
      <c r="D860" t="s">
        <v>4466</v>
      </c>
      <c r="E860" t="s">
        <v>4453</v>
      </c>
      <c r="F860" t="s">
        <v>2740</v>
      </c>
      <c r="G860" s="2">
        <v>45412</v>
      </c>
      <c r="H860" t="s">
        <v>1917</v>
      </c>
      <c r="I860">
        <v>35.1</v>
      </c>
      <c r="J860" s="1">
        <v>15000</v>
      </c>
      <c r="K860" s="1">
        <v>15000</v>
      </c>
    </row>
    <row r="861" spans="1:11" x14ac:dyDescent="0.25">
      <c r="A861" t="s">
        <v>1918</v>
      </c>
      <c r="B861" t="s">
        <v>2718</v>
      </c>
      <c r="C861" t="s">
        <v>16</v>
      </c>
      <c r="D861" t="s">
        <v>4466</v>
      </c>
      <c r="E861" t="s">
        <v>4438</v>
      </c>
      <c r="F861" t="s">
        <v>2740</v>
      </c>
      <c r="G861" s="2">
        <v>45412</v>
      </c>
      <c r="H861" t="s">
        <v>1919</v>
      </c>
      <c r="I861">
        <v>116.8</v>
      </c>
      <c r="J861" s="1">
        <v>50000</v>
      </c>
      <c r="K861" s="1">
        <v>50000</v>
      </c>
    </row>
    <row r="862" spans="1:11" x14ac:dyDescent="0.25">
      <c r="A862" t="s">
        <v>1920</v>
      </c>
      <c r="B862" t="s">
        <v>2732</v>
      </c>
      <c r="C862" t="s">
        <v>16</v>
      </c>
      <c r="D862" t="s">
        <v>4461</v>
      </c>
      <c r="E862" t="s">
        <v>4444</v>
      </c>
      <c r="F862" t="s">
        <v>2740</v>
      </c>
      <c r="G862" s="2">
        <v>45412</v>
      </c>
      <c r="H862" t="s">
        <v>1921</v>
      </c>
      <c r="I862">
        <v>70.099999999999994</v>
      </c>
      <c r="J862" s="1">
        <v>30000</v>
      </c>
      <c r="K862" s="1">
        <v>30000</v>
      </c>
    </row>
    <row r="863" spans="1:11" x14ac:dyDescent="0.25">
      <c r="A863" t="s">
        <v>1902</v>
      </c>
      <c r="B863" t="s">
        <v>2705</v>
      </c>
      <c r="C863" t="s">
        <v>42</v>
      </c>
      <c r="D863" t="s">
        <v>4467</v>
      </c>
      <c r="E863" t="s">
        <v>4435</v>
      </c>
      <c r="F863" t="s">
        <v>2740</v>
      </c>
      <c r="G863" s="2">
        <v>45413</v>
      </c>
      <c r="H863" t="s">
        <v>1903</v>
      </c>
      <c r="I863">
        <v>58.4</v>
      </c>
      <c r="J863" s="1">
        <v>25000</v>
      </c>
      <c r="K863" s="1">
        <v>25000</v>
      </c>
    </row>
    <row r="864" spans="1:11" x14ac:dyDescent="0.25">
      <c r="A864" t="s">
        <v>1896</v>
      </c>
      <c r="B864" t="s">
        <v>2734</v>
      </c>
      <c r="C864" t="s">
        <v>16</v>
      </c>
      <c r="D864" t="s">
        <v>4461</v>
      </c>
      <c r="E864" t="s">
        <v>4455</v>
      </c>
      <c r="F864" t="s">
        <v>2740</v>
      </c>
      <c r="G864" s="2">
        <v>45414</v>
      </c>
      <c r="H864" t="s">
        <v>1897</v>
      </c>
      <c r="I864">
        <v>350.5</v>
      </c>
      <c r="J864" s="1">
        <v>150000</v>
      </c>
      <c r="K864" s="1">
        <v>150000</v>
      </c>
    </row>
    <row r="865" spans="1:11" x14ac:dyDescent="0.25">
      <c r="A865" t="s">
        <v>1900</v>
      </c>
      <c r="B865" t="s">
        <v>2719</v>
      </c>
      <c r="C865" t="s">
        <v>16</v>
      </c>
      <c r="D865" t="s">
        <v>4466</v>
      </c>
      <c r="E865" t="s">
        <v>4430</v>
      </c>
      <c r="F865" t="s">
        <v>2740</v>
      </c>
      <c r="G865" s="2">
        <v>45414</v>
      </c>
      <c r="H865" t="s">
        <v>1901</v>
      </c>
      <c r="I865">
        <v>116.9</v>
      </c>
      <c r="J865" s="1">
        <v>50000</v>
      </c>
      <c r="K865" s="1">
        <v>50000</v>
      </c>
    </row>
    <row r="866" spans="1:11" x14ac:dyDescent="0.25">
      <c r="A866" t="s">
        <v>1887</v>
      </c>
      <c r="B866" t="s">
        <v>2724</v>
      </c>
      <c r="C866" t="s">
        <v>16</v>
      </c>
      <c r="D866" t="s">
        <v>4462</v>
      </c>
      <c r="E866" t="s">
        <v>4451</v>
      </c>
      <c r="F866" t="s">
        <v>2740</v>
      </c>
      <c r="G866" s="2">
        <v>45415</v>
      </c>
      <c r="H866" t="s">
        <v>1888</v>
      </c>
      <c r="I866">
        <v>93.5</v>
      </c>
      <c r="J866" s="1">
        <v>40000</v>
      </c>
      <c r="K866" s="1">
        <v>40000</v>
      </c>
    </row>
    <row r="867" spans="1:11" x14ac:dyDescent="0.25">
      <c r="A867" t="s">
        <v>1889</v>
      </c>
      <c r="B867" t="s">
        <v>4471</v>
      </c>
      <c r="C867" t="s">
        <v>35</v>
      </c>
      <c r="D867" t="s">
        <v>4470</v>
      </c>
      <c r="E867" t="s">
        <v>35</v>
      </c>
      <c r="F867" t="s">
        <v>2740</v>
      </c>
      <c r="G867" s="2">
        <v>45415</v>
      </c>
      <c r="H867" t="s">
        <v>1890</v>
      </c>
      <c r="I867">
        <v>116.9</v>
      </c>
      <c r="J867" s="1">
        <v>50000</v>
      </c>
      <c r="K867" s="1">
        <v>50000</v>
      </c>
    </row>
    <row r="868" spans="1:11" x14ac:dyDescent="0.25">
      <c r="A868" t="s">
        <v>1893</v>
      </c>
      <c r="B868" t="s">
        <v>2699</v>
      </c>
      <c r="C868" t="s">
        <v>16</v>
      </c>
      <c r="D868" t="s">
        <v>4462</v>
      </c>
      <c r="E868" t="s">
        <v>4440</v>
      </c>
      <c r="F868" t="s">
        <v>2740</v>
      </c>
      <c r="G868" s="2">
        <v>45415</v>
      </c>
      <c r="H868" t="s">
        <v>1894</v>
      </c>
      <c r="I868">
        <v>58.4</v>
      </c>
      <c r="J868" s="1">
        <v>25000</v>
      </c>
      <c r="K868" s="1">
        <v>25000</v>
      </c>
    </row>
    <row r="869" spans="1:11" x14ac:dyDescent="0.25">
      <c r="A869" t="s">
        <v>1891</v>
      </c>
      <c r="B869" t="s">
        <v>2705</v>
      </c>
      <c r="C869" t="s">
        <v>42</v>
      </c>
      <c r="D869" t="s">
        <v>4467</v>
      </c>
      <c r="E869" t="s">
        <v>4435</v>
      </c>
      <c r="F869" t="s">
        <v>2740</v>
      </c>
      <c r="G869" s="2">
        <v>45415</v>
      </c>
      <c r="H869" t="s">
        <v>1892</v>
      </c>
      <c r="I869">
        <v>58.4</v>
      </c>
      <c r="J869" s="1">
        <v>25000</v>
      </c>
      <c r="K869" s="1">
        <v>25000</v>
      </c>
    </row>
    <row r="870" spans="1:11" x14ac:dyDescent="0.25">
      <c r="A870" t="s">
        <v>1878</v>
      </c>
      <c r="B870" t="s">
        <v>2717</v>
      </c>
      <c r="C870" t="s">
        <v>16</v>
      </c>
      <c r="D870" t="s">
        <v>4466</v>
      </c>
      <c r="E870" t="s">
        <v>4431</v>
      </c>
      <c r="F870" t="s">
        <v>2740</v>
      </c>
      <c r="G870" s="2">
        <v>45416</v>
      </c>
      <c r="H870" t="s">
        <v>1879</v>
      </c>
      <c r="I870">
        <v>115.7</v>
      </c>
      <c r="J870" s="1">
        <v>49500</v>
      </c>
      <c r="K870" s="1">
        <v>49500</v>
      </c>
    </row>
    <row r="871" spans="1:11" x14ac:dyDescent="0.25">
      <c r="A871" t="s">
        <v>1880</v>
      </c>
      <c r="B871" t="s">
        <v>2702</v>
      </c>
      <c r="C871" t="s">
        <v>35</v>
      </c>
      <c r="D871" t="s">
        <v>3305</v>
      </c>
      <c r="E871" t="s">
        <v>3304</v>
      </c>
      <c r="F871" t="s">
        <v>2740</v>
      </c>
      <c r="G871" s="2">
        <v>45416</v>
      </c>
      <c r="H871" t="s">
        <v>1881</v>
      </c>
      <c r="I871">
        <v>233.7</v>
      </c>
      <c r="J871" s="1">
        <v>100000</v>
      </c>
      <c r="K871" s="1">
        <v>100000</v>
      </c>
    </row>
    <row r="872" spans="1:11" x14ac:dyDescent="0.25">
      <c r="A872" t="s">
        <v>1882</v>
      </c>
      <c r="B872" t="s">
        <v>4463</v>
      </c>
      <c r="C872" t="s">
        <v>35</v>
      </c>
      <c r="D872" t="s">
        <v>4464</v>
      </c>
      <c r="E872" t="s">
        <v>3304</v>
      </c>
      <c r="F872" t="s">
        <v>2740</v>
      </c>
      <c r="G872" s="2">
        <v>45416</v>
      </c>
      <c r="H872" t="s">
        <v>1883</v>
      </c>
      <c r="I872">
        <v>584.29999999999995</v>
      </c>
      <c r="J872" s="1">
        <v>250000</v>
      </c>
      <c r="K872" s="1">
        <v>250000</v>
      </c>
    </row>
    <row r="873" spans="1:11" x14ac:dyDescent="0.25">
      <c r="A873" t="s">
        <v>1884</v>
      </c>
      <c r="B873" t="s">
        <v>2707</v>
      </c>
      <c r="C873" t="s">
        <v>16</v>
      </c>
      <c r="D873" t="s">
        <v>4462</v>
      </c>
      <c r="E873" t="s">
        <v>4433</v>
      </c>
      <c r="F873" t="s">
        <v>2740</v>
      </c>
      <c r="G873" s="2">
        <v>45416</v>
      </c>
      <c r="H873" t="s">
        <v>1885</v>
      </c>
      <c r="I873">
        <v>140.19999999999999</v>
      </c>
      <c r="J873" s="1">
        <v>60000</v>
      </c>
      <c r="K873" s="1">
        <v>60000</v>
      </c>
    </row>
    <row r="874" spans="1:11" x14ac:dyDescent="0.25">
      <c r="A874" t="s">
        <v>1876</v>
      </c>
      <c r="B874" t="s">
        <v>2705</v>
      </c>
      <c r="C874" t="s">
        <v>42</v>
      </c>
      <c r="D874" t="s">
        <v>4467</v>
      </c>
      <c r="E874" t="s">
        <v>4435</v>
      </c>
      <c r="F874" t="s">
        <v>2740</v>
      </c>
      <c r="G874" s="2">
        <v>45416</v>
      </c>
      <c r="H874" t="s">
        <v>1877</v>
      </c>
      <c r="I874">
        <v>58.4</v>
      </c>
      <c r="J874" s="1">
        <v>25000</v>
      </c>
      <c r="K874" s="1">
        <v>25000</v>
      </c>
    </row>
    <row r="875" spans="1:11" x14ac:dyDescent="0.25">
      <c r="A875" t="s">
        <v>1872</v>
      </c>
      <c r="B875" t="s">
        <v>2710</v>
      </c>
      <c r="C875" t="s">
        <v>42</v>
      </c>
      <c r="D875" t="s">
        <v>4467</v>
      </c>
      <c r="E875" t="s">
        <v>4436</v>
      </c>
      <c r="F875" t="s">
        <v>2740</v>
      </c>
      <c r="G875" s="2">
        <v>45418</v>
      </c>
      <c r="H875" t="s">
        <v>1873</v>
      </c>
      <c r="I875">
        <v>467.4</v>
      </c>
      <c r="J875" s="1">
        <v>200000</v>
      </c>
      <c r="K875" s="1">
        <v>200000</v>
      </c>
    </row>
    <row r="876" spans="1:11" x14ac:dyDescent="0.25">
      <c r="A876" t="s">
        <v>1874</v>
      </c>
      <c r="B876" t="s">
        <v>2705</v>
      </c>
      <c r="C876" t="s">
        <v>42</v>
      </c>
      <c r="D876" t="s">
        <v>4467</v>
      </c>
      <c r="E876" t="s">
        <v>4435</v>
      </c>
      <c r="F876" t="s">
        <v>2740</v>
      </c>
      <c r="G876" s="2">
        <v>45418</v>
      </c>
      <c r="H876" t="s">
        <v>1875</v>
      </c>
      <c r="I876">
        <v>58.5</v>
      </c>
      <c r="J876" s="1">
        <v>25000</v>
      </c>
      <c r="K876" s="1">
        <v>25000</v>
      </c>
    </row>
    <row r="877" spans="1:11" x14ac:dyDescent="0.25">
      <c r="A877" t="s">
        <v>1868</v>
      </c>
      <c r="B877" t="s">
        <v>2716</v>
      </c>
      <c r="C877" t="s">
        <v>16</v>
      </c>
      <c r="D877" t="s">
        <v>4462</v>
      </c>
      <c r="E877" t="s">
        <v>4458</v>
      </c>
      <c r="F877" t="s">
        <v>2740</v>
      </c>
      <c r="G877" s="2">
        <v>45419</v>
      </c>
      <c r="H877" t="s">
        <v>1869</v>
      </c>
      <c r="I877">
        <v>70.2</v>
      </c>
      <c r="J877" s="1">
        <v>30000</v>
      </c>
      <c r="K877" s="1">
        <v>30000</v>
      </c>
    </row>
    <row r="878" spans="1:11" x14ac:dyDescent="0.25">
      <c r="A878" t="s">
        <v>1846</v>
      </c>
      <c r="B878" t="s">
        <v>2701</v>
      </c>
      <c r="C878" t="s">
        <v>16</v>
      </c>
      <c r="D878" t="s">
        <v>4466</v>
      </c>
      <c r="E878" t="s">
        <v>4453</v>
      </c>
      <c r="F878" t="s">
        <v>2740</v>
      </c>
      <c r="G878" s="2">
        <v>45420</v>
      </c>
      <c r="H878" t="s">
        <v>1847</v>
      </c>
      <c r="I878">
        <v>23.3</v>
      </c>
      <c r="J878" s="1">
        <v>10000</v>
      </c>
      <c r="K878" s="1">
        <v>10000</v>
      </c>
    </row>
    <row r="879" spans="1:11" x14ac:dyDescent="0.25">
      <c r="A879" t="s">
        <v>1849</v>
      </c>
      <c r="B879" t="s">
        <v>133</v>
      </c>
      <c r="C879" t="s">
        <v>35</v>
      </c>
      <c r="D879" t="s">
        <v>4461</v>
      </c>
      <c r="E879" t="s">
        <v>3304</v>
      </c>
      <c r="F879" t="s">
        <v>2740</v>
      </c>
      <c r="G879" s="2">
        <v>45420</v>
      </c>
      <c r="H879" t="s">
        <v>1850</v>
      </c>
      <c r="I879">
        <v>116.8</v>
      </c>
      <c r="J879" s="1">
        <v>50000</v>
      </c>
      <c r="K879" s="1">
        <v>50000</v>
      </c>
    </row>
    <row r="880" spans="1:11" x14ac:dyDescent="0.25">
      <c r="A880" t="s">
        <v>1851</v>
      </c>
      <c r="B880" t="s">
        <v>93</v>
      </c>
      <c r="C880" t="s">
        <v>35</v>
      </c>
      <c r="D880" t="s">
        <v>4465</v>
      </c>
      <c r="E880" t="s">
        <v>3304</v>
      </c>
      <c r="F880" t="s">
        <v>2740</v>
      </c>
      <c r="G880" s="2">
        <v>45420</v>
      </c>
      <c r="H880" t="s">
        <v>1852</v>
      </c>
      <c r="I880">
        <v>116.8</v>
      </c>
      <c r="J880" s="1">
        <v>50000</v>
      </c>
      <c r="K880" s="1">
        <v>50000</v>
      </c>
    </row>
    <row r="881" spans="1:11" x14ac:dyDescent="0.25">
      <c r="A881" t="s">
        <v>1853</v>
      </c>
      <c r="B881" t="s">
        <v>136</v>
      </c>
      <c r="C881" t="s">
        <v>35</v>
      </c>
      <c r="D881" t="s">
        <v>4462</v>
      </c>
      <c r="E881" t="s">
        <v>3304</v>
      </c>
      <c r="F881" t="s">
        <v>2740</v>
      </c>
      <c r="G881" s="2">
        <v>45420</v>
      </c>
      <c r="H881" t="s">
        <v>1854</v>
      </c>
      <c r="I881">
        <v>116.9</v>
      </c>
      <c r="J881" s="1">
        <v>50000</v>
      </c>
      <c r="K881" s="1">
        <v>50000</v>
      </c>
    </row>
    <row r="882" spans="1:11" x14ac:dyDescent="0.25">
      <c r="A882" t="s">
        <v>1855</v>
      </c>
      <c r="B882" t="s">
        <v>66</v>
      </c>
      <c r="C882" t="s">
        <v>35</v>
      </c>
      <c r="D882" t="s">
        <v>4466</v>
      </c>
      <c r="E882" t="s">
        <v>3304</v>
      </c>
      <c r="F882" t="s">
        <v>2740</v>
      </c>
      <c r="G882" s="2">
        <v>45420</v>
      </c>
      <c r="H882" t="s">
        <v>1856</v>
      </c>
      <c r="I882">
        <v>233.7</v>
      </c>
      <c r="J882" s="1">
        <v>100000</v>
      </c>
      <c r="K882" s="1">
        <v>100000</v>
      </c>
    </row>
    <row r="883" spans="1:11" x14ac:dyDescent="0.25">
      <c r="A883" t="s">
        <v>1862</v>
      </c>
      <c r="B883" t="s">
        <v>2720</v>
      </c>
      <c r="C883" t="s">
        <v>16</v>
      </c>
      <c r="D883" t="s">
        <v>4461</v>
      </c>
      <c r="E883" t="s">
        <v>4425</v>
      </c>
      <c r="F883" t="s">
        <v>2740</v>
      </c>
      <c r="G883" s="2">
        <v>45420</v>
      </c>
      <c r="H883" t="s">
        <v>1863</v>
      </c>
      <c r="I883">
        <v>584.29999999999995</v>
      </c>
      <c r="J883" s="1">
        <v>250000</v>
      </c>
      <c r="K883" s="1">
        <v>250000</v>
      </c>
    </row>
    <row r="884" spans="1:11" x14ac:dyDescent="0.25">
      <c r="A884" t="s">
        <v>1857</v>
      </c>
      <c r="B884" t="s">
        <v>4463</v>
      </c>
      <c r="C884" t="s">
        <v>35</v>
      </c>
      <c r="D884" t="s">
        <v>4464</v>
      </c>
      <c r="E884" t="s">
        <v>3304</v>
      </c>
      <c r="F884" t="s">
        <v>2740</v>
      </c>
      <c r="G884" s="2">
        <v>45420</v>
      </c>
      <c r="H884" t="s">
        <v>1858</v>
      </c>
      <c r="I884">
        <v>467.4</v>
      </c>
      <c r="J884" s="1">
        <v>200000</v>
      </c>
      <c r="K884" s="1">
        <v>200000</v>
      </c>
    </row>
    <row r="885" spans="1:11" x14ac:dyDescent="0.25">
      <c r="A885" t="s">
        <v>1859</v>
      </c>
      <c r="B885" t="s">
        <v>2705</v>
      </c>
      <c r="C885" t="s">
        <v>42</v>
      </c>
      <c r="D885" t="s">
        <v>4467</v>
      </c>
      <c r="E885" t="s">
        <v>4435</v>
      </c>
      <c r="F885" t="s">
        <v>2740</v>
      </c>
      <c r="G885" s="2">
        <v>45420</v>
      </c>
      <c r="H885" t="s">
        <v>1860</v>
      </c>
      <c r="I885">
        <v>58.4</v>
      </c>
      <c r="J885" s="1">
        <v>25000</v>
      </c>
      <c r="K885" s="1">
        <v>25000</v>
      </c>
    </row>
    <row r="886" spans="1:11" x14ac:dyDescent="0.25">
      <c r="A886" t="s">
        <v>1842</v>
      </c>
      <c r="B886" t="s">
        <v>2729</v>
      </c>
      <c r="C886" t="s">
        <v>16</v>
      </c>
      <c r="D886" t="s">
        <v>4465</v>
      </c>
      <c r="E886" t="s">
        <v>4427</v>
      </c>
      <c r="F886" t="s">
        <v>2740</v>
      </c>
      <c r="G886" s="2">
        <v>45421</v>
      </c>
      <c r="H886" t="s">
        <v>1843</v>
      </c>
      <c r="I886">
        <v>93.5</v>
      </c>
      <c r="J886" s="1">
        <v>40000</v>
      </c>
      <c r="K886" s="1">
        <v>40000</v>
      </c>
    </row>
    <row r="887" spans="1:11" x14ac:dyDescent="0.25">
      <c r="A887" t="s">
        <v>1840</v>
      </c>
      <c r="B887" t="s">
        <v>2705</v>
      </c>
      <c r="C887" t="s">
        <v>42</v>
      </c>
      <c r="D887" t="s">
        <v>4467</v>
      </c>
      <c r="E887" t="s">
        <v>4435</v>
      </c>
      <c r="F887" t="s">
        <v>2740</v>
      </c>
      <c r="G887" s="2">
        <v>45421</v>
      </c>
      <c r="H887" t="s">
        <v>1841</v>
      </c>
      <c r="I887">
        <v>81.8</v>
      </c>
      <c r="J887" s="1">
        <v>35000</v>
      </c>
      <c r="K887" s="1">
        <v>35000</v>
      </c>
    </row>
    <row r="888" spans="1:11" x14ac:dyDescent="0.25">
      <c r="A888" t="s">
        <v>1844</v>
      </c>
      <c r="B888" t="s">
        <v>2719</v>
      </c>
      <c r="C888" t="s">
        <v>16</v>
      </c>
      <c r="D888" t="s">
        <v>4466</v>
      </c>
      <c r="E888" t="s">
        <v>4430</v>
      </c>
      <c r="F888" t="s">
        <v>2740</v>
      </c>
      <c r="G888" s="2">
        <v>45421</v>
      </c>
      <c r="H888" t="s">
        <v>1845</v>
      </c>
      <c r="I888">
        <v>116.8</v>
      </c>
      <c r="J888" s="1">
        <v>50000</v>
      </c>
      <c r="K888" s="1">
        <v>50000</v>
      </c>
    </row>
    <row r="889" spans="1:11" x14ac:dyDescent="0.25">
      <c r="A889" t="s">
        <v>1834</v>
      </c>
      <c r="B889" t="s">
        <v>2701</v>
      </c>
      <c r="C889" t="s">
        <v>16</v>
      </c>
      <c r="D889" t="s">
        <v>4466</v>
      </c>
      <c r="E889" t="s">
        <v>4453</v>
      </c>
      <c r="F889" t="s">
        <v>2740</v>
      </c>
      <c r="G889" s="2">
        <v>45422</v>
      </c>
      <c r="H889" t="s">
        <v>1835</v>
      </c>
      <c r="I889">
        <v>23.4</v>
      </c>
      <c r="J889" s="1">
        <v>10000</v>
      </c>
      <c r="K889" s="1">
        <v>10000</v>
      </c>
    </row>
    <row r="890" spans="1:11" x14ac:dyDescent="0.25">
      <c r="A890" t="s">
        <v>1836</v>
      </c>
      <c r="B890" t="s">
        <v>2732</v>
      </c>
      <c r="C890" t="s">
        <v>16</v>
      </c>
      <c r="D890" t="s">
        <v>4461</v>
      </c>
      <c r="E890" t="s">
        <v>4444</v>
      </c>
      <c r="F890" t="s">
        <v>2740</v>
      </c>
      <c r="G890" s="2">
        <v>45422</v>
      </c>
      <c r="H890" t="s">
        <v>1837</v>
      </c>
      <c r="I890">
        <v>51.4</v>
      </c>
      <c r="J890" s="1">
        <v>22000</v>
      </c>
      <c r="K890" s="1">
        <v>22000</v>
      </c>
    </row>
    <row r="891" spans="1:11" x14ac:dyDescent="0.25">
      <c r="A891" t="s">
        <v>1838</v>
      </c>
      <c r="B891" t="s">
        <v>2699</v>
      </c>
      <c r="C891" t="s">
        <v>16</v>
      </c>
      <c r="D891" t="s">
        <v>4462</v>
      </c>
      <c r="E891" t="s">
        <v>4440</v>
      </c>
      <c r="F891" t="s">
        <v>2740</v>
      </c>
      <c r="G891" s="2">
        <v>45422</v>
      </c>
      <c r="H891" t="s">
        <v>1839</v>
      </c>
      <c r="I891">
        <v>116.8</v>
      </c>
      <c r="J891" s="1">
        <v>50000</v>
      </c>
      <c r="K891" s="1">
        <v>50000</v>
      </c>
    </row>
    <row r="892" spans="1:11" x14ac:dyDescent="0.25">
      <c r="A892" t="s">
        <v>1822</v>
      </c>
      <c r="B892" t="s">
        <v>2717</v>
      </c>
      <c r="C892" t="s">
        <v>16</v>
      </c>
      <c r="D892" t="s">
        <v>4466</v>
      </c>
      <c r="E892" t="s">
        <v>4431</v>
      </c>
      <c r="F892" t="s">
        <v>2740</v>
      </c>
      <c r="G892" s="2">
        <v>45423</v>
      </c>
      <c r="H892" t="s">
        <v>1823</v>
      </c>
      <c r="I892">
        <v>93.5</v>
      </c>
      <c r="J892" s="1">
        <v>40000</v>
      </c>
      <c r="K892" s="1">
        <v>40000</v>
      </c>
    </row>
    <row r="893" spans="1:11" x14ac:dyDescent="0.25">
      <c r="A893" t="s">
        <v>1824</v>
      </c>
      <c r="B893" t="s">
        <v>2724</v>
      </c>
      <c r="C893" t="s">
        <v>16</v>
      </c>
      <c r="D893" t="s">
        <v>4462</v>
      </c>
      <c r="E893" t="s">
        <v>4451</v>
      </c>
      <c r="F893" t="s">
        <v>2740</v>
      </c>
      <c r="G893" s="2">
        <v>45423</v>
      </c>
      <c r="H893" t="s">
        <v>1825</v>
      </c>
      <c r="I893">
        <v>70.099999999999994</v>
      </c>
      <c r="J893" s="1">
        <v>30000</v>
      </c>
      <c r="K893" s="1">
        <v>30000</v>
      </c>
    </row>
    <row r="894" spans="1:11" x14ac:dyDescent="0.25">
      <c r="A894" t="s">
        <v>1826</v>
      </c>
      <c r="B894" t="s">
        <v>2704</v>
      </c>
      <c r="C894" t="s">
        <v>35</v>
      </c>
      <c r="D894" t="s">
        <v>42</v>
      </c>
      <c r="E894" t="s">
        <v>3275</v>
      </c>
      <c r="F894" t="s">
        <v>2740</v>
      </c>
      <c r="G894" s="2">
        <v>45423</v>
      </c>
      <c r="H894" t="s">
        <v>1827</v>
      </c>
      <c r="I894">
        <v>229</v>
      </c>
      <c r="J894" s="1">
        <v>98000</v>
      </c>
      <c r="K894" s="1">
        <v>98000</v>
      </c>
    </row>
    <row r="895" spans="1:11" x14ac:dyDescent="0.25">
      <c r="A895" t="s">
        <v>1828</v>
      </c>
      <c r="B895" t="s">
        <v>2703</v>
      </c>
      <c r="C895" t="s">
        <v>35</v>
      </c>
      <c r="D895" t="s">
        <v>4404</v>
      </c>
      <c r="E895" t="s">
        <v>3275</v>
      </c>
      <c r="F895" t="s">
        <v>2740</v>
      </c>
      <c r="G895" s="2">
        <v>45423</v>
      </c>
      <c r="H895" t="s">
        <v>1829</v>
      </c>
      <c r="I895">
        <v>229</v>
      </c>
      <c r="J895" s="1">
        <v>98000</v>
      </c>
      <c r="K895" s="1">
        <v>98000</v>
      </c>
    </row>
    <row r="896" spans="1:11" x14ac:dyDescent="0.25">
      <c r="A896" t="s">
        <v>1830</v>
      </c>
      <c r="B896" t="s">
        <v>4471</v>
      </c>
      <c r="C896" t="s">
        <v>35</v>
      </c>
      <c r="D896" t="s">
        <v>4470</v>
      </c>
      <c r="E896" t="s">
        <v>35</v>
      </c>
      <c r="F896" t="s">
        <v>2740</v>
      </c>
      <c r="G896" s="2">
        <v>45423</v>
      </c>
      <c r="H896" t="s">
        <v>1831</v>
      </c>
      <c r="I896">
        <v>93.5</v>
      </c>
      <c r="J896" s="1">
        <v>40000</v>
      </c>
      <c r="K896" s="1">
        <v>40000</v>
      </c>
    </row>
    <row r="897" spans="1:11" x14ac:dyDescent="0.25">
      <c r="A897" t="s">
        <v>1832</v>
      </c>
      <c r="B897" t="s">
        <v>4463</v>
      </c>
      <c r="C897" t="s">
        <v>35</v>
      </c>
      <c r="D897" t="s">
        <v>4464</v>
      </c>
      <c r="E897" t="s">
        <v>3304</v>
      </c>
      <c r="F897" t="s">
        <v>2740</v>
      </c>
      <c r="G897" s="2">
        <v>45423</v>
      </c>
      <c r="H897" t="s">
        <v>1833</v>
      </c>
      <c r="I897">
        <v>233.8</v>
      </c>
      <c r="J897" s="1">
        <v>100000</v>
      </c>
      <c r="K897" s="1">
        <v>100000</v>
      </c>
    </row>
    <row r="898" spans="1:11" x14ac:dyDescent="0.25">
      <c r="A898" t="s">
        <v>1818</v>
      </c>
      <c r="B898" t="s">
        <v>2700</v>
      </c>
      <c r="C898" t="s">
        <v>27</v>
      </c>
      <c r="D898" t="s">
        <v>4466</v>
      </c>
      <c r="E898" t="s">
        <v>4450</v>
      </c>
      <c r="F898" t="s">
        <v>2740</v>
      </c>
      <c r="G898" s="2">
        <v>45424</v>
      </c>
      <c r="H898" t="s">
        <v>1819</v>
      </c>
      <c r="I898">
        <v>233.7</v>
      </c>
      <c r="J898" s="1">
        <v>100000</v>
      </c>
      <c r="K898" s="1">
        <v>100000</v>
      </c>
    </row>
    <row r="899" spans="1:11" x14ac:dyDescent="0.25">
      <c r="A899" t="s">
        <v>1820</v>
      </c>
      <c r="B899" t="s">
        <v>2701</v>
      </c>
      <c r="C899" t="s">
        <v>16</v>
      </c>
      <c r="D899" t="s">
        <v>4466</v>
      </c>
      <c r="E899" t="s">
        <v>4453</v>
      </c>
      <c r="F899" t="s">
        <v>2740</v>
      </c>
      <c r="G899" s="2">
        <v>45424</v>
      </c>
      <c r="H899" t="s">
        <v>1821</v>
      </c>
      <c r="I899">
        <v>35.1</v>
      </c>
      <c r="J899" s="1">
        <v>15000</v>
      </c>
      <c r="K899" s="1">
        <v>15000</v>
      </c>
    </row>
    <row r="900" spans="1:11" x14ac:dyDescent="0.25">
      <c r="A900" t="s">
        <v>1816</v>
      </c>
      <c r="B900" t="s">
        <v>2718</v>
      </c>
      <c r="C900" t="s">
        <v>16</v>
      </c>
      <c r="D900" t="s">
        <v>4466</v>
      </c>
      <c r="E900" t="s">
        <v>4438</v>
      </c>
      <c r="F900" t="s">
        <v>2740</v>
      </c>
      <c r="G900" s="2">
        <v>45425</v>
      </c>
      <c r="H900" t="s">
        <v>1817</v>
      </c>
      <c r="I900">
        <v>93.5</v>
      </c>
      <c r="J900" s="1">
        <v>40000</v>
      </c>
      <c r="K900" s="1">
        <v>40000</v>
      </c>
    </row>
    <row r="901" spans="1:11" x14ac:dyDescent="0.25">
      <c r="A901" t="s">
        <v>1805</v>
      </c>
      <c r="B901" t="s">
        <v>2729</v>
      </c>
      <c r="C901" t="s">
        <v>16</v>
      </c>
      <c r="D901" t="s">
        <v>4465</v>
      </c>
      <c r="E901" t="s">
        <v>4427</v>
      </c>
      <c r="F901" t="s">
        <v>2740</v>
      </c>
      <c r="G901" s="2">
        <v>45426</v>
      </c>
      <c r="H901" t="s">
        <v>1806</v>
      </c>
      <c r="I901">
        <v>93.5</v>
      </c>
      <c r="J901" s="1">
        <v>40000</v>
      </c>
      <c r="K901" s="1">
        <v>40000</v>
      </c>
    </row>
    <row r="902" spans="1:11" x14ac:dyDescent="0.25">
      <c r="A902" t="s">
        <v>1807</v>
      </c>
      <c r="B902" t="s">
        <v>2705</v>
      </c>
      <c r="C902" t="s">
        <v>42</v>
      </c>
      <c r="D902" t="s">
        <v>4467</v>
      </c>
      <c r="E902" t="s">
        <v>4435</v>
      </c>
      <c r="F902" t="s">
        <v>2740</v>
      </c>
      <c r="G902" s="2">
        <v>45426</v>
      </c>
      <c r="H902" t="s">
        <v>1808</v>
      </c>
      <c r="I902">
        <v>58.4</v>
      </c>
      <c r="J902" s="1">
        <v>25000</v>
      </c>
      <c r="K902" s="1">
        <v>25000</v>
      </c>
    </row>
    <row r="903" spans="1:11" x14ac:dyDescent="0.25">
      <c r="A903" t="s">
        <v>1809</v>
      </c>
      <c r="B903" t="s">
        <v>2722</v>
      </c>
      <c r="C903" t="s">
        <v>16</v>
      </c>
      <c r="D903" t="s">
        <v>4462</v>
      </c>
      <c r="E903" t="s">
        <v>4446</v>
      </c>
      <c r="F903" t="s">
        <v>2740</v>
      </c>
      <c r="G903" s="2">
        <v>45426</v>
      </c>
      <c r="H903" t="s">
        <v>1810</v>
      </c>
      <c r="I903">
        <v>233.7</v>
      </c>
      <c r="J903" s="1">
        <v>100000</v>
      </c>
      <c r="K903" s="1">
        <v>100000</v>
      </c>
    </row>
    <row r="904" spans="1:11" x14ac:dyDescent="0.25">
      <c r="A904" t="s">
        <v>1811</v>
      </c>
      <c r="B904" t="s">
        <v>66</v>
      </c>
      <c r="C904" t="s">
        <v>35</v>
      </c>
      <c r="D904" t="s">
        <v>4466</v>
      </c>
      <c r="E904" t="s">
        <v>3304</v>
      </c>
      <c r="F904" t="s">
        <v>2740</v>
      </c>
      <c r="G904" s="2">
        <v>45426</v>
      </c>
      <c r="H904" t="s">
        <v>1812</v>
      </c>
      <c r="I904">
        <v>233.8</v>
      </c>
      <c r="J904" s="1">
        <v>100000</v>
      </c>
      <c r="K904" s="1">
        <v>100000</v>
      </c>
    </row>
    <row r="905" spans="1:11" x14ac:dyDescent="0.25">
      <c r="A905" t="s">
        <v>1813</v>
      </c>
      <c r="B905" t="s">
        <v>4463</v>
      </c>
      <c r="C905" t="s">
        <v>35</v>
      </c>
      <c r="D905" t="s">
        <v>4464</v>
      </c>
      <c r="E905" t="s">
        <v>3304</v>
      </c>
      <c r="F905" t="s">
        <v>2740</v>
      </c>
      <c r="G905" s="2">
        <v>45426</v>
      </c>
      <c r="H905" t="s">
        <v>1814</v>
      </c>
      <c r="I905">
        <v>584.20000000000005</v>
      </c>
      <c r="J905" s="1">
        <v>250000</v>
      </c>
      <c r="K905" s="1">
        <v>250000</v>
      </c>
    </row>
    <row r="906" spans="1:11" x14ac:dyDescent="0.25">
      <c r="A906" t="s">
        <v>1801</v>
      </c>
      <c r="B906" t="s">
        <v>2701</v>
      </c>
      <c r="C906" t="s">
        <v>16</v>
      </c>
      <c r="D906" t="s">
        <v>4466</v>
      </c>
      <c r="E906" t="s">
        <v>4453</v>
      </c>
      <c r="F906" t="s">
        <v>2740</v>
      </c>
      <c r="G906" s="2">
        <v>45427</v>
      </c>
      <c r="H906" t="s">
        <v>1802</v>
      </c>
      <c r="I906">
        <v>23.3</v>
      </c>
      <c r="J906" s="1">
        <v>10000</v>
      </c>
      <c r="K906" s="1">
        <v>10000</v>
      </c>
    </row>
    <row r="907" spans="1:11" x14ac:dyDescent="0.25">
      <c r="A907" t="s">
        <v>1803</v>
      </c>
      <c r="B907" t="s">
        <v>2719</v>
      </c>
      <c r="C907" t="s">
        <v>16</v>
      </c>
      <c r="D907" t="s">
        <v>4466</v>
      </c>
      <c r="E907" t="s">
        <v>4430</v>
      </c>
      <c r="F907" t="s">
        <v>2740</v>
      </c>
      <c r="G907" s="2">
        <v>45427</v>
      </c>
      <c r="H907" t="s">
        <v>1804</v>
      </c>
      <c r="I907">
        <v>116.9</v>
      </c>
      <c r="J907" s="1">
        <v>50000</v>
      </c>
      <c r="K907" s="1">
        <v>50000</v>
      </c>
    </row>
    <row r="908" spans="1:11" x14ac:dyDescent="0.25">
      <c r="A908" t="s">
        <v>1796</v>
      </c>
      <c r="B908" t="s">
        <v>2725</v>
      </c>
      <c r="C908" t="s">
        <v>16</v>
      </c>
      <c r="D908" t="s">
        <v>4465</v>
      </c>
      <c r="E908" t="s">
        <v>4429</v>
      </c>
      <c r="F908" t="s">
        <v>2740</v>
      </c>
      <c r="G908" s="2">
        <v>45428</v>
      </c>
      <c r="H908" t="s">
        <v>1797</v>
      </c>
      <c r="I908">
        <v>279.10000000000002</v>
      </c>
      <c r="J908" s="1">
        <v>119400</v>
      </c>
      <c r="K908" s="1">
        <v>119400</v>
      </c>
    </row>
    <row r="909" spans="1:11" x14ac:dyDescent="0.25">
      <c r="A909" t="s">
        <v>1799</v>
      </c>
      <c r="B909" t="s">
        <v>2705</v>
      </c>
      <c r="C909" t="s">
        <v>42</v>
      </c>
      <c r="D909" t="s">
        <v>4467</v>
      </c>
      <c r="E909" t="s">
        <v>4435</v>
      </c>
      <c r="F909" t="s">
        <v>2740</v>
      </c>
      <c r="G909" s="2">
        <v>45428</v>
      </c>
      <c r="H909" t="s">
        <v>1800</v>
      </c>
      <c r="I909">
        <v>58.4</v>
      </c>
      <c r="J909" s="1">
        <v>25000</v>
      </c>
      <c r="K909" s="1">
        <v>25000</v>
      </c>
    </row>
    <row r="910" spans="1:11" x14ac:dyDescent="0.25">
      <c r="A910" t="s">
        <v>1790</v>
      </c>
      <c r="B910" t="s">
        <v>2701</v>
      </c>
      <c r="C910" t="s">
        <v>16</v>
      </c>
      <c r="D910" t="s">
        <v>4466</v>
      </c>
      <c r="E910" t="s">
        <v>4453</v>
      </c>
      <c r="F910" t="s">
        <v>2740</v>
      </c>
      <c r="G910" s="2">
        <v>45429</v>
      </c>
      <c r="H910" t="s">
        <v>1791</v>
      </c>
      <c r="I910">
        <v>23.4</v>
      </c>
      <c r="J910" s="1">
        <v>10000</v>
      </c>
      <c r="K910" s="1">
        <v>10000</v>
      </c>
    </row>
    <row r="911" spans="1:11" x14ac:dyDescent="0.25">
      <c r="A911" t="s">
        <v>1792</v>
      </c>
      <c r="B911" t="s">
        <v>2732</v>
      </c>
      <c r="C911" t="s">
        <v>16</v>
      </c>
      <c r="D911" t="s">
        <v>4461</v>
      </c>
      <c r="E911" t="s">
        <v>4444</v>
      </c>
      <c r="F911" t="s">
        <v>2740</v>
      </c>
      <c r="G911" s="2">
        <v>45429</v>
      </c>
      <c r="H911" t="s">
        <v>1793</v>
      </c>
      <c r="I911">
        <v>46.8</v>
      </c>
      <c r="J911" s="1">
        <v>20000</v>
      </c>
      <c r="K911" s="1">
        <v>20000</v>
      </c>
    </row>
    <row r="912" spans="1:11" x14ac:dyDescent="0.25">
      <c r="A912" t="s">
        <v>1794</v>
      </c>
      <c r="B912" t="s">
        <v>2705</v>
      </c>
      <c r="C912" t="s">
        <v>42</v>
      </c>
      <c r="D912" t="s">
        <v>4467</v>
      </c>
      <c r="E912" t="s">
        <v>4435</v>
      </c>
      <c r="F912" t="s">
        <v>2740</v>
      </c>
      <c r="G912" s="2">
        <v>45429</v>
      </c>
      <c r="H912" t="s">
        <v>1795</v>
      </c>
      <c r="I912">
        <v>81.8</v>
      </c>
      <c r="J912" s="1">
        <v>35000</v>
      </c>
      <c r="K912" s="1">
        <v>35000</v>
      </c>
    </row>
    <row r="913" spans="1:11" x14ac:dyDescent="0.25">
      <c r="A913" t="s">
        <v>1776</v>
      </c>
      <c r="B913" t="s">
        <v>2724</v>
      </c>
      <c r="C913" t="s">
        <v>16</v>
      </c>
      <c r="D913" t="s">
        <v>4462</v>
      </c>
      <c r="E913" t="s">
        <v>4451</v>
      </c>
      <c r="F913" t="s">
        <v>2740</v>
      </c>
      <c r="G913" s="2">
        <v>45430</v>
      </c>
      <c r="H913" t="s">
        <v>1777</v>
      </c>
      <c r="I913">
        <v>70.099999999999994</v>
      </c>
      <c r="J913" s="1">
        <v>30000</v>
      </c>
      <c r="K913" s="1">
        <v>30000</v>
      </c>
    </row>
    <row r="914" spans="1:11" x14ac:dyDescent="0.25">
      <c r="A914" t="s">
        <v>1778</v>
      </c>
      <c r="B914" t="s">
        <v>133</v>
      </c>
      <c r="C914" t="s">
        <v>35</v>
      </c>
      <c r="D914" t="s">
        <v>4461</v>
      </c>
      <c r="E914" t="s">
        <v>3304</v>
      </c>
      <c r="F914" t="s">
        <v>2740</v>
      </c>
      <c r="G914" s="2">
        <v>45430</v>
      </c>
      <c r="H914" t="s">
        <v>1779</v>
      </c>
      <c r="I914">
        <v>116.9</v>
      </c>
      <c r="J914" s="1">
        <v>50000</v>
      </c>
      <c r="K914" s="1">
        <v>50000</v>
      </c>
    </row>
    <row r="915" spans="1:11" x14ac:dyDescent="0.25">
      <c r="A915" t="s">
        <v>1780</v>
      </c>
      <c r="B915" t="s">
        <v>93</v>
      </c>
      <c r="C915" t="s">
        <v>35</v>
      </c>
      <c r="D915" t="s">
        <v>4465</v>
      </c>
      <c r="E915" t="s">
        <v>3304</v>
      </c>
      <c r="F915" t="s">
        <v>2740</v>
      </c>
      <c r="G915" s="2">
        <v>45430</v>
      </c>
      <c r="H915" t="s">
        <v>1781</v>
      </c>
      <c r="I915">
        <v>116.9</v>
      </c>
      <c r="J915" s="1">
        <v>50000</v>
      </c>
      <c r="K915" s="1">
        <v>50000</v>
      </c>
    </row>
    <row r="916" spans="1:11" x14ac:dyDescent="0.25">
      <c r="A916" t="s">
        <v>1782</v>
      </c>
      <c r="B916" t="s">
        <v>136</v>
      </c>
      <c r="C916" t="s">
        <v>35</v>
      </c>
      <c r="D916" t="s">
        <v>4462</v>
      </c>
      <c r="E916" t="s">
        <v>3304</v>
      </c>
      <c r="F916" t="s">
        <v>2740</v>
      </c>
      <c r="G916" s="2">
        <v>45430</v>
      </c>
      <c r="H916" t="s">
        <v>1783</v>
      </c>
      <c r="I916">
        <v>116.9</v>
      </c>
      <c r="J916" s="1">
        <v>50000</v>
      </c>
      <c r="K916" s="1">
        <v>50000</v>
      </c>
    </row>
    <row r="917" spans="1:11" x14ac:dyDescent="0.25">
      <c r="A917" t="s">
        <v>1784</v>
      </c>
      <c r="B917" t="s">
        <v>66</v>
      </c>
      <c r="C917" t="s">
        <v>35</v>
      </c>
      <c r="D917" t="s">
        <v>4466</v>
      </c>
      <c r="E917" t="s">
        <v>3304</v>
      </c>
      <c r="F917" t="s">
        <v>2740</v>
      </c>
      <c r="G917" s="2">
        <v>45430</v>
      </c>
      <c r="H917" t="s">
        <v>1785</v>
      </c>
      <c r="I917">
        <v>116.8</v>
      </c>
      <c r="J917" s="1">
        <v>50000</v>
      </c>
      <c r="K917" s="1">
        <v>50000</v>
      </c>
    </row>
    <row r="918" spans="1:11" x14ac:dyDescent="0.25">
      <c r="A918" t="s">
        <v>1786</v>
      </c>
      <c r="B918" t="s">
        <v>2702</v>
      </c>
      <c r="C918" t="s">
        <v>35</v>
      </c>
      <c r="D918" t="s">
        <v>3305</v>
      </c>
      <c r="E918" t="s">
        <v>3304</v>
      </c>
      <c r="F918" t="s">
        <v>2740</v>
      </c>
      <c r="G918" s="2">
        <v>45430</v>
      </c>
      <c r="H918" t="s">
        <v>1787</v>
      </c>
      <c r="I918">
        <v>116.9</v>
      </c>
      <c r="J918" s="1">
        <v>50000</v>
      </c>
      <c r="K918" s="1">
        <v>50000</v>
      </c>
    </row>
    <row r="919" spans="1:11" x14ac:dyDescent="0.25">
      <c r="A919" t="s">
        <v>1788</v>
      </c>
      <c r="B919" t="s">
        <v>4463</v>
      </c>
      <c r="C919" t="s">
        <v>35</v>
      </c>
      <c r="D919" t="s">
        <v>4464</v>
      </c>
      <c r="E919" t="s">
        <v>3304</v>
      </c>
      <c r="F919" t="s">
        <v>2740</v>
      </c>
      <c r="G919" s="2">
        <v>45430</v>
      </c>
      <c r="H919" t="s">
        <v>1789</v>
      </c>
      <c r="I919">
        <v>233.8</v>
      </c>
      <c r="J919" s="1">
        <v>100000</v>
      </c>
      <c r="K919" s="1">
        <v>100000</v>
      </c>
    </row>
    <row r="920" spans="1:11" x14ac:dyDescent="0.25">
      <c r="A920" t="s">
        <v>1770</v>
      </c>
      <c r="B920" t="s">
        <v>2701</v>
      </c>
      <c r="C920" t="s">
        <v>16</v>
      </c>
      <c r="D920" t="s">
        <v>4466</v>
      </c>
      <c r="E920" t="s">
        <v>4453</v>
      </c>
      <c r="F920" t="s">
        <v>2740</v>
      </c>
      <c r="G920" s="2">
        <v>45431</v>
      </c>
      <c r="H920" t="s">
        <v>1771</v>
      </c>
      <c r="I920">
        <v>35.1</v>
      </c>
      <c r="J920" s="1">
        <v>15000</v>
      </c>
      <c r="K920" s="1">
        <v>15000</v>
      </c>
    </row>
    <row r="921" spans="1:11" x14ac:dyDescent="0.25">
      <c r="A921" t="s">
        <v>1772</v>
      </c>
      <c r="B921" t="s">
        <v>2705</v>
      </c>
      <c r="C921" t="s">
        <v>42</v>
      </c>
      <c r="D921" t="s">
        <v>4467</v>
      </c>
      <c r="E921" t="s">
        <v>4435</v>
      </c>
      <c r="F921" t="s">
        <v>2740</v>
      </c>
      <c r="G921" s="2">
        <v>45431</v>
      </c>
      <c r="H921" t="s">
        <v>1773</v>
      </c>
      <c r="I921">
        <v>81.8</v>
      </c>
      <c r="J921" s="1">
        <v>35000</v>
      </c>
      <c r="K921" s="1">
        <v>35000</v>
      </c>
    </row>
    <row r="922" spans="1:11" x14ac:dyDescent="0.25">
      <c r="A922" t="s">
        <v>1774</v>
      </c>
      <c r="B922" t="s">
        <v>2707</v>
      </c>
      <c r="C922" t="s">
        <v>16</v>
      </c>
      <c r="D922" t="s">
        <v>4462</v>
      </c>
      <c r="E922" t="s">
        <v>4433</v>
      </c>
      <c r="F922" t="s">
        <v>2740</v>
      </c>
      <c r="G922" s="2">
        <v>45431</v>
      </c>
      <c r="H922" t="s">
        <v>1775</v>
      </c>
      <c r="I922">
        <v>287.5</v>
      </c>
      <c r="J922" s="1">
        <v>123000</v>
      </c>
      <c r="K922" s="1">
        <v>123000</v>
      </c>
    </row>
    <row r="923" spans="1:11" x14ac:dyDescent="0.25">
      <c r="A923" t="s">
        <v>1751</v>
      </c>
      <c r="B923" t="s">
        <v>2737</v>
      </c>
      <c r="C923" t="s">
        <v>16</v>
      </c>
      <c r="D923" t="s">
        <v>4466</v>
      </c>
      <c r="E923" t="s">
        <v>4432</v>
      </c>
      <c r="F923" t="s">
        <v>2740</v>
      </c>
      <c r="G923" s="2">
        <v>45432</v>
      </c>
      <c r="H923" t="s">
        <v>1752</v>
      </c>
      <c r="I923">
        <v>210.3</v>
      </c>
      <c r="J923" s="1">
        <v>90000</v>
      </c>
      <c r="K923" s="1">
        <v>90000</v>
      </c>
    </row>
    <row r="924" spans="1:11" x14ac:dyDescent="0.25">
      <c r="A924" t="s">
        <v>1755</v>
      </c>
      <c r="B924" t="s">
        <v>2729</v>
      </c>
      <c r="C924" t="s">
        <v>16</v>
      </c>
      <c r="D924" t="s">
        <v>4465</v>
      </c>
      <c r="E924" t="s">
        <v>4427</v>
      </c>
      <c r="F924" t="s">
        <v>2740</v>
      </c>
      <c r="G924" s="2">
        <v>45432</v>
      </c>
      <c r="H924" t="s">
        <v>1756</v>
      </c>
      <c r="I924">
        <v>53.8</v>
      </c>
      <c r="J924" s="1">
        <v>23000</v>
      </c>
      <c r="K924" s="1">
        <v>23000</v>
      </c>
    </row>
    <row r="925" spans="1:11" x14ac:dyDescent="0.25">
      <c r="A925" t="s">
        <v>1757</v>
      </c>
      <c r="B925" t="s">
        <v>2717</v>
      </c>
      <c r="C925" t="s">
        <v>16</v>
      </c>
      <c r="D925" t="s">
        <v>4466</v>
      </c>
      <c r="E925" t="s">
        <v>4431</v>
      </c>
      <c r="F925" t="s">
        <v>2740</v>
      </c>
      <c r="G925" s="2">
        <v>45432</v>
      </c>
      <c r="H925" t="s">
        <v>1758</v>
      </c>
      <c r="I925">
        <v>93.4</v>
      </c>
      <c r="J925" s="1">
        <v>40000</v>
      </c>
      <c r="K925" s="1">
        <v>40000</v>
      </c>
    </row>
    <row r="926" spans="1:11" x14ac:dyDescent="0.25">
      <c r="A926" t="s">
        <v>1759</v>
      </c>
      <c r="B926" t="s">
        <v>2704</v>
      </c>
      <c r="C926" t="s">
        <v>35</v>
      </c>
      <c r="D926" t="s">
        <v>42</v>
      </c>
      <c r="E926" t="s">
        <v>3275</v>
      </c>
      <c r="F926" t="s">
        <v>2740</v>
      </c>
      <c r="G926" s="2">
        <v>45432</v>
      </c>
      <c r="H926" t="s">
        <v>1760</v>
      </c>
      <c r="I926">
        <v>231.4</v>
      </c>
      <c r="J926" s="1">
        <v>99000</v>
      </c>
      <c r="K926" s="1">
        <v>99000</v>
      </c>
    </row>
    <row r="927" spans="1:11" x14ac:dyDescent="0.25">
      <c r="A927" t="s">
        <v>1761</v>
      </c>
      <c r="B927" t="s">
        <v>2716</v>
      </c>
      <c r="C927" t="s">
        <v>16</v>
      </c>
      <c r="D927" t="s">
        <v>4462</v>
      </c>
      <c r="E927" t="s">
        <v>4458</v>
      </c>
      <c r="F927" t="s">
        <v>2740</v>
      </c>
      <c r="G927" s="2">
        <v>45432</v>
      </c>
      <c r="H927" t="s">
        <v>1762</v>
      </c>
      <c r="I927">
        <v>32.700000000000003</v>
      </c>
      <c r="J927" s="1">
        <v>14000</v>
      </c>
      <c r="K927" s="1">
        <v>14000</v>
      </c>
    </row>
    <row r="928" spans="1:11" x14ac:dyDescent="0.25">
      <c r="A928" t="s">
        <v>1763</v>
      </c>
      <c r="B928" t="s">
        <v>2700</v>
      </c>
      <c r="C928" t="s">
        <v>27</v>
      </c>
      <c r="D928" t="s">
        <v>4466</v>
      </c>
      <c r="E928" t="s">
        <v>4450</v>
      </c>
      <c r="F928" t="s">
        <v>2740</v>
      </c>
      <c r="G928" s="2">
        <v>45432</v>
      </c>
      <c r="H928" t="s">
        <v>1764</v>
      </c>
      <c r="I928">
        <v>187</v>
      </c>
      <c r="J928" s="1">
        <v>80000</v>
      </c>
      <c r="K928" s="1">
        <v>80000</v>
      </c>
    </row>
    <row r="929" spans="1:11" x14ac:dyDescent="0.25">
      <c r="A929" t="s">
        <v>1765</v>
      </c>
      <c r="B929" t="s">
        <v>2727</v>
      </c>
      <c r="C929" t="s">
        <v>16</v>
      </c>
      <c r="D929" t="s">
        <v>4465</v>
      </c>
      <c r="E929" t="s">
        <v>4445</v>
      </c>
      <c r="F929" t="s">
        <v>2740</v>
      </c>
      <c r="G929" s="2">
        <v>45432</v>
      </c>
      <c r="H929" t="s">
        <v>1766</v>
      </c>
      <c r="I929">
        <v>46.8</v>
      </c>
      <c r="J929" s="1">
        <v>20000</v>
      </c>
      <c r="K929" s="1">
        <v>20000</v>
      </c>
    </row>
    <row r="930" spans="1:11" x14ac:dyDescent="0.25">
      <c r="A930" t="s">
        <v>1768</v>
      </c>
      <c r="B930" t="s">
        <v>2719</v>
      </c>
      <c r="C930" t="s">
        <v>16</v>
      </c>
      <c r="D930" t="s">
        <v>4466</v>
      </c>
      <c r="E930" t="s">
        <v>4430</v>
      </c>
      <c r="F930" t="s">
        <v>2740</v>
      </c>
      <c r="G930" s="2">
        <v>45432</v>
      </c>
      <c r="H930" t="s">
        <v>1769</v>
      </c>
      <c r="I930">
        <v>116.9</v>
      </c>
      <c r="J930" s="1">
        <v>50000</v>
      </c>
      <c r="K930" s="1">
        <v>50000</v>
      </c>
    </row>
    <row r="931" spans="1:11" x14ac:dyDescent="0.25">
      <c r="A931" t="s">
        <v>1741</v>
      </c>
      <c r="B931" t="s">
        <v>2699</v>
      </c>
      <c r="C931" t="s">
        <v>16</v>
      </c>
      <c r="D931" t="s">
        <v>4462</v>
      </c>
      <c r="E931" t="s">
        <v>4440</v>
      </c>
      <c r="F931" t="s">
        <v>2740</v>
      </c>
      <c r="G931" s="2">
        <v>45433</v>
      </c>
      <c r="H931" t="s">
        <v>1742</v>
      </c>
      <c r="I931">
        <v>46.8</v>
      </c>
      <c r="J931" s="1">
        <v>20000</v>
      </c>
      <c r="K931" s="1">
        <v>20000</v>
      </c>
    </row>
    <row r="932" spans="1:11" x14ac:dyDescent="0.25">
      <c r="A932" t="s">
        <v>1743</v>
      </c>
      <c r="B932" t="s">
        <v>2706</v>
      </c>
      <c r="C932" t="s">
        <v>27</v>
      </c>
      <c r="D932" t="s">
        <v>4461</v>
      </c>
      <c r="E932" t="s">
        <v>4452</v>
      </c>
      <c r="F932" t="s">
        <v>2740</v>
      </c>
      <c r="G932" s="2">
        <v>45433</v>
      </c>
      <c r="H932" t="s">
        <v>1744</v>
      </c>
      <c r="I932">
        <v>584.29999999999995</v>
      </c>
      <c r="J932" s="1">
        <v>250000</v>
      </c>
      <c r="K932" s="1">
        <v>250000</v>
      </c>
    </row>
    <row r="933" spans="1:11" x14ac:dyDescent="0.25">
      <c r="A933" t="s">
        <v>1745</v>
      </c>
      <c r="B933" t="s">
        <v>2706</v>
      </c>
      <c r="C933" t="s">
        <v>27</v>
      </c>
      <c r="D933" t="s">
        <v>4461</v>
      </c>
      <c r="E933" t="s">
        <v>4452</v>
      </c>
      <c r="F933" t="s">
        <v>2740</v>
      </c>
      <c r="G933" s="2">
        <v>45433</v>
      </c>
      <c r="H933" t="s">
        <v>1746</v>
      </c>
      <c r="I933">
        <v>584.20000000000005</v>
      </c>
      <c r="J933" s="1">
        <v>250000</v>
      </c>
      <c r="K933" s="1">
        <v>250000</v>
      </c>
    </row>
    <row r="934" spans="1:11" x14ac:dyDescent="0.25">
      <c r="A934" t="s">
        <v>1748</v>
      </c>
      <c r="B934" t="s">
        <v>4471</v>
      </c>
      <c r="C934" t="s">
        <v>35</v>
      </c>
      <c r="D934" t="s">
        <v>4470</v>
      </c>
      <c r="E934" t="s">
        <v>35</v>
      </c>
      <c r="F934" t="s">
        <v>2740</v>
      </c>
      <c r="G934" s="2">
        <v>45433</v>
      </c>
      <c r="H934" t="s">
        <v>1749</v>
      </c>
      <c r="I934">
        <v>46.7</v>
      </c>
      <c r="J934" s="1">
        <v>20000</v>
      </c>
      <c r="K934" s="1">
        <v>20000</v>
      </c>
    </row>
    <row r="935" spans="1:11" x14ac:dyDescent="0.25">
      <c r="A935" t="s">
        <v>1726</v>
      </c>
      <c r="B935" t="s">
        <v>2701</v>
      </c>
      <c r="C935" t="s">
        <v>16</v>
      </c>
      <c r="D935" t="s">
        <v>4466</v>
      </c>
      <c r="E935" t="s">
        <v>4453</v>
      </c>
      <c r="F935" t="s">
        <v>2740</v>
      </c>
      <c r="G935" s="2">
        <v>45434</v>
      </c>
      <c r="H935" t="s">
        <v>1727</v>
      </c>
      <c r="I935">
        <v>23.3</v>
      </c>
      <c r="J935" s="1">
        <v>10000</v>
      </c>
      <c r="K935" s="1">
        <v>10000</v>
      </c>
    </row>
    <row r="936" spans="1:11" x14ac:dyDescent="0.25">
      <c r="A936" t="s">
        <v>1728</v>
      </c>
      <c r="B936" t="s">
        <v>2705</v>
      </c>
      <c r="C936" t="s">
        <v>42</v>
      </c>
      <c r="D936" t="s">
        <v>4467</v>
      </c>
      <c r="E936" t="s">
        <v>4435</v>
      </c>
      <c r="F936" t="s">
        <v>2740</v>
      </c>
      <c r="G936" s="2">
        <v>45434</v>
      </c>
      <c r="H936" t="s">
        <v>1729</v>
      </c>
      <c r="I936">
        <v>116.9</v>
      </c>
      <c r="J936" s="1">
        <v>50000</v>
      </c>
      <c r="K936" s="1">
        <v>50000</v>
      </c>
    </row>
    <row r="937" spans="1:11" x14ac:dyDescent="0.25">
      <c r="A937" t="s">
        <v>1730</v>
      </c>
      <c r="B937" t="s">
        <v>136</v>
      </c>
      <c r="C937" t="s">
        <v>35</v>
      </c>
      <c r="D937" t="s">
        <v>4462</v>
      </c>
      <c r="E937" t="s">
        <v>3304</v>
      </c>
      <c r="F937" t="s">
        <v>2740</v>
      </c>
      <c r="G937" s="2">
        <v>45434</v>
      </c>
      <c r="H937" t="s">
        <v>1731</v>
      </c>
      <c r="I937">
        <v>116.8</v>
      </c>
      <c r="J937" s="1">
        <v>50000</v>
      </c>
      <c r="K937" s="1">
        <v>50000</v>
      </c>
    </row>
    <row r="938" spans="1:11" x14ac:dyDescent="0.25">
      <c r="A938" t="s">
        <v>1732</v>
      </c>
      <c r="B938" t="s">
        <v>2702</v>
      </c>
      <c r="C938" t="s">
        <v>35</v>
      </c>
      <c r="D938" t="s">
        <v>3305</v>
      </c>
      <c r="E938" t="s">
        <v>3304</v>
      </c>
      <c r="F938" t="s">
        <v>2740</v>
      </c>
      <c r="G938" s="2">
        <v>45434</v>
      </c>
      <c r="H938" t="s">
        <v>1733</v>
      </c>
      <c r="I938">
        <v>233.7</v>
      </c>
      <c r="J938" s="1">
        <v>100000</v>
      </c>
      <c r="K938" s="1">
        <v>100000</v>
      </c>
    </row>
    <row r="939" spans="1:11" x14ac:dyDescent="0.25">
      <c r="A939" t="s">
        <v>1734</v>
      </c>
      <c r="B939" t="s">
        <v>66</v>
      </c>
      <c r="C939" t="s">
        <v>35</v>
      </c>
      <c r="D939" t="s">
        <v>4466</v>
      </c>
      <c r="E939" t="s">
        <v>3304</v>
      </c>
      <c r="F939" t="s">
        <v>2740</v>
      </c>
      <c r="G939" s="2">
        <v>45434</v>
      </c>
      <c r="H939" t="s">
        <v>1735</v>
      </c>
      <c r="I939">
        <v>233.7</v>
      </c>
      <c r="J939" s="1">
        <v>100000</v>
      </c>
      <c r="K939" s="1">
        <v>100000</v>
      </c>
    </row>
    <row r="940" spans="1:11" x14ac:dyDescent="0.25">
      <c r="A940" t="s">
        <v>1736</v>
      </c>
      <c r="B940" t="s">
        <v>4463</v>
      </c>
      <c r="C940" t="s">
        <v>35</v>
      </c>
      <c r="D940" t="s">
        <v>4464</v>
      </c>
      <c r="E940" t="s">
        <v>3304</v>
      </c>
      <c r="F940" t="s">
        <v>2740</v>
      </c>
      <c r="G940" s="2">
        <v>45434</v>
      </c>
      <c r="H940" t="s">
        <v>1737</v>
      </c>
      <c r="I940">
        <v>584.29999999999995</v>
      </c>
      <c r="J940" s="1">
        <v>250000</v>
      </c>
      <c r="K940" s="1">
        <v>250000</v>
      </c>
    </row>
    <row r="941" spans="1:11" x14ac:dyDescent="0.25">
      <c r="A941" t="s">
        <v>1739</v>
      </c>
      <c r="B941" t="s">
        <v>2711</v>
      </c>
      <c r="C941" t="s">
        <v>16</v>
      </c>
      <c r="D941" t="s">
        <v>4461</v>
      </c>
      <c r="E941" t="s">
        <v>4447</v>
      </c>
      <c r="F941" t="s">
        <v>2740</v>
      </c>
      <c r="G941" s="2">
        <v>45434</v>
      </c>
      <c r="H941" t="s">
        <v>1740</v>
      </c>
      <c r="I941">
        <v>233.7</v>
      </c>
      <c r="J941" s="1">
        <v>100000</v>
      </c>
      <c r="K941" s="1">
        <v>100000</v>
      </c>
    </row>
    <row r="942" spans="1:11" x14ac:dyDescent="0.25">
      <c r="A942" t="s">
        <v>1722</v>
      </c>
      <c r="B942" t="s">
        <v>2701</v>
      </c>
      <c r="C942" t="s">
        <v>16</v>
      </c>
      <c r="D942" t="s">
        <v>4466</v>
      </c>
      <c r="E942" t="s">
        <v>4453</v>
      </c>
      <c r="F942" t="s">
        <v>2740</v>
      </c>
      <c r="G942" s="2">
        <v>45435</v>
      </c>
      <c r="H942" t="s">
        <v>1723</v>
      </c>
      <c r="I942">
        <v>116.9</v>
      </c>
      <c r="J942" s="1">
        <v>50000</v>
      </c>
      <c r="K942" s="1">
        <v>50000</v>
      </c>
    </row>
    <row r="943" spans="1:11" x14ac:dyDescent="0.25">
      <c r="A943" t="s">
        <v>1724</v>
      </c>
      <c r="B943" t="s">
        <v>2698</v>
      </c>
      <c r="C943" t="s">
        <v>16</v>
      </c>
      <c r="D943" t="s">
        <v>4465</v>
      </c>
      <c r="E943" t="s">
        <v>4442</v>
      </c>
      <c r="F943" t="s">
        <v>2740</v>
      </c>
      <c r="G943" s="2">
        <v>45435</v>
      </c>
      <c r="H943" t="s">
        <v>1725</v>
      </c>
      <c r="I943">
        <v>150.69999999999999</v>
      </c>
      <c r="J943" s="1">
        <v>64500</v>
      </c>
      <c r="K943" s="1">
        <v>64500</v>
      </c>
    </row>
    <row r="944" spans="1:11" x14ac:dyDescent="0.25">
      <c r="A944" t="s">
        <v>1711</v>
      </c>
      <c r="B944" t="s">
        <v>133</v>
      </c>
      <c r="C944" t="s">
        <v>35</v>
      </c>
      <c r="D944" t="s">
        <v>4461</v>
      </c>
      <c r="E944" t="s">
        <v>3304</v>
      </c>
      <c r="F944" t="s">
        <v>2740</v>
      </c>
      <c r="G944" s="2">
        <v>45436</v>
      </c>
      <c r="H944" t="s">
        <v>1712</v>
      </c>
      <c r="I944">
        <v>116.9</v>
      </c>
      <c r="J944" s="1">
        <v>50000</v>
      </c>
      <c r="K944" s="1">
        <v>50000</v>
      </c>
    </row>
    <row r="945" spans="1:11" x14ac:dyDescent="0.25">
      <c r="A945" t="s">
        <v>1713</v>
      </c>
      <c r="B945" t="s">
        <v>93</v>
      </c>
      <c r="C945" t="s">
        <v>35</v>
      </c>
      <c r="D945" t="s">
        <v>4465</v>
      </c>
      <c r="E945" t="s">
        <v>3304</v>
      </c>
      <c r="F945" t="s">
        <v>2740</v>
      </c>
      <c r="G945" s="2">
        <v>45436</v>
      </c>
      <c r="H945" t="s">
        <v>1714</v>
      </c>
      <c r="I945">
        <v>116.8</v>
      </c>
      <c r="J945" s="1">
        <v>50000</v>
      </c>
      <c r="K945" s="1">
        <v>50000</v>
      </c>
    </row>
    <row r="946" spans="1:11" x14ac:dyDescent="0.25">
      <c r="A946" t="s">
        <v>1715</v>
      </c>
      <c r="B946" t="s">
        <v>93</v>
      </c>
      <c r="C946" t="s">
        <v>35</v>
      </c>
      <c r="D946" t="s">
        <v>4465</v>
      </c>
      <c r="E946" t="s">
        <v>3304</v>
      </c>
      <c r="F946" t="s">
        <v>2740</v>
      </c>
      <c r="G946" s="2">
        <v>45436</v>
      </c>
      <c r="H946" t="s">
        <v>1716</v>
      </c>
      <c r="I946">
        <v>116.9</v>
      </c>
      <c r="J946" s="1">
        <v>50000</v>
      </c>
      <c r="K946" s="1">
        <v>50000</v>
      </c>
    </row>
    <row r="947" spans="1:11" x14ac:dyDescent="0.25">
      <c r="A947" t="s">
        <v>1717</v>
      </c>
      <c r="B947" t="s">
        <v>4471</v>
      </c>
      <c r="C947" t="s">
        <v>35</v>
      </c>
      <c r="D947" t="s">
        <v>4470</v>
      </c>
      <c r="E947" t="s">
        <v>35</v>
      </c>
      <c r="F947" t="s">
        <v>2740</v>
      </c>
      <c r="G947" s="2">
        <v>45436</v>
      </c>
      <c r="H947" t="s">
        <v>1718</v>
      </c>
      <c r="I947">
        <v>46.7</v>
      </c>
      <c r="J947" s="1">
        <v>20000</v>
      </c>
      <c r="K947" s="1">
        <v>20000</v>
      </c>
    </row>
    <row r="948" spans="1:11" x14ac:dyDescent="0.25">
      <c r="A948" t="s">
        <v>1720</v>
      </c>
      <c r="B948" t="s">
        <v>2718</v>
      </c>
      <c r="C948" t="s">
        <v>16</v>
      </c>
      <c r="D948" t="s">
        <v>4466</v>
      </c>
      <c r="E948" t="s">
        <v>4438</v>
      </c>
      <c r="F948" t="s">
        <v>2740</v>
      </c>
      <c r="G948" s="2">
        <v>45436</v>
      </c>
      <c r="H948" t="s">
        <v>1721</v>
      </c>
      <c r="I948">
        <v>116.9</v>
      </c>
      <c r="J948" s="1">
        <v>50000</v>
      </c>
      <c r="K948" s="1">
        <v>50000</v>
      </c>
    </row>
    <row r="949" spans="1:11" x14ac:dyDescent="0.25">
      <c r="A949" t="s">
        <v>1703</v>
      </c>
      <c r="B949" t="s">
        <v>2724</v>
      </c>
      <c r="C949" t="s">
        <v>16</v>
      </c>
      <c r="D949" t="s">
        <v>4462</v>
      </c>
      <c r="E949" t="s">
        <v>4451</v>
      </c>
      <c r="F949" t="s">
        <v>2740</v>
      </c>
      <c r="G949" s="2">
        <v>45437</v>
      </c>
      <c r="H949" t="s">
        <v>1704</v>
      </c>
      <c r="I949">
        <v>46.8</v>
      </c>
      <c r="J949" s="1">
        <v>20000</v>
      </c>
      <c r="K949" s="1">
        <v>20000</v>
      </c>
    </row>
    <row r="950" spans="1:11" x14ac:dyDescent="0.25">
      <c r="A950" t="s">
        <v>1707</v>
      </c>
      <c r="B950" t="s">
        <v>2705</v>
      </c>
      <c r="C950" t="s">
        <v>42</v>
      </c>
      <c r="D950" t="s">
        <v>4467</v>
      </c>
      <c r="E950" t="s">
        <v>4435</v>
      </c>
      <c r="F950" t="s">
        <v>2740</v>
      </c>
      <c r="G950" s="2">
        <v>45437</v>
      </c>
      <c r="H950" t="s">
        <v>1708</v>
      </c>
      <c r="I950">
        <v>58.4</v>
      </c>
      <c r="J950" s="1">
        <v>25000</v>
      </c>
      <c r="K950" s="1">
        <v>25000</v>
      </c>
    </row>
    <row r="951" spans="1:11" x14ac:dyDescent="0.25">
      <c r="A951" t="s">
        <v>1709</v>
      </c>
      <c r="B951" t="s">
        <v>4463</v>
      </c>
      <c r="C951" t="s">
        <v>35</v>
      </c>
      <c r="D951" t="s">
        <v>4464</v>
      </c>
      <c r="E951" t="s">
        <v>3304</v>
      </c>
      <c r="F951" t="s">
        <v>2740</v>
      </c>
      <c r="G951" s="2">
        <v>45437</v>
      </c>
      <c r="H951" t="s">
        <v>1710</v>
      </c>
      <c r="I951">
        <v>233.7</v>
      </c>
      <c r="J951" s="1">
        <v>100000</v>
      </c>
      <c r="K951" s="1">
        <v>100000</v>
      </c>
    </row>
    <row r="952" spans="1:11" x14ac:dyDescent="0.25">
      <c r="A952" t="s">
        <v>1699</v>
      </c>
      <c r="B952" t="s">
        <v>2705</v>
      </c>
      <c r="C952" t="s">
        <v>42</v>
      </c>
      <c r="D952" t="s">
        <v>4467</v>
      </c>
      <c r="E952" t="s">
        <v>4435</v>
      </c>
      <c r="F952" t="s">
        <v>2740</v>
      </c>
      <c r="G952" s="2">
        <v>45438</v>
      </c>
      <c r="H952" t="s">
        <v>1700</v>
      </c>
      <c r="I952">
        <v>58.4</v>
      </c>
      <c r="J952" s="1">
        <v>25000</v>
      </c>
      <c r="K952" s="1">
        <v>25000</v>
      </c>
    </row>
    <row r="953" spans="1:11" x14ac:dyDescent="0.25">
      <c r="A953" t="s">
        <v>1701</v>
      </c>
      <c r="B953" t="s">
        <v>2719</v>
      </c>
      <c r="C953" t="s">
        <v>16</v>
      </c>
      <c r="D953" t="s">
        <v>4466</v>
      </c>
      <c r="E953" t="s">
        <v>4430</v>
      </c>
      <c r="F953" t="s">
        <v>2740</v>
      </c>
      <c r="G953" s="2">
        <v>45438</v>
      </c>
      <c r="H953" t="s">
        <v>1702</v>
      </c>
      <c r="I953">
        <v>116.8</v>
      </c>
      <c r="J953" s="1">
        <v>50000</v>
      </c>
      <c r="K953" s="1">
        <v>50000</v>
      </c>
    </row>
    <row r="954" spans="1:11" x14ac:dyDescent="0.25">
      <c r="A954" t="s">
        <v>1692</v>
      </c>
      <c r="B954" t="s">
        <v>2716</v>
      </c>
      <c r="C954" t="s">
        <v>16</v>
      </c>
      <c r="D954" t="s">
        <v>4462</v>
      </c>
      <c r="E954" t="s">
        <v>4458</v>
      </c>
      <c r="F954" t="s">
        <v>2740</v>
      </c>
      <c r="G954" s="2">
        <v>45439</v>
      </c>
      <c r="H954" t="s">
        <v>1693</v>
      </c>
      <c r="I954">
        <v>187.6</v>
      </c>
      <c r="J954" s="1">
        <v>80300</v>
      </c>
      <c r="K954" s="1">
        <v>80300</v>
      </c>
    </row>
    <row r="955" spans="1:11" x14ac:dyDescent="0.25">
      <c r="A955" t="s">
        <v>1695</v>
      </c>
      <c r="B955" t="s">
        <v>2729</v>
      </c>
      <c r="C955" t="s">
        <v>16</v>
      </c>
      <c r="D955" t="s">
        <v>4465</v>
      </c>
      <c r="E955" t="s">
        <v>4427</v>
      </c>
      <c r="F955" t="s">
        <v>2740</v>
      </c>
      <c r="G955" s="2">
        <v>45439</v>
      </c>
      <c r="H955" t="s">
        <v>1696</v>
      </c>
      <c r="I955">
        <v>70.099999999999994</v>
      </c>
      <c r="J955" s="1">
        <v>30000</v>
      </c>
      <c r="K955" s="1">
        <v>30000</v>
      </c>
    </row>
    <row r="956" spans="1:11" x14ac:dyDescent="0.25">
      <c r="A956" t="s">
        <v>1697</v>
      </c>
      <c r="B956" t="s">
        <v>2699</v>
      </c>
      <c r="C956" t="s">
        <v>16</v>
      </c>
      <c r="D956" t="s">
        <v>4462</v>
      </c>
      <c r="E956" t="s">
        <v>4440</v>
      </c>
      <c r="F956" t="s">
        <v>2740</v>
      </c>
      <c r="G956" s="2">
        <v>45439</v>
      </c>
      <c r="H956" t="s">
        <v>1698</v>
      </c>
      <c r="I956">
        <v>70.099999999999994</v>
      </c>
      <c r="J956" s="1">
        <v>30000</v>
      </c>
      <c r="K956" s="1">
        <v>30000</v>
      </c>
    </row>
    <row r="957" spans="1:11" x14ac:dyDescent="0.25">
      <c r="A957" t="s">
        <v>1682</v>
      </c>
      <c r="B957" t="s">
        <v>2705</v>
      </c>
      <c r="C957" t="s">
        <v>42</v>
      </c>
      <c r="D957" t="s">
        <v>4467</v>
      </c>
      <c r="E957" t="s">
        <v>4435</v>
      </c>
      <c r="F957" t="s">
        <v>2740</v>
      </c>
      <c r="G957" s="2">
        <v>45440</v>
      </c>
      <c r="H957" t="s">
        <v>1683</v>
      </c>
      <c r="I957">
        <v>70.2</v>
      </c>
      <c r="J957" s="1">
        <v>30000</v>
      </c>
      <c r="K957" s="1">
        <v>30000</v>
      </c>
    </row>
    <row r="958" spans="1:11" x14ac:dyDescent="0.25">
      <c r="A958" t="s">
        <v>1684</v>
      </c>
      <c r="B958" t="s">
        <v>2732</v>
      </c>
      <c r="C958" t="s">
        <v>16</v>
      </c>
      <c r="D958" t="s">
        <v>4461</v>
      </c>
      <c r="E958" t="s">
        <v>4444</v>
      </c>
      <c r="F958" t="s">
        <v>2740</v>
      </c>
      <c r="G958" s="2">
        <v>45440</v>
      </c>
      <c r="H958" t="s">
        <v>1685</v>
      </c>
      <c r="I958">
        <v>46.7</v>
      </c>
      <c r="J958" s="1">
        <v>20000</v>
      </c>
      <c r="K958" s="1">
        <v>20000</v>
      </c>
    </row>
    <row r="959" spans="1:11" x14ac:dyDescent="0.25">
      <c r="A959" t="s">
        <v>1686</v>
      </c>
      <c r="B959" t="s">
        <v>4463</v>
      </c>
      <c r="C959" t="s">
        <v>35</v>
      </c>
      <c r="D959" t="s">
        <v>4464</v>
      </c>
      <c r="E959" t="s">
        <v>3304</v>
      </c>
      <c r="F959" t="s">
        <v>2740</v>
      </c>
      <c r="G959" s="2">
        <v>45440</v>
      </c>
      <c r="H959" t="s">
        <v>1687</v>
      </c>
      <c r="I959">
        <v>116.8</v>
      </c>
      <c r="J959" s="1">
        <v>50000</v>
      </c>
      <c r="K959" s="1">
        <v>50000</v>
      </c>
    </row>
    <row r="960" spans="1:11" x14ac:dyDescent="0.25">
      <c r="A960" t="s">
        <v>1688</v>
      </c>
      <c r="B960" t="s">
        <v>4471</v>
      </c>
      <c r="C960" t="s">
        <v>35</v>
      </c>
      <c r="D960" t="s">
        <v>4470</v>
      </c>
      <c r="E960" t="s">
        <v>35</v>
      </c>
      <c r="F960" t="s">
        <v>2740</v>
      </c>
      <c r="G960" s="2">
        <v>45440</v>
      </c>
      <c r="H960" t="s">
        <v>1689</v>
      </c>
      <c r="I960">
        <v>93.5</v>
      </c>
      <c r="J960" s="1">
        <v>40000</v>
      </c>
      <c r="K960" s="1">
        <v>40000</v>
      </c>
    </row>
    <row r="961" spans="1:11" x14ac:dyDescent="0.25">
      <c r="A961" t="s">
        <v>1690</v>
      </c>
      <c r="B961" t="s">
        <v>66</v>
      </c>
      <c r="C961" t="s">
        <v>35</v>
      </c>
      <c r="D961" t="s">
        <v>4466</v>
      </c>
      <c r="E961" t="s">
        <v>3304</v>
      </c>
      <c r="F961" t="s">
        <v>2740</v>
      </c>
      <c r="G961" s="2">
        <v>45440</v>
      </c>
      <c r="H961" t="s">
        <v>1691</v>
      </c>
      <c r="I961">
        <v>116.9</v>
      </c>
      <c r="J961" s="1">
        <v>50000</v>
      </c>
      <c r="K961" s="1">
        <v>50000</v>
      </c>
    </row>
    <row r="962" spans="1:11" x14ac:dyDescent="0.25">
      <c r="A962" t="s">
        <v>1674</v>
      </c>
      <c r="B962" t="s">
        <v>2735</v>
      </c>
      <c r="C962" t="s">
        <v>16</v>
      </c>
      <c r="D962" t="s">
        <v>4462</v>
      </c>
      <c r="E962" t="s">
        <v>4426</v>
      </c>
      <c r="F962" t="s">
        <v>2740</v>
      </c>
      <c r="G962" s="2">
        <v>45441</v>
      </c>
      <c r="H962" t="s">
        <v>1675</v>
      </c>
      <c r="I962">
        <v>105.2</v>
      </c>
      <c r="J962" s="1">
        <v>45000</v>
      </c>
      <c r="K962" s="1">
        <v>45000</v>
      </c>
    </row>
    <row r="963" spans="1:11" x14ac:dyDescent="0.25">
      <c r="A963" t="s">
        <v>1676</v>
      </c>
      <c r="B963" t="s">
        <v>2700</v>
      </c>
      <c r="C963" t="s">
        <v>27</v>
      </c>
      <c r="D963" t="s">
        <v>4466</v>
      </c>
      <c r="E963" t="s">
        <v>4450</v>
      </c>
      <c r="F963" t="s">
        <v>2740</v>
      </c>
      <c r="G963" s="2">
        <v>45441</v>
      </c>
      <c r="H963" t="s">
        <v>1677</v>
      </c>
      <c r="I963">
        <v>233.7</v>
      </c>
      <c r="J963" s="1">
        <v>100000</v>
      </c>
      <c r="K963" s="1">
        <v>100000</v>
      </c>
    </row>
    <row r="964" spans="1:11" x14ac:dyDescent="0.25">
      <c r="A964" t="s">
        <v>1678</v>
      </c>
      <c r="B964" t="s">
        <v>2717</v>
      </c>
      <c r="C964" t="s">
        <v>16</v>
      </c>
      <c r="D964" t="s">
        <v>4466</v>
      </c>
      <c r="E964" t="s">
        <v>4431</v>
      </c>
      <c r="F964" t="s">
        <v>2740</v>
      </c>
      <c r="G964" s="2">
        <v>45441</v>
      </c>
      <c r="H964" t="s">
        <v>1679</v>
      </c>
      <c r="I964">
        <v>116.9</v>
      </c>
      <c r="J964" s="1">
        <v>50000</v>
      </c>
      <c r="K964" s="1">
        <v>50000</v>
      </c>
    </row>
    <row r="965" spans="1:11" x14ac:dyDescent="0.25">
      <c r="A965" t="s">
        <v>1680</v>
      </c>
      <c r="B965" t="s">
        <v>2700</v>
      </c>
      <c r="C965" t="s">
        <v>27</v>
      </c>
      <c r="D965" t="s">
        <v>4466</v>
      </c>
      <c r="E965" t="s">
        <v>4450</v>
      </c>
      <c r="F965" t="s">
        <v>2740</v>
      </c>
      <c r="G965" s="2">
        <v>45441</v>
      </c>
      <c r="H965" t="s">
        <v>1681</v>
      </c>
      <c r="I965">
        <v>58.4</v>
      </c>
      <c r="J965" s="1">
        <v>25000</v>
      </c>
      <c r="K965" s="1">
        <v>25000</v>
      </c>
    </row>
    <row r="966" spans="1:11" x14ac:dyDescent="0.25">
      <c r="A966" t="s">
        <v>1668</v>
      </c>
      <c r="B966" t="s">
        <v>2724</v>
      </c>
      <c r="C966" t="s">
        <v>16</v>
      </c>
      <c r="D966" t="s">
        <v>4462</v>
      </c>
      <c r="E966" t="s">
        <v>4451</v>
      </c>
      <c r="F966" t="s">
        <v>2740</v>
      </c>
      <c r="G966" s="2">
        <v>45442</v>
      </c>
      <c r="H966" t="s">
        <v>1669</v>
      </c>
      <c r="I966">
        <v>46.7</v>
      </c>
      <c r="J966" s="1">
        <v>20000</v>
      </c>
      <c r="K966" s="1">
        <v>20000</v>
      </c>
    </row>
    <row r="967" spans="1:11" x14ac:dyDescent="0.25">
      <c r="A967" t="s">
        <v>1670</v>
      </c>
      <c r="B967" t="s">
        <v>66</v>
      </c>
      <c r="C967" t="s">
        <v>35</v>
      </c>
      <c r="D967" t="s">
        <v>4466</v>
      </c>
      <c r="E967" t="s">
        <v>3304</v>
      </c>
      <c r="F967" t="s">
        <v>2740</v>
      </c>
      <c r="G967" s="2">
        <v>45442</v>
      </c>
      <c r="H967" t="s">
        <v>1671</v>
      </c>
      <c r="I967">
        <v>584.29999999999995</v>
      </c>
      <c r="J967" s="1">
        <v>250000</v>
      </c>
      <c r="K967" s="1">
        <v>250000</v>
      </c>
    </row>
    <row r="968" spans="1:11" x14ac:dyDescent="0.25">
      <c r="A968" t="s">
        <v>1672</v>
      </c>
      <c r="B968" t="s">
        <v>4463</v>
      </c>
      <c r="C968" t="s">
        <v>35</v>
      </c>
      <c r="D968" t="s">
        <v>4464</v>
      </c>
      <c r="E968" t="s">
        <v>3304</v>
      </c>
      <c r="F968" t="s">
        <v>2740</v>
      </c>
      <c r="G968" s="2">
        <v>45442</v>
      </c>
      <c r="H968" t="s">
        <v>1673</v>
      </c>
      <c r="I968">
        <v>584.29999999999995</v>
      </c>
      <c r="J968" s="1">
        <v>250000</v>
      </c>
      <c r="K968" s="1">
        <v>250000</v>
      </c>
    </row>
    <row r="969" spans="1:11" x14ac:dyDescent="0.25">
      <c r="A969" t="s">
        <v>1656</v>
      </c>
      <c r="B969" t="s">
        <v>2719</v>
      </c>
      <c r="C969" t="s">
        <v>16</v>
      </c>
      <c r="D969" t="s">
        <v>4466</v>
      </c>
      <c r="E969" t="s">
        <v>4430</v>
      </c>
      <c r="F969" t="s">
        <v>2740</v>
      </c>
      <c r="G969" s="2">
        <v>45443</v>
      </c>
      <c r="H969" t="s">
        <v>1657</v>
      </c>
      <c r="I969">
        <v>116.9</v>
      </c>
      <c r="J969" s="1">
        <v>50000</v>
      </c>
      <c r="K969" s="1">
        <v>50000</v>
      </c>
    </row>
    <row r="970" spans="1:11" x14ac:dyDescent="0.25">
      <c r="A970" t="s">
        <v>1658</v>
      </c>
      <c r="B970" t="s">
        <v>2705</v>
      </c>
      <c r="C970" t="s">
        <v>42</v>
      </c>
      <c r="D970" t="s">
        <v>4467</v>
      </c>
      <c r="E970" t="s">
        <v>4435</v>
      </c>
      <c r="F970" t="s">
        <v>2740</v>
      </c>
      <c r="G970" s="2">
        <v>45443</v>
      </c>
      <c r="H970" t="s">
        <v>1659</v>
      </c>
      <c r="I970">
        <v>70.099999999999994</v>
      </c>
      <c r="J970" s="1">
        <v>30000</v>
      </c>
      <c r="K970" s="1">
        <v>30000</v>
      </c>
    </row>
    <row r="971" spans="1:11" x14ac:dyDescent="0.25">
      <c r="A971" t="s">
        <v>1660</v>
      </c>
      <c r="B971" t="s">
        <v>2710</v>
      </c>
      <c r="C971" t="s">
        <v>42</v>
      </c>
      <c r="D971" t="s">
        <v>4467</v>
      </c>
      <c r="E971" t="s">
        <v>4436</v>
      </c>
      <c r="F971" t="s">
        <v>2740</v>
      </c>
      <c r="G971" s="2">
        <v>45443</v>
      </c>
      <c r="H971" t="s">
        <v>1661</v>
      </c>
      <c r="I971">
        <v>233.8</v>
      </c>
      <c r="J971" s="1">
        <v>100000</v>
      </c>
      <c r="K971" s="1">
        <v>100000</v>
      </c>
    </row>
    <row r="972" spans="1:11" x14ac:dyDescent="0.25">
      <c r="A972" t="s">
        <v>1665</v>
      </c>
      <c r="B972" t="s">
        <v>2736</v>
      </c>
      <c r="C972" t="s">
        <v>16</v>
      </c>
      <c r="D972" t="s">
        <v>4461</v>
      </c>
      <c r="E972" t="s">
        <v>4459</v>
      </c>
      <c r="F972" t="s">
        <v>2740</v>
      </c>
      <c r="G972" s="2">
        <v>45443</v>
      </c>
      <c r="H972" t="s">
        <v>1666</v>
      </c>
      <c r="I972">
        <v>70.099999999999994</v>
      </c>
      <c r="J972" s="1">
        <v>30000</v>
      </c>
      <c r="K972" s="1">
        <v>30000</v>
      </c>
    </row>
    <row r="973" spans="1:11" x14ac:dyDescent="0.25">
      <c r="A973" t="s">
        <v>1638</v>
      </c>
      <c r="B973" t="s">
        <v>2720</v>
      </c>
      <c r="C973" t="s">
        <v>16</v>
      </c>
      <c r="D973" t="s">
        <v>4461</v>
      </c>
      <c r="E973" t="s">
        <v>4425</v>
      </c>
      <c r="F973" t="s">
        <v>2740</v>
      </c>
      <c r="G973" s="2">
        <v>45444</v>
      </c>
      <c r="H973" t="s">
        <v>1639</v>
      </c>
      <c r="I973">
        <v>584.29999999999995</v>
      </c>
      <c r="J973" s="1">
        <v>250000</v>
      </c>
      <c r="K973" s="1">
        <v>250000</v>
      </c>
    </row>
    <row r="974" spans="1:11" x14ac:dyDescent="0.25">
      <c r="A974" t="s">
        <v>1641</v>
      </c>
      <c r="B974" t="s">
        <v>2707</v>
      </c>
      <c r="C974" t="s">
        <v>16</v>
      </c>
      <c r="D974" t="s">
        <v>4462</v>
      </c>
      <c r="E974" t="s">
        <v>4433</v>
      </c>
      <c r="F974" t="s">
        <v>2740</v>
      </c>
      <c r="G974" s="2">
        <v>45444</v>
      </c>
      <c r="H974" t="s">
        <v>1642</v>
      </c>
      <c r="I974">
        <v>327.2</v>
      </c>
      <c r="J974" s="1">
        <v>140000</v>
      </c>
      <c r="K974" s="1">
        <v>140000</v>
      </c>
    </row>
    <row r="975" spans="1:11" x14ac:dyDescent="0.25">
      <c r="A975" t="s">
        <v>1646</v>
      </c>
      <c r="B975" t="s">
        <v>2698</v>
      </c>
      <c r="C975" t="s">
        <v>16</v>
      </c>
      <c r="D975" t="s">
        <v>4465</v>
      </c>
      <c r="E975" t="s">
        <v>4442</v>
      </c>
      <c r="F975" t="s">
        <v>2740</v>
      </c>
      <c r="G975" s="2">
        <v>45444</v>
      </c>
      <c r="H975" t="s">
        <v>1647</v>
      </c>
      <c r="I975">
        <v>93.5</v>
      </c>
      <c r="J975" s="1">
        <v>40000</v>
      </c>
      <c r="K975" s="1">
        <v>40000</v>
      </c>
    </row>
    <row r="976" spans="1:11" x14ac:dyDescent="0.25">
      <c r="A976" t="s">
        <v>1648</v>
      </c>
      <c r="B976" t="s">
        <v>133</v>
      </c>
      <c r="C976" t="s">
        <v>35</v>
      </c>
      <c r="D976" t="s">
        <v>4461</v>
      </c>
      <c r="E976" t="s">
        <v>3304</v>
      </c>
      <c r="F976" t="s">
        <v>2740</v>
      </c>
      <c r="G976" s="2">
        <v>45444</v>
      </c>
      <c r="H976" t="s">
        <v>1649</v>
      </c>
      <c r="I976">
        <v>233.7</v>
      </c>
      <c r="J976" s="1">
        <v>100000</v>
      </c>
      <c r="K976" s="1">
        <v>100000</v>
      </c>
    </row>
    <row r="977" spans="1:11" x14ac:dyDescent="0.25">
      <c r="A977" t="s">
        <v>1650</v>
      </c>
      <c r="B977" t="s">
        <v>136</v>
      </c>
      <c r="C977" t="s">
        <v>35</v>
      </c>
      <c r="D977" t="s">
        <v>4462</v>
      </c>
      <c r="E977" t="s">
        <v>3304</v>
      </c>
      <c r="F977" t="s">
        <v>2740</v>
      </c>
      <c r="G977" s="2">
        <v>45444</v>
      </c>
      <c r="H977" t="s">
        <v>1651</v>
      </c>
      <c r="I977">
        <v>233.7</v>
      </c>
      <c r="J977" s="1">
        <v>100000</v>
      </c>
      <c r="K977" s="1">
        <v>100000</v>
      </c>
    </row>
    <row r="978" spans="1:11" x14ac:dyDescent="0.25">
      <c r="A978" t="s">
        <v>1652</v>
      </c>
      <c r="B978" t="s">
        <v>2702</v>
      </c>
      <c r="C978" t="s">
        <v>35</v>
      </c>
      <c r="D978" t="s">
        <v>3305</v>
      </c>
      <c r="E978" t="s">
        <v>3304</v>
      </c>
      <c r="F978" t="s">
        <v>2740</v>
      </c>
      <c r="G978" s="2">
        <v>45444</v>
      </c>
      <c r="H978" t="s">
        <v>1653</v>
      </c>
      <c r="I978">
        <v>233.7</v>
      </c>
      <c r="J978" s="1">
        <v>100000</v>
      </c>
      <c r="K978" s="1">
        <v>100000</v>
      </c>
    </row>
    <row r="979" spans="1:11" x14ac:dyDescent="0.25">
      <c r="A979" t="s">
        <v>1636</v>
      </c>
      <c r="B979" t="s">
        <v>2701</v>
      </c>
      <c r="C979" t="s">
        <v>16</v>
      </c>
      <c r="D979" t="s">
        <v>4466</v>
      </c>
      <c r="E979" t="s">
        <v>4453</v>
      </c>
      <c r="F979" t="s">
        <v>2740</v>
      </c>
      <c r="G979" s="2">
        <v>45445</v>
      </c>
      <c r="H979" t="s">
        <v>1637</v>
      </c>
      <c r="I979">
        <v>46.7</v>
      </c>
      <c r="J979" s="1">
        <v>20000</v>
      </c>
      <c r="K979" s="1">
        <v>20000</v>
      </c>
    </row>
    <row r="980" spans="1:11" x14ac:dyDescent="0.25">
      <c r="A980" t="s">
        <v>1629</v>
      </c>
      <c r="B980" t="s">
        <v>2705</v>
      </c>
      <c r="C980" t="s">
        <v>42</v>
      </c>
      <c r="D980" t="s">
        <v>4467</v>
      </c>
      <c r="E980" t="s">
        <v>4435</v>
      </c>
      <c r="F980" t="s">
        <v>2740</v>
      </c>
      <c r="G980" s="2">
        <v>45446</v>
      </c>
      <c r="H980" t="s">
        <v>1630</v>
      </c>
      <c r="I980">
        <v>81.8</v>
      </c>
      <c r="J980" s="1">
        <v>35000</v>
      </c>
      <c r="K980" s="1">
        <v>35000</v>
      </c>
    </row>
    <row r="981" spans="1:11" x14ac:dyDescent="0.25">
      <c r="A981" t="s">
        <v>1631</v>
      </c>
      <c r="B981" t="s">
        <v>2729</v>
      </c>
      <c r="C981" t="s">
        <v>16</v>
      </c>
      <c r="D981" t="s">
        <v>4465</v>
      </c>
      <c r="E981" t="s">
        <v>4427</v>
      </c>
      <c r="F981" t="s">
        <v>2740</v>
      </c>
      <c r="G981" s="2">
        <v>45446</v>
      </c>
      <c r="H981" t="s">
        <v>1632</v>
      </c>
      <c r="I981">
        <v>93.5</v>
      </c>
      <c r="J981" s="1">
        <v>40000</v>
      </c>
      <c r="K981" s="1">
        <v>40000</v>
      </c>
    </row>
    <row r="982" spans="1:11" x14ac:dyDescent="0.25">
      <c r="A982" t="s">
        <v>1634</v>
      </c>
      <c r="B982" t="s">
        <v>2699</v>
      </c>
      <c r="C982" t="s">
        <v>16</v>
      </c>
      <c r="D982" t="s">
        <v>4462</v>
      </c>
      <c r="E982" t="s">
        <v>4440</v>
      </c>
      <c r="F982" t="s">
        <v>2740</v>
      </c>
      <c r="G982" s="2">
        <v>45446</v>
      </c>
      <c r="H982" t="s">
        <v>1635</v>
      </c>
      <c r="I982">
        <v>93.5</v>
      </c>
      <c r="J982" s="1">
        <v>40000</v>
      </c>
      <c r="K982" s="1">
        <v>40000</v>
      </c>
    </row>
    <row r="983" spans="1:11" x14ac:dyDescent="0.25">
      <c r="A983" t="s">
        <v>1627</v>
      </c>
      <c r="B983" t="s">
        <v>4463</v>
      </c>
      <c r="C983" t="s">
        <v>35</v>
      </c>
      <c r="D983" t="s">
        <v>4464</v>
      </c>
      <c r="E983" t="s">
        <v>3304</v>
      </c>
      <c r="F983" t="s">
        <v>2740</v>
      </c>
      <c r="G983" s="2">
        <v>45447</v>
      </c>
      <c r="H983" t="s">
        <v>1628</v>
      </c>
      <c r="I983">
        <v>229.1</v>
      </c>
      <c r="J983" s="1">
        <v>98000</v>
      </c>
      <c r="K983" s="1">
        <v>98000</v>
      </c>
    </row>
    <row r="984" spans="1:11" x14ac:dyDescent="0.25">
      <c r="A984" t="s">
        <v>1603</v>
      </c>
      <c r="B984" t="s">
        <v>2731</v>
      </c>
      <c r="C984" t="s">
        <v>16</v>
      </c>
      <c r="D984" t="s">
        <v>4465</v>
      </c>
      <c r="E984" t="s">
        <v>4460</v>
      </c>
      <c r="F984" t="s">
        <v>2740</v>
      </c>
      <c r="G984" s="2">
        <v>45448</v>
      </c>
      <c r="H984" t="s">
        <v>1604</v>
      </c>
      <c r="I984">
        <v>350.5</v>
      </c>
      <c r="J984" s="1">
        <v>150000</v>
      </c>
      <c r="K984" s="1">
        <v>150000</v>
      </c>
    </row>
    <row r="985" spans="1:11" x14ac:dyDescent="0.25">
      <c r="A985" t="s">
        <v>1605</v>
      </c>
      <c r="B985" t="s">
        <v>2707</v>
      </c>
      <c r="C985" t="s">
        <v>16</v>
      </c>
      <c r="D985" t="s">
        <v>4462</v>
      </c>
      <c r="E985" t="s">
        <v>4433</v>
      </c>
      <c r="F985" t="s">
        <v>2740</v>
      </c>
      <c r="G985" s="2">
        <v>45448</v>
      </c>
      <c r="H985" t="s">
        <v>1606</v>
      </c>
      <c r="I985">
        <v>409</v>
      </c>
      <c r="J985" s="1">
        <v>175000</v>
      </c>
      <c r="K985" s="1">
        <v>175000</v>
      </c>
    </row>
    <row r="986" spans="1:11" x14ac:dyDescent="0.25">
      <c r="A986" t="s">
        <v>1607</v>
      </c>
      <c r="B986" t="s">
        <v>2710</v>
      </c>
      <c r="C986" t="s">
        <v>42</v>
      </c>
      <c r="D986" t="s">
        <v>4467</v>
      </c>
      <c r="E986" t="s">
        <v>4436</v>
      </c>
      <c r="F986" t="s">
        <v>2740</v>
      </c>
      <c r="G986" s="2">
        <v>45448</v>
      </c>
      <c r="H986" t="s">
        <v>1608</v>
      </c>
      <c r="I986">
        <v>584.29999999999995</v>
      </c>
      <c r="J986" s="1">
        <v>250000</v>
      </c>
      <c r="K986" s="1">
        <v>250000</v>
      </c>
    </row>
    <row r="987" spans="1:11" x14ac:dyDescent="0.25">
      <c r="A987" t="s">
        <v>1609</v>
      </c>
      <c r="B987" t="s">
        <v>2719</v>
      </c>
      <c r="C987" t="s">
        <v>16</v>
      </c>
      <c r="D987" t="s">
        <v>4466</v>
      </c>
      <c r="E987" t="s">
        <v>4430</v>
      </c>
      <c r="F987" t="s">
        <v>2740</v>
      </c>
      <c r="G987" s="2">
        <v>45448</v>
      </c>
      <c r="H987" t="s">
        <v>1610</v>
      </c>
      <c r="I987">
        <v>251.2</v>
      </c>
      <c r="J987" s="1">
        <v>107500</v>
      </c>
      <c r="K987" s="1">
        <v>107500</v>
      </c>
    </row>
    <row r="988" spans="1:11" x14ac:dyDescent="0.25">
      <c r="A988" t="s">
        <v>1612</v>
      </c>
      <c r="B988" t="s">
        <v>2724</v>
      </c>
      <c r="C988" t="s">
        <v>16</v>
      </c>
      <c r="D988" t="s">
        <v>4462</v>
      </c>
      <c r="E988" t="s">
        <v>4451</v>
      </c>
      <c r="F988" t="s">
        <v>2740</v>
      </c>
      <c r="G988" s="2">
        <v>45448</v>
      </c>
      <c r="H988" t="s">
        <v>1613</v>
      </c>
      <c r="I988">
        <v>46.8</v>
      </c>
      <c r="J988" s="1">
        <v>20000</v>
      </c>
      <c r="K988" s="1">
        <v>20000</v>
      </c>
    </row>
    <row r="989" spans="1:11" x14ac:dyDescent="0.25">
      <c r="A989" t="s">
        <v>1614</v>
      </c>
      <c r="B989" t="s">
        <v>2717</v>
      </c>
      <c r="C989" t="s">
        <v>16</v>
      </c>
      <c r="D989" t="s">
        <v>4466</v>
      </c>
      <c r="E989" t="s">
        <v>4431</v>
      </c>
      <c r="F989" t="s">
        <v>2740</v>
      </c>
      <c r="G989" s="2">
        <v>45448</v>
      </c>
      <c r="H989" t="s">
        <v>1615</v>
      </c>
      <c r="I989">
        <v>128.5</v>
      </c>
      <c r="J989" s="1">
        <v>55000</v>
      </c>
      <c r="K989" s="1">
        <v>55000</v>
      </c>
    </row>
    <row r="990" spans="1:11" x14ac:dyDescent="0.25">
      <c r="A990" t="s">
        <v>1618</v>
      </c>
      <c r="B990" t="s">
        <v>2735</v>
      </c>
      <c r="C990" t="s">
        <v>16</v>
      </c>
      <c r="D990" t="s">
        <v>4462</v>
      </c>
      <c r="E990" t="s">
        <v>4426</v>
      </c>
      <c r="F990" t="s">
        <v>2740</v>
      </c>
      <c r="G990" s="2">
        <v>45448</v>
      </c>
      <c r="H990" t="s">
        <v>1619</v>
      </c>
      <c r="I990">
        <v>46.7</v>
      </c>
      <c r="J990" s="1">
        <v>20000</v>
      </c>
      <c r="K990" s="1">
        <v>20000</v>
      </c>
    </row>
    <row r="991" spans="1:11" x14ac:dyDescent="0.25">
      <c r="A991" t="s">
        <v>1620</v>
      </c>
      <c r="B991" t="s">
        <v>2732</v>
      </c>
      <c r="C991" t="s">
        <v>16</v>
      </c>
      <c r="D991" t="s">
        <v>4461</v>
      </c>
      <c r="E991" t="s">
        <v>4444</v>
      </c>
      <c r="F991" t="s">
        <v>2740</v>
      </c>
      <c r="G991" s="2">
        <v>45448</v>
      </c>
      <c r="H991" t="s">
        <v>1621</v>
      </c>
      <c r="I991">
        <v>70.099999999999994</v>
      </c>
      <c r="J991" s="1">
        <v>30000</v>
      </c>
      <c r="K991" s="1">
        <v>30000</v>
      </c>
    </row>
    <row r="992" spans="1:11" x14ac:dyDescent="0.25">
      <c r="A992" t="s">
        <v>1623</v>
      </c>
      <c r="B992" t="s">
        <v>2722</v>
      </c>
      <c r="C992" t="s">
        <v>16</v>
      </c>
      <c r="D992" t="s">
        <v>4462</v>
      </c>
      <c r="E992" t="s">
        <v>4446</v>
      </c>
      <c r="F992" t="s">
        <v>2740</v>
      </c>
      <c r="G992" s="2">
        <v>45448</v>
      </c>
      <c r="H992" t="s">
        <v>1624</v>
      </c>
      <c r="I992">
        <v>93.5</v>
      </c>
      <c r="J992" s="1">
        <v>40000</v>
      </c>
      <c r="K992" s="1">
        <v>40000</v>
      </c>
    </row>
    <row r="993" spans="1:11" x14ac:dyDescent="0.25">
      <c r="A993" t="s">
        <v>1594</v>
      </c>
      <c r="B993" t="s">
        <v>2705</v>
      </c>
      <c r="C993" t="s">
        <v>42</v>
      </c>
      <c r="D993" t="s">
        <v>4467</v>
      </c>
      <c r="E993" t="s">
        <v>4435</v>
      </c>
      <c r="F993" t="s">
        <v>2740</v>
      </c>
      <c r="G993" s="2">
        <v>45449</v>
      </c>
      <c r="H993" t="s">
        <v>1595</v>
      </c>
      <c r="I993">
        <v>58.4</v>
      </c>
      <c r="J993" s="1">
        <v>25000</v>
      </c>
      <c r="K993" s="1">
        <v>25000</v>
      </c>
    </row>
    <row r="994" spans="1:11" x14ac:dyDescent="0.25">
      <c r="A994" t="s">
        <v>1596</v>
      </c>
      <c r="B994" t="s">
        <v>2701</v>
      </c>
      <c r="C994" t="s">
        <v>16</v>
      </c>
      <c r="D994" t="s">
        <v>4466</v>
      </c>
      <c r="E994" t="s">
        <v>4453</v>
      </c>
      <c r="F994" t="s">
        <v>2740</v>
      </c>
      <c r="G994" s="2">
        <v>45449</v>
      </c>
      <c r="H994" t="s">
        <v>1597</v>
      </c>
      <c r="I994">
        <v>70.099999999999994</v>
      </c>
      <c r="J994" s="1">
        <v>30000</v>
      </c>
      <c r="K994" s="1">
        <v>30000</v>
      </c>
    </row>
    <row r="995" spans="1:11" x14ac:dyDescent="0.25">
      <c r="A995" t="s">
        <v>1599</v>
      </c>
      <c r="B995" t="s">
        <v>4463</v>
      </c>
      <c r="C995" t="s">
        <v>35</v>
      </c>
      <c r="D995" t="s">
        <v>4464</v>
      </c>
      <c r="E995" t="s">
        <v>3304</v>
      </c>
      <c r="F995" t="s">
        <v>2740</v>
      </c>
      <c r="G995" s="2">
        <v>45449</v>
      </c>
      <c r="H995" t="s">
        <v>1600</v>
      </c>
      <c r="I995">
        <v>584.29999999999995</v>
      </c>
      <c r="J995" s="1">
        <v>250000</v>
      </c>
      <c r="K995" s="1">
        <v>250000</v>
      </c>
    </row>
    <row r="996" spans="1:11" x14ac:dyDescent="0.25">
      <c r="A996" t="s">
        <v>1601</v>
      </c>
      <c r="B996" t="s">
        <v>4471</v>
      </c>
      <c r="C996" t="s">
        <v>35</v>
      </c>
      <c r="D996" t="s">
        <v>4470</v>
      </c>
      <c r="E996" t="s">
        <v>35</v>
      </c>
      <c r="F996" t="s">
        <v>2740</v>
      </c>
      <c r="G996" s="2">
        <v>45449</v>
      </c>
      <c r="H996" t="s">
        <v>1602</v>
      </c>
      <c r="I996">
        <v>233.7</v>
      </c>
      <c r="J996" s="1">
        <v>100000</v>
      </c>
      <c r="K996" s="1">
        <v>100000</v>
      </c>
    </row>
    <row r="997" spans="1:11" x14ac:dyDescent="0.25">
      <c r="A997" t="s">
        <v>1589</v>
      </c>
      <c r="B997" t="s">
        <v>2705</v>
      </c>
      <c r="C997" t="s">
        <v>42</v>
      </c>
      <c r="D997" t="s">
        <v>4467</v>
      </c>
      <c r="E997" t="s">
        <v>4435</v>
      </c>
      <c r="F997" t="s">
        <v>2740</v>
      </c>
      <c r="G997" s="2">
        <v>45450</v>
      </c>
      <c r="H997" t="s">
        <v>1590</v>
      </c>
      <c r="I997">
        <v>81.8</v>
      </c>
      <c r="J997" s="1">
        <v>35000</v>
      </c>
      <c r="K997" s="1">
        <v>35000</v>
      </c>
    </row>
    <row r="998" spans="1:11" x14ac:dyDescent="0.25">
      <c r="A998" t="s">
        <v>1592</v>
      </c>
      <c r="B998" t="s">
        <v>2718</v>
      </c>
      <c r="C998" t="s">
        <v>16</v>
      </c>
      <c r="D998" t="s">
        <v>4466</v>
      </c>
      <c r="E998" t="s">
        <v>4438</v>
      </c>
      <c r="F998" t="s">
        <v>2740</v>
      </c>
      <c r="G998" s="2">
        <v>45450</v>
      </c>
      <c r="H998" t="s">
        <v>1593</v>
      </c>
      <c r="I998">
        <v>102.8</v>
      </c>
      <c r="J998" s="1">
        <v>44000</v>
      </c>
      <c r="K998" s="1">
        <v>44000</v>
      </c>
    </row>
    <row r="999" spans="1:11" x14ac:dyDescent="0.25">
      <c r="A999" t="s">
        <v>1587</v>
      </c>
      <c r="B999" t="s">
        <v>2714</v>
      </c>
      <c r="C999" t="s">
        <v>16</v>
      </c>
      <c r="D999" t="s">
        <v>4466</v>
      </c>
      <c r="E999" t="s">
        <v>4434</v>
      </c>
      <c r="F999" t="s">
        <v>2740</v>
      </c>
      <c r="G999" s="2">
        <v>45451</v>
      </c>
      <c r="H999" t="s">
        <v>1588</v>
      </c>
      <c r="I999">
        <v>475.6</v>
      </c>
      <c r="J999" s="1">
        <v>203500</v>
      </c>
      <c r="K999" s="1">
        <v>203500</v>
      </c>
    </row>
    <row r="1000" spans="1:11" x14ac:dyDescent="0.25">
      <c r="A1000" t="s">
        <v>1585</v>
      </c>
      <c r="B1000" t="s">
        <v>2735</v>
      </c>
      <c r="C1000" t="s">
        <v>16</v>
      </c>
      <c r="D1000" t="s">
        <v>4462</v>
      </c>
      <c r="E1000" t="s">
        <v>4426</v>
      </c>
      <c r="F1000" t="s">
        <v>2740</v>
      </c>
      <c r="G1000" s="2">
        <v>45452</v>
      </c>
      <c r="H1000" t="s">
        <v>1586</v>
      </c>
      <c r="I1000">
        <v>46.8</v>
      </c>
      <c r="J1000" s="1">
        <v>20000</v>
      </c>
      <c r="K1000" s="1">
        <v>20000</v>
      </c>
    </row>
    <row r="1001" spans="1:11" x14ac:dyDescent="0.25">
      <c r="A1001" t="s">
        <v>1577</v>
      </c>
      <c r="B1001" t="s">
        <v>4463</v>
      </c>
      <c r="C1001" t="s">
        <v>35</v>
      </c>
      <c r="D1001" t="s">
        <v>4464</v>
      </c>
      <c r="E1001" t="s">
        <v>3304</v>
      </c>
      <c r="F1001" t="s">
        <v>2740</v>
      </c>
      <c r="G1001" s="2">
        <v>45453</v>
      </c>
      <c r="H1001" t="s">
        <v>1578</v>
      </c>
      <c r="I1001">
        <v>584.20000000000005</v>
      </c>
      <c r="J1001" s="1">
        <v>250000</v>
      </c>
      <c r="K1001" s="1">
        <v>250000</v>
      </c>
    </row>
    <row r="1002" spans="1:11" x14ac:dyDescent="0.25">
      <c r="A1002" t="s">
        <v>1579</v>
      </c>
      <c r="B1002" t="s">
        <v>2700</v>
      </c>
      <c r="C1002" t="s">
        <v>27</v>
      </c>
      <c r="D1002" t="s">
        <v>4466</v>
      </c>
      <c r="E1002" t="s">
        <v>4450</v>
      </c>
      <c r="F1002" t="s">
        <v>2740</v>
      </c>
      <c r="G1002" s="2">
        <v>45453</v>
      </c>
      <c r="H1002" t="s">
        <v>1580</v>
      </c>
      <c r="I1002">
        <v>233.7</v>
      </c>
      <c r="J1002" s="1">
        <v>100000</v>
      </c>
      <c r="K1002" s="1">
        <v>100000</v>
      </c>
    </row>
    <row r="1003" spans="1:11" x14ac:dyDescent="0.25">
      <c r="A1003" t="s">
        <v>1582</v>
      </c>
      <c r="B1003" t="s">
        <v>2698</v>
      </c>
      <c r="C1003" t="s">
        <v>16</v>
      </c>
      <c r="D1003" t="s">
        <v>4465</v>
      </c>
      <c r="E1003" t="s">
        <v>4442</v>
      </c>
      <c r="F1003" t="s">
        <v>2740</v>
      </c>
      <c r="G1003" s="2">
        <v>45453</v>
      </c>
      <c r="H1003" t="s">
        <v>1583</v>
      </c>
      <c r="I1003">
        <v>23.4</v>
      </c>
      <c r="J1003" s="1">
        <v>10000</v>
      </c>
      <c r="K1003" s="1">
        <v>10000</v>
      </c>
    </row>
    <row r="1004" spans="1:11" x14ac:dyDescent="0.25">
      <c r="A1004" t="s">
        <v>1571</v>
      </c>
      <c r="B1004" t="s">
        <v>66</v>
      </c>
      <c r="C1004" t="s">
        <v>35</v>
      </c>
      <c r="D1004" t="s">
        <v>4466</v>
      </c>
      <c r="E1004" t="s">
        <v>3304</v>
      </c>
      <c r="F1004" t="s">
        <v>2740</v>
      </c>
      <c r="G1004" s="2">
        <v>45454</v>
      </c>
      <c r="H1004" t="s">
        <v>1572</v>
      </c>
      <c r="I1004">
        <v>350.6</v>
      </c>
      <c r="J1004" s="1">
        <v>150000</v>
      </c>
      <c r="K1004" s="1">
        <v>150000</v>
      </c>
    </row>
    <row r="1005" spans="1:11" x14ac:dyDescent="0.25">
      <c r="A1005" t="s">
        <v>1573</v>
      </c>
      <c r="B1005" t="s">
        <v>2730</v>
      </c>
      <c r="C1005" t="s">
        <v>42</v>
      </c>
      <c r="D1005" t="s">
        <v>4467</v>
      </c>
      <c r="E1005" t="s">
        <v>4441</v>
      </c>
      <c r="F1005" t="s">
        <v>2740</v>
      </c>
      <c r="G1005" s="2">
        <v>45454</v>
      </c>
      <c r="H1005" t="s">
        <v>1574</v>
      </c>
      <c r="I1005">
        <v>233.7</v>
      </c>
      <c r="J1005" s="1">
        <v>100000</v>
      </c>
      <c r="K1005" s="1">
        <v>100000</v>
      </c>
    </row>
    <row r="1006" spans="1:11" x14ac:dyDescent="0.25">
      <c r="A1006" t="s">
        <v>1575</v>
      </c>
      <c r="B1006" t="s">
        <v>2705</v>
      </c>
      <c r="C1006" t="s">
        <v>42</v>
      </c>
      <c r="D1006" t="s">
        <v>4467</v>
      </c>
      <c r="E1006" t="s">
        <v>4435</v>
      </c>
      <c r="F1006" t="s">
        <v>2740</v>
      </c>
      <c r="G1006" s="2">
        <v>45454</v>
      </c>
      <c r="H1006" t="s">
        <v>1576</v>
      </c>
      <c r="I1006">
        <v>116.9</v>
      </c>
      <c r="J1006" s="1">
        <v>50000</v>
      </c>
      <c r="K1006" s="1">
        <v>50000</v>
      </c>
    </row>
    <row r="1007" spans="1:11" x14ac:dyDescent="0.25">
      <c r="A1007" t="s">
        <v>1564</v>
      </c>
      <c r="B1007" t="s">
        <v>2735</v>
      </c>
      <c r="C1007" t="s">
        <v>16</v>
      </c>
      <c r="D1007" t="s">
        <v>4462</v>
      </c>
      <c r="E1007" t="s">
        <v>4426</v>
      </c>
      <c r="F1007" t="s">
        <v>2740</v>
      </c>
      <c r="G1007" s="2">
        <v>45455</v>
      </c>
      <c r="H1007" t="s">
        <v>1566</v>
      </c>
      <c r="I1007">
        <v>46.7</v>
      </c>
      <c r="J1007" s="1">
        <v>20000</v>
      </c>
      <c r="K1007" s="1">
        <v>20000</v>
      </c>
    </row>
    <row r="1008" spans="1:11" x14ac:dyDescent="0.25">
      <c r="A1008" t="s">
        <v>1567</v>
      </c>
      <c r="B1008" t="s">
        <v>2699</v>
      </c>
      <c r="C1008" t="s">
        <v>16</v>
      </c>
      <c r="D1008" t="s">
        <v>4462</v>
      </c>
      <c r="E1008" t="s">
        <v>4440</v>
      </c>
      <c r="F1008" t="s">
        <v>2740</v>
      </c>
      <c r="G1008" s="2">
        <v>45455</v>
      </c>
      <c r="H1008" t="s">
        <v>1568</v>
      </c>
      <c r="I1008">
        <v>93.5</v>
      </c>
      <c r="J1008" s="1">
        <v>40000</v>
      </c>
      <c r="K1008" s="1">
        <v>40000</v>
      </c>
    </row>
    <row r="1009" spans="1:11" x14ac:dyDescent="0.25">
      <c r="A1009" t="s">
        <v>1569</v>
      </c>
      <c r="B1009" t="s">
        <v>2701</v>
      </c>
      <c r="C1009" t="s">
        <v>16</v>
      </c>
      <c r="D1009" t="s">
        <v>4466</v>
      </c>
      <c r="E1009" t="s">
        <v>4453</v>
      </c>
      <c r="F1009" t="s">
        <v>2740</v>
      </c>
      <c r="G1009" s="2">
        <v>45455</v>
      </c>
      <c r="H1009" t="s">
        <v>1570</v>
      </c>
      <c r="I1009">
        <v>23.4</v>
      </c>
      <c r="J1009" s="1">
        <v>10000</v>
      </c>
      <c r="K1009" s="1">
        <v>10000</v>
      </c>
    </row>
    <row r="1010" spans="1:11" x14ac:dyDescent="0.25">
      <c r="A1010" t="s">
        <v>1556</v>
      </c>
      <c r="B1010" t="s">
        <v>2701</v>
      </c>
      <c r="C1010" t="s">
        <v>16</v>
      </c>
      <c r="D1010" t="s">
        <v>4466</v>
      </c>
      <c r="E1010" t="s">
        <v>4453</v>
      </c>
      <c r="F1010" t="s">
        <v>2740</v>
      </c>
      <c r="G1010" s="2">
        <v>45456</v>
      </c>
      <c r="H1010" t="s">
        <v>1557</v>
      </c>
      <c r="I1010">
        <v>23.4</v>
      </c>
      <c r="J1010" s="1">
        <v>10000</v>
      </c>
      <c r="K1010" s="1">
        <v>10000</v>
      </c>
    </row>
    <row r="1011" spans="1:11" x14ac:dyDescent="0.25">
      <c r="A1011" t="s">
        <v>1558</v>
      </c>
      <c r="B1011" t="s">
        <v>2698</v>
      </c>
      <c r="C1011" t="s">
        <v>16</v>
      </c>
      <c r="D1011" t="s">
        <v>4465</v>
      </c>
      <c r="E1011" t="s">
        <v>4442</v>
      </c>
      <c r="F1011" t="s">
        <v>2740</v>
      </c>
      <c r="G1011" s="2">
        <v>45456</v>
      </c>
      <c r="H1011" t="s">
        <v>1559</v>
      </c>
      <c r="I1011">
        <v>116.8</v>
      </c>
      <c r="J1011" s="1">
        <v>50000</v>
      </c>
      <c r="K1011" s="1">
        <v>50000</v>
      </c>
    </row>
    <row r="1012" spans="1:11" x14ac:dyDescent="0.25">
      <c r="A1012" t="s">
        <v>1560</v>
      </c>
      <c r="B1012" t="s">
        <v>2729</v>
      </c>
      <c r="C1012" t="s">
        <v>16</v>
      </c>
      <c r="D1012" t="s">
        <v>4465</v>
      </c>
      <c r="E1012" t="s">
        <v>4427</v>
      </c>
      <c r="F1012" t="s">
        <v>2740</v>
      </c>
      <c r="G1012" s="2">
        <v>45456</v>
      </c>
      <c r="H1012" t="s">
        <v>1561</v>
      </c>
      <c r="I1012">
        <v>116.8</v>
      </c>
      <c r="J1012" s="1">
        <v>50000</v>
      </c>
      <c r="K1012" s="1">
        <v>50000</v>
      </c>
    </row>
    <row r="1013" spans="1:11" x14ac:dyDescent="0.25">
      <c r="A1013" t="s">
        <v>1562</v>
      </c>
      <c r="B1013" t="s">
        <v>2732</v>
      </c>
      <c r="C1013" t="s">
        <v>16</v>
      </c>
      <c r="D1013" t="s">
        <v>4461</v>
      </c>
      <c r="E1013" t="s">
        <v>4444</v>
      </c>
      <c r="F1013" t="s">
        <v>2740</v>
      </c>
      <c r="G1013" s="2">
        <v>45456</v>
      </c>
      <c r="H1013" t="s">
        <v>1563</v>
      </c>
      <c r="I1013">
        <v>46.8</v>
      </c>
      <c r="J1013" s="1">
        <v>20000</v>
      </c>
      <c r="K1013" s="1">
        <v>20000</v>
      </c>
    </row>
    <row r="1014" spans="1:11" x14ac:dyDescent="0.25">
      <c r="A1014" t="s">
        <v>1550</v>
      </c>
      <c r="B1014" t="s">
        <v>2702</v>
      </c>
      <c r="C1014" t="s">
        <v>35</v>
      </c>
      <c r="D1014" t="s">
        <v>3305</v>
      </c>
      <c r="E1014" t="s">
        <v>3304</v>
      </c>
      <c r="F1014" t="s">
        <v>2740</v>
      </c>
      <c r="G1014" s="2">
        <v>45457</v>
      </c>
      <c r="H1014" t="s">
        <v>1551</v>
      </c>
      <c r="I1014">
        <v>233.7</v>
      </c>
      <c r="J1014" s="1">
        <v>100000</v>
      </c>
      <c r="K1014" s="1">
        <v>100000</v>
      </c>
    </row>
    <row r="1015" spans="1:11" x14ac:dyDescent="0.25">
      <c r="A1015" t="s">
        <v>1552</v>
      </c>
      <c r="B1015" t="s">
        <v>2705</v>
      </c>
      <c r="C1015" t="s">
        <v>42</v>
      </c>
      <c r="D1015" t="s">
        <v>4467</v>
      </c>
      <c r="E1015" t="s">
        <v>4435</v>
      </c>
      <c r="F1015" t="s">
        <v>2740</v>
      </c>
      <c r="G1015" s="2">
        <v>45457</v>
      </c>
      <c r="H1015" t="s">
        <v>1553</v>
      </c>
      <c r="I1015">
        <v>81.8</v>
      </c>
      <c r="J1015" s="1">
        <v>35000</v>
      </c>
      <c r="K1015" s="1">
        <v>35000</v>
      </c>
    </row>
    <row r="1016" spans="1:11" x14ac:dyDescent="0.25">
      <c r="A1016" t="s">
        <v>1554</v>
      </c>
      <c r="B1016" t="s">
        <v>2725</v>
      </c>
      <c r="C1016" t="s">
        <v>16</v>
      </c>
      <c r="D1016" t="s">
        <v>4465</v>
      </c>
      <c r="E1016" t="s">
        <v>4429</v>
      </c>
      <c r="F1016" t="s">
        <v>2740</v>
      </c>
      <c r="G1016" s="2">
        <v>45457</v>
      </c>
      <c r="H1016" t="s">
        <v>1555</v>
      </c>
      <c r="I1016">
        <v>280.5</v>
      </c>
      <c r="J1016" s="1">
        <v>120000</v>
      </c>
      <c r="K1016" s="1">
        <v>120000</v>
      </c>
    </row>
    <row r="1017" spans="1:11" x14ac:dyDescent="0.25">
      <c r="A1017" t="s">
        <v>1538</v>
      </c>
      <c r="B1017" t="s">
        <v>2737</v>
      </c>
      <c r="C1017" t="s">
        <v>16</v>
      </c>
      <c r="D1017" t="s">
        <v>4466</v>
      </c>
      <c r="E1017" t="s">
        <v>4432</v>
      </c>
      <c r="F1017" t="s">
        <v>2740</v>
      </c>
      <c r="G1017" s="2">
        <v>45458</v>
      </c>
      <c r="H1017" t="s">
        <v>1539</v>
      </c>
      <c r="I1017">
        <v>210.3</v>
      </c>
      <c r="J1017" s="1">
        <v>90000</v>
      </c>
      <c r="K1017" s="1">
        <v>90000</v>
      </c>
    </row>
    <row r="1018" spans="1:11" x14ac:dyDescent="0.25">
      <c r="A1018" t="s">
        <v>1540</v>
      </c>
      <c r="B1018" t="s">
        <v>2735</v>
      </c>
      <c r="C1018" t="s">
        <v>16</v>
      </c>
      <c r="D1018" t="s">
        <v>4462</v>
      </c>
      <c r="E1018" t="s">
        <v>4426</v>
      </c>
      <c r="F1018" t="s">
        <v>2740</v>
      </c>
      <c r="G1018" s="2">
        <v>45458</v>
      </c>
      <c r="H1018" t="s">
        <v>1541</v>
      </c>
      <c r="I1018">
        <v>51.4</v>
      </c>
      <c r="J1018" s="1">
        <v>22000</v>
      </c>
      <c r="K1018" s="1">
        <v>22000</v>
      </c>
    </row>
    <row r="1019" spans="1:11" x14ac:dyDescent="0.25">
      <c r="A1019" t="s">
        <v>1542</v>
      </c>
      <c r="B1019" t="s">
        <v>93</v>
      </c>
      <c r="C1019" t="s">
        <v>35</v>
      </c>
      <c r="D1019" t="s">
        <v>4465</v>
      </c>
      <c r="E1019" t="s">
        <v>3304</v>
      </c>
      <c r="F1019" t="s">
        <v>2740</v>
      </c>
      <c r="G1019" s="2">
        <v>45458</v>
      </c>
      <c r="H1019" t="s">
        <v>1543</v>
      </c>
      <c r="I1019">
        <v>233.7</v>
      </c>
      <c r="J1019" s="1">
        <v>100000</v>
      </c>
      <c r="K1019" s="1">
        <v>100000</v>
      </c>
    </row>
    <row r="1020" spans="1:11" x14ac:dyDescent="0.25">
      <c r="A1020" t="s">
        <v>1544</v>
      </c>
      <c r="B1020" t="s">
        <v>4463</v>
      </c>
      <c r="C1020" t="s">
        <v>35</v>
      </c>
      <c r="D1020" t="s">
        <v>4464</v>
      </c>
      <c r="E1020" t="s">
        <v>3304</v>
      </c>
      <c r="F1020" t="s">
        <v>2740</v>
      </c>
      <c r="G1020" s="2">
        <v>45458</v>
      </c>
      <c r="H1020" t="s">
        <v>1545</v>
      </c>
      <c r="I1020">
        <v>584.29999999999995</v>
      </c>
      <c r="J1020" s="1">
        <v>250000</v>
      </c>
      <c r="K1020" s="1">
        <v>250000</v>
      </c>
    </row>
    <row r="1021" spans="1:11" x14ac:dyDescent="0.25">
      <c r="A1021" t="s">
        <v>1546</v>
      </c>
      <c r="B1021" t="s">
        <v>2733</v>
      </c>
      <c r="C1021" t="s">
        <v>16</v>
      </c>
      <c r="D1021" t="s">
        <v>4465</v>
      </c>
      <c r="E1021" t="s">
        <v>4448</v>
      </c>
      <c r="F1021" t="s">
        <v>2740</v>
      </c>
      <c r="G1021" s="2">
        <v>45458</v>
      </c>
      <c r="H1021" t="s">
        <v>1547</v>
      </c>
      <c r="I1021">
        <v>93.5</v>
      </c>
      <c r="J1021" s="1">
        <v>40000</v>
      </c>
      <c r="K1021" s="1">
        <v>40000</v>
      </c>
    </row>
    <row r="1022" spans="1:11" x14ac:dyDescent="0.25">
      <c r="A1022" t="s">
        <v>1548</v>
      </c>
      <c r="B1022" t="s">
        <v>2720</v>
      </c>
      <c r="C1022" t="s">
        <v>16</v>
      </c>
      <c r="D1022" t="s">
        <v>4461</v>
      </c>
      <c r="E1022" t="s">
        <v>4425</v>
      </c>
      <c r="F1022" t="s">
        <v>2740</v>
      </c>
      <c r="G1022" s="2">
        <v>45458</v>
      </c>
      <c r="H1022" t="s">
        <v>1549</v>
      </c>
      <c r="I1022">
        <v>584.29999999999995</v>
      </c>
      <c r="J1022" s="1">
        <v>250000</v>
      </c>
      <c r="K1022" s="1">
        <v>250000</v>
      </c>
    </row>
    <row r="1023" spans="1:11" x14ac:dyDescent="0.25">
      <c r="A1023" t="s">
        <v>1534</v>
      </c>
      <c r="B1023" t="s">
        <v>2724</v>
      </c>
      <c r="C1023" t="s">
        <v>16</v>
      </c>
      <c r="D1023" t="s">
        <v>4462</v>
      </c>
      <c r="E1023" t="s">
        <v>4451</v>
      </c>
      <c r="F1023" t="s">
        <v>2740</v>
      </c>
      <c r="G1023" s="2">
        <v>45459</v>
      </c>
      <c r="H1023" t="s">
        <v>1535</v>
      </c>
      <c r="I1023">
        <v>46.7</v>
      </c>
      <c r="J1023" s="1">
        <v>20000</v>
      </c>
      <c r="K1023" s="1">
        <v>20000</v>
      </c>
    </row>
    <row r="1024" spans="1:11" x14ac:dyDescent="0.25">
      <c r="A1024" t="s">
        <v>1536</v>
      </c>
      <c r="B1024" t="s">
        <v>2708</v>
      </c>
      <c r="C1024" t="s">
        <v>16</v>
      </c>
      <c r="D1024" t="s">
        <v>4466</v>
      </c>
      <c r="E1024" t="s">
        <v>4457</v>
      </c>
      <c r="F1024" t="s">
        <v>2740</v>
      </c>
      <c r="G1024" s="2">
        <v>45459</v>
      </c>
      <c r="H1024" t="s">
        <v>1537</v>
      </c>
      <c r="I1024">
        <v>175.3</v>
      </c>
      <c r="J1024" s="1">
        <v>75000</v>
      </c>
      <c r="K1024" s="1">
        <v>75000</v>
      </c>
    </row>
    <row r="1025" spans="1:11" x14ac:dyDescent="0.25">
      <c r="A1025" t="s">
        <v>1527</v>
      </c>
      <c r="B1025" t="s">
        <v>2705</v>
      </c>
      <c r="C1025" t="s">
        <v>42</v>
      </c>
      <c r="D1025" t="s">
        <v>4467</v>
      </c>
      <c r="E1025" t="s">
        <v>4435</v>
      </c>
      <c r="F1025" t="s">
        <v>2740</v>
      </c>
      <c r="G1025" s="2">
        <v>45460</v>
      </c>
      <c r="H1025" t="s">
        <v>1528</v>
      </c>
      <c r="I1025">
        <v>116.8</v>
      </c>
      <c r="J1025" s="1">
        <v>50000</v>
      </c>
      <c r="K1025" s="1">
        <v>50000</v>
      </c>
    </row>
    <row r="1026" spans="1:11" x14ac:dyDescent="0.25">
      <c r="A1026" t="s">
        <v>1529</v>
      </c>
      <c r="B1026" t="s">
        <v>2701</v>
      </c>
      <c r="C1026" t="s">
        <v>16</v>
      </c>
      <c r="D1026" t="s">
        <v>4466</v>
      </c>
      <c r="E1026" t="s">
        <v>4453</v>
      </c>
      <c r="F1026" t="s">
        <v>2740</v>
      </c>
      <c r="G1026" s="2">
        <v>45460</v>
      </c>
      <c r="H1026" t="s">
        <v>1530</v>
      </c>
      <c r="I1026">
        <v>23.3</v>
      </c>
      <c r="J1026" s="1">
        <v>10000</v>
      </c>
      <c r="K1026" s="1">
        <v>10000</v>
      </c>
    </row>
    <row r="1027" spans="1:11" x14ac:dyDescent="0.25">
      <c r="A1027" t="s">
        <v>1531</v>
      </c>
      <c r="B1027" t="s">
        <v>2729</v>
      </c>
      <c r="C1027" t="s">
        <v>16</v>
      </c>
      <c r="D1027" t="s">
        <v>4465</v>
      </c>
      <c r="E1027" t="s">
        <v>4427</v>
      </c>
      <c r="F1027" t="s">
        <v>2740</v>
      </c>
      <c r="G1027" s="2">
        <v>45460</v>
      </c>
      <c r="H1027" t="s">
        <v>1532</v>
      </c>
      <c r="I1027">
        <v>116.9</v>
      </c>
      <c r="J1027" s="1">
        <v>50000</v>
      </c>
      <c r="K1027" s="1">
        <v>50000</v>
      </c>
    </row>
    <row r="1028" spans="1:11" x14ac:dyDescent="0.25">
      <c r="A1028" t="s">
        <v>1523</v>
      </c>
      <c r="B1028" t="s">
        <v>2735</v>
      </c>
      <c r="C1028" t="s">
        <v>16</v>
      </c>
      <c r="D1028" t="s">
        <v>4462</v>
      </c>
      <c r="E1028" t="s">
        <v>4426</v>
      </c>
      <c r="F1028" t="s">
        <v>2740</v>
      </c>
      <c r="G1028" s="2">
        <v>45461</v>
      </c>
      <c r="H1028" t="s">
        <v>1524</v>
      </c>
      <c r="I1028">
        <v>51.5</v>
      </c>
      <c r="J1028" s="1">
        <v>22000</v>
      </c>
      <c r="K1028" s="1">
        <v>22000</v>
      </c>
    </row>
    <row r="1029" spans="1:11" x14ac:dyDescent="0.25">
      <c r="A1029" t="s">
        <v>1525</v>
      </c>
      <c r="B1029" t="s">
        <v>2717</v>
      </c>
      <c r="C1029" t="s">
        <v>16</v>
      </c>
      <c r="D1029" t="s">
        <v>4466</v>
      </c>
      <c r="E1029" t="s">
        <v>4431</v>
      </c>
      <c r="F1029" t="s">
        <v>2740</v>
      </c>
      <c r="G1029" s="2">
        <v>45461</v>
      </c>
      <c r="H1029" t="s">
        <v>1526</v>
      </c>
      <c r="I1029">
        <v>128.6</v>
      </c>
      <c r="J1029" s="1">
        <v>55000</v>
      </c>
      <c r="K1029" s="1">
        <v>55000</v>
      </c>
    </row>
    <row r="1030" spans="1:11" x14ac:dyDescent="0.25">
      <c r="A1030" t="s">
        <v>1521</v>
      </c>
      <c r="B1030" t="s">
        <v>2701</v>
      </c>
      <c r="C1030" t="s">
        <v>16</v>
      </c>
      <c r="D1030" t="s">
        <v>4466</v>
      </c>
      <c r="E1030" t="s">
        <v>4453</v>
      </c>
      <c r="F1030" t="s">
        <v>2740</v>
      </c>
      <c r="G1030" s="2">
        <v>45462</v>
      </c>
      <c r="H1030" t="s">
        <v>1522</v>
      </c>
      <c r="I1030">
        <v>23.4</v>
      </c>
      <c r="J1030" s="1">
        <v>10000</v>
      </c>
      <c r="K1030" s="1">
        <v>10000</v>
      </c>
    </row>
    <row r="1031" spans="1:11" x14ac:dyDescent="0.25">
      <c r="A1031" t="s">
        <v>1505</v>
      </c>
      <c r="B1031" t="s">
        <v>2718</v>
      </c>
      <c r="C1031" t="s">
        <v>16</v>
      </c>
      <c r="D1031" t="s">
        <v>4466</v>
      </c>
      <c r="E1031" t="s">
        <v>4438</v>
      </c>
      <c r="F1031" t="s">
        <v>2740</v>
      </c>
      <c r="G1031" s="2">
        <v>45463</v>
      </c>
      <c r="H1031" t="s">
        <v>1506</v>
      </c>
      <c r="I1031">
        <v>116.9</v>
      </c>
      <c r="J1031" s="1">
        <v>50000</v>
      </c>
      <c r="K1031" s="1">
        <v>50000</v>
      </c>
    </row>
    <row r="1032" spans="1:11" x14ac:dyDescent="0.25">
      <c r="A1032" t="s">
        <v>1507</v>
      </c>
      <c r="B1032" t="s">
        <v>2719</v>
      </c>
      <c r="C1032" t="s">
        <v>16</v>
      </c>
      <c r="D1032" t="s">
        <v>4466</v>
      </c>
      <c r="E1032" t="s">
        <v>4430</v>
      </c>
      <c r="F1032" t="s">
        <v>2740</v>
      </c>
      <c r="G1032" s="2">
        <v>45463</v>
      </c>
      <c r="H1032" t="s">
        <v>1508</v>
      </c>
      <c r="I1032">
        <v>251.3</v>
      </c>
      <c r="J1032" s="1">
        <v>107500</v>
      </c>
      <c r="K1032" s="1">
        <v>107500</v>
      </c>
    </row>
    <row r="1033" spans="1:11" x14ac:dyDescent="0.25">
      <c r="A1033" t="s">
        <v>1509</v>
      </c>
      <c r="B1033" t="s">
        <v>133</v>
      </c>
      <c r="C1033" t="s">
        <v>35</v>
      </c>
      <c r="D1033" t="s">
        <v>4461</v>
      </c>
      <c r="E1033" t="s">
        <v>3304</v>
      </c>
      <c r="F1033" t="s">
        <v>2740</v>
      </c>
      <c r="G1033" s="2">
        <v>45463</v>
      </c>
      <c r="H1033" t="s">
        <v>1510</v>
      </c>
      <c r="I1033">
        <v>116.8</v>
      </c>
      <c r="J1033" s="1">
        <v>50000</v>
      </c>
      <c r="K1033" s="1">
        <v>50000</v>
      </c>
    </row>
    <row r="1034" spans="1:11" x14ac:dyDescent="0.25">
      <c r="A1034" t="s">
        <v>1511</v>
      </c>
      <c r="B1034" t="s">
        <v>136</v>
      </c>
      <c r="C1034" t="s">
        <v>35</v>
      </c>
      <c r="D1034" t="s">
        <v>4462</v>
      </c>
      <c r="E1034" t="s">
        <v>3304</v>
      </c>
      <c r="F1034" t="s">
        <v>2740</v>
      </c>
      <c r="G1034" s="2">
        <v>45463</v>
      </c>
      <c r="H1034" t="s">
        <v>1512</v>
      </c>
      <c r="I1034">
        <v>116.9</v>
      </c>
      <c r="J1034" s="1">
        <v>50000</v>
      </c>
      <c r="K1034" s="1">
        <v>50000</v>
      </c>
    </row>
    <row r="1035" spans="1:11" x14ac:dyDescent="0.25">
      <c r="A1035" t="s">
        <v>1513</v>
      </c>
      <c r="B1035" t="s">
        <v>66</v>
      </c>
      <c r="C1035" t="s">
        <v>35</v>
      </c>
      <c r="D1035" t="s">
        <v>4466</v>
      </c>
      <c r="E1035" t="s">
        <v>3304</v>
      </c>
      <c r="F1035" t="s">
        <v>2740</v>
      </c>
      <c r="G1035" s="2">
        <v>45463</v>
      </c>
      <c r="H1035" t="s">
        <v>1514</v>
      </c>
      <c r="I1035">
        <v>350.5</v>
      </c>
      <c r="J1035" s="1">
        <v>150000</v>
      </c>
      <c r="K1035" s="1">
        <v>150000</v>
      </c>
    </row>
    <row r="1036" spans="1:11" x14ac:dyDescent="0.25">
      <c r="A1036" t="s">
        <v>1515</v>
      </c>
      <c r="B1036" t="s">
        <v>4463</v>
      </c>
      <c r="C1036" t="s">
        <v>35</v>
      </c>
      <c r="D1036" t="s">
        <v>4464</v>
      </c>
      <c r="E1036" t="s">
        <v>3304</v>
      </c>
      <c r="F1036" t="s">
        <v>2740</v>
      </c>
      <c r="G1036" s="2">
        <v>45463</v>
      </c>
      <c r="H1036" t="s">
        <v>1516</v>
      </c>
      <c r="I1036">
        <v>584.29999999999995</v>
      </c>
      <c r="J1036" s="1">
        <v>250000</v>
      </c>
      <c r="K1036" s="1">
        <v>250000</v>
      </c>
    </row>
    <row r="1037" spans="1:11" x14ac:dyDescent="0.25">
      <c r="A1037" t="s">
        <v>1517</v>
      </c>
      <c r="B1037" t="s">
        <v>2721</v>
      </c>
      <c r="C1037" t="s">
        <v>16</v>
      </c>
      <c r="D1037" t="s">
        <v>4466</v>
      </c>
      <c r="E1037" t="s">
        <v>4438</v>
      </c>
      <c r="F1037" t="s">
        <v>2740</v>
      </c>
      <c r="G1037" s="2">
        <v>45463</v>
      </c>
      <c r="H1037" t="s">
        <v>1518</v>
      </c>
      <c r="I1037">
        <v>467.5</v>
      </c>
      <c r="J1037" s="1">
        <v>200000</v>
      </c>
      <c r="K1037" s="1">
        <v>200000</v>
      </c>
    </row>
    <row r="1038" spans="1:11" x14ac:dyDescent="0.25">
      <c r="A1038" t="s">
        <v>1519</v>
      </c>
      <c r="B1038" t="s">
        <v>2699</v>
      </c>
      <c r="C1038" t="s">
        <v>16</v>
      </c>
      <c r="D1038" t="s">
        <v>4462</v>
      </c>
      <c r="E1038" t="s">
        <v>4440</v>
      </c>
      <c r="F1038" t="s">
        <v>2740</v>
      </c>
      <c r="G1038" s="2">
        <v>45463</v>
      </c>
      <c r="H1038" t="s">
        <v>1520</v>
      </c>
      <c r="I1038">
        <v>81.8</v>
      </c>
      <c r="J1038" s="1">
        <v>35000</v>
      </c>
      <c r="K1038" s="1">
        <v>35000</v>
      </c>
    </row>
    <row r="1039" spans="1:11" x14ac:dyDescent="0.25">
      <c r="A1039" t="s">
        <v>1493</v>
      </c>
      <c r="B1039" t="s">
        <v>2698</v>
      </c>
      <c r="C1039" t="s">
        <v>16</v>
      </c>
      <c r="D1039" t="s">
        <v>4465</v>
      </c>
      <c r="E1039" t="s">
        <v>4442</v>
      </c>
      <c r="F1039" t="s">
        <v>2740</v>
      </c>
      <c r="G1039" s="2">
        <v>45464</v>
      </c>
      <c r="H1039" t="s">
        <v>1494</v>
      </c>
      <c r="I1039">
        <v>116.9</v>
      </c>
      <c r="J1039" s="1">
        <v>50000</v>
      </c>
      <c r="K1039" s="1">
        <v>50000</v>
      </c>
    </row>
    <row r="1040" spans="1:11" x14ac:dyDescent="0.25">
      <c r="A1040" t="s">
        <v>1495</v>
      </c>
      <c r="B1040" t="s">
        <v>2712</v>
      </c>
      <c r="C1040" t="s">
        <v>16</v>
      </c>
      <c r="D1040" t="s">
        <v>4461</v>
      </c>
      <c r="E1040" t="s">
        <v>4449</v>
      </c>
      <c r="F1040" t="s">
        <v>2740</v>
      </c>
      <c r="G1040" s="2">
        <v>45464</v>
      </c>
      <c r="H1040" t="s">
        <v>1496</v>
      </c>
      <c r="I1040">
        <v>81.8</v>
      </c>
      <c r="J1040" s="1">
        <v>35000</v>
      </c>
      <c r="K1040" s="1">
        <v>35000</v>
      </c>
    </row>
    <row r="1041" spans="1:11" x14ac:dyDescent="0.25">
      <c r="A1041" t="s">
        <v>1497</v>
      </c>
      <c r="B1041" t="s">
        <v>2701</v>
      </c>
      <c r="C1041" t="s">
        <v>16</v>
      </c>
      <c r="D1041" t="s">
        <v>4466</v>
      </c>
      <c r="E1041" t="s">
        <v>4453</v>
      </c>
      <c r="F1041" t="s">
        <v>2740</v>
      </c>
      <c r="G1041" s="2">
        <v>45464</v>
      </c>
      <c r="H1041" t="s">
        <v>1498</v>
      </c>
      <c r="I1041">
        <v>23.4</v>
      </c>
      <c r="J1041" s="1">
        <v>10000</v>
      </c>
      <c r="K1041" s="1">
        <v>10000</v>
      </c>
    </row>
    <row r="1042" spans="1:11" x14ac:dyDescent="0.25">
      <c r="A1042" t="s">
        <v>1499</v>
      </c>
      <c r="B1042" t="s">
        <v>2722</v>
      </c>
      <c r="C1042" t="s">
        <v>16</v>
      </c>
      <c r="D1042" t="s">
        <v>4462</v>
      </c>
      <c r="E1042" t="s">
        <v>4446</v>
      </c>
      <c r="F1042" t="s">
        <v>2740</v>
      </c>
      <c r="G1042" s="2">
        <v>45464</v>
      </c>
      <c r="H1042" t="s">
        <v>1500</v>
      </c>
      <c r="I1042">
        <v>233.7</v>
      </c>
      <c r="J1042" s="1">
        <v>100000</v>
      </c>
      <c r="K1042" s="1">
        <v>100000</v>
      </c>
    </row>
    <row r="1043" spans="1:11" x14ac:dyDescent="0.25">
      <c r="A1043" t="s">
        <v>1501</v>
      </c>
      <c r="B1043" t="s">
        <v>2709</v>
      </c>
      <c r="C1043" t="s">
        <v>42</v>
      </c>
      <c r="D1043" t="s">
        <v>4467</v>
      </c>
      <c r="E1043" t="s">
        <v>4456</v>
      </c>
      <c r="F1043" t="s">
        <v>2740</v>
      </c>
      <c r="G1043" s="2">
        <v>45464</v>
      </c>
      <c r="H1043" t="s">
        <v>1502</v>
      </c>
      <c r="I1043">
        <v>350.6</v>
      </c>
      <c r="J1043" s="1">
        <v>150000</v>
      </c>
      <c r="K1043" s="1">
        <v>150000</v>
      </c>
    </row>
    <row r="1044" spans="1:11" x14ac:dyDescent="0.25">
      <c r="A1044" t="s">
        <v>1503</v>
      </c>
      <c r="B1044" t="s">
        <v>2711</v>
      </c>
      <c r="C1044" t="s">
        <v>16</v>
      </c>
      <c r="D1044" t="s">
        <v>4461</v>
      </c>
      <c r="E1044" t="s">
        <v>4447</v>
      </c>
      <c r="F1044" t="s">
        <v>2740</v>
      </c>
      <c r="G1044" s="2">
        <v>45464</v>
      </c>
      <c r="H1044" t="s">
        <v>1504</v>
      </c>
      <c r="I1044">
        <v>141.4</v>
      </c>
      <c r="J1044" s="1">
        <v>60500</v>
      </c>
      <c r="K1044" s="1">
        <v>60500</v>
      </c>
    </row>
    <row r="1045" spans="1:11" x14ac:dyDescent="0.25">
      <c r="A1045" t="s">
        <v>1485</v>
      </c>
      <c r="B1045" t="s">
        <v>2705</v>
      </c>
      <c r="C1045" t="s">
        <v>42</v>
      </c>
      <c r="D1045" t="s">
        <v>4467</v>
      </c>
      <c r="E1045" t="s">
        <v>4435</v>
      </c>
      <c r="F1045" t="s">
        <v>2740</v>
      </c>
      <c r="G1045" s="2">
        <v>45465</v>
      </c>
      <c r="H1045" t="s">
        <v>1486</v>
      </c>
      <c r="I1045">
        <v>116.9</v>
      </c>
      <c r="J1045" s="1">
        <v>50000</v>
      </c>
      <c r="K1045" s="1">
        <v>50000</v>
      </c>
    </row>
    <row r="1046" spans="1:11" x14ac:dyDescent="0.25">
      <c r="A1046" t="s">
        <v>1487</v>
      </c>
      <c r="B1046" t="s">
        <v>2736</v>
      </c>
      <c r="C1046" t="s">
        <v>16</v>
      </c>
      <c r="D1046" t="s">
        <v>4461</v>
      </c>
      <c r="E1046" t="s">
        <v>4459</v>
      </c>
      <c r="F1046" t="s">
        <v>2740</v>
      </c>
      <c r="G1046" s="2">
        <v>45465</v>
      </c>
      <c r="H1046" t="s">
        <v>1488</v>
      </c>
      <c r="I1046">
        <v>140.19999999999999</v>
      </c>
      <c r="J1046" s="1">
        <v>60000</v>
      </c>
      <c r="K1046" s="1">
        <v>60000</v>
      </c>
    </row>
    <row r="1047" spans="1:11" x14ac:dyDescent="0.25">
      <c r="A1047" t="s">
        <v>1489</v>
      </c>
      <c r="B1047" t="s">
        <v>2735</v>
      </c>
      <c r="C1047" t="s">
        <v>16</v>
      </c>
      <c r="D1047" t="s">
        <v>4462</v>
      </c>
      <c r="E1047" t="s">
        <v>4426</v>
      </c>
      <c r="F1047" t="s">
        <v>2740</v>
      </c>
      <c r="G1047" s="2">
        <v>45465</v>
      </c>
      <c r="H1047" t="s">
        <v>1490</v>
      </c>
      <c r="I1047">
        <v>50.2</v>
      </c>
      <c r="J1047" s="1">
        <v>21500</v>
      </c>
      <c r="K1047" s="1">
        <v>21500</v>
      </c>
    </row>
    <row r="1048" spans="1:11" x14ac:dyDescent="0.25">
      <c r="A1048" t="s">
        <v>1491</v>
      </c>
      <c r="B1048" t="s">
        <v>2700</v>
      </c>
      <c r="C1048" t="s">
        <v>27</v>
      </c>
      <c r="D1048" t="s">
        <v>4466</v>
      </c>
      <c r="E1048" t="s">
        <v>4450</v>
      </c>
      <c r="F1048" t="s">
        <v>2740</v>
      </c>
      <c r="G1048" s="2">
        <v>45465</v>
      </c>
      <c r="H1048" t="s">
        <v>1492</v>
      </c>
      <c r="I1048">
        <v>140.30000000000001</v>
      </c>
      <c r="J1048" s="1">
        <v>60000</v>
      </c>
      <c r="K1048" s="1">
        <v>60000</v>
      </c>
    </row>
    <row r="1049" spans="1:11" x14ac:dyDescent="0.25">
      <c r="A1049" t="s">
        <v>1481</v>
      </c>
      <c r="B1049" t="s">
        <v>2724</v>
      </c>
      <c r="C1049" t="s">
        <v>16</v>
      </c>
      <c r="D1049" t="s">
        <v>4462</v>
      </c>
      <c r="E1049" t="s">
        <v>4451</v>
      </c>
      <c r="F1049" t="s">
        <v>2740</v>
      </c>
      <c r="G1049" s="2">
        <v>45466</v>
      </c>
      <c r="H1049" t="s">
        <v>1482</v>
      </c>
      <c r="I1049">
        <v>70.099999999999994</v>
      </c>
      <c r="J1049" s="1">
        <v>30000</v>
      </c>
      <c r="K1049" s="1">
        <v>30000</v>
      </c>
    </row>
    <row r="1050" spans="1:11" x14ac:dyDescent="0.25">
      <c r="A1050" t="s">
        <v>1483</v>
      </c>
      <c r="B1050" t="s">
        <v>2701</v>
      </c>
      <c r="C1050" t="s">
        <v>16</v>
      </c>
      <c r="D1050" t="s">
        <v>4466</v>
      </c>
      <c r="E1050" t="s">
        <v>4453</v>
      </c>
      <c r="F1050" t="s">
        <v>2740</v>
      </c>
      <c r="G1050" s="2">
        <v>45466</v>
      </c>
      <c r="H1050" t="s">
        <v>1484</v>
      </c>
      <c r="I1050">
        <v>23.4</v>
      </c>
      <c r="J1050" s="1">
        <v>10000</v>
      </c>
      <c r="K1050" s="1">
        <v>10000</v>
      </c>
    </row>
    <row r="1051" spans="1:11" x14ac:dyDescent="0.25">
      <c r="A1051" t="s">
        <v>1479</v>
      </c>
      <c r="B1051" t="s">
        <v>2735</v>
      </c>
      <c r="C1051" t="s">
        <v>16</v>
      </c>
      <c r="D1051" t="s">
        <v>4462</v>
      </c>
      <c r="E1051" t="s">
        <v>4426</v>
      </c>
      <c r="F1051" t="s">
        <v>2740</v>
      </c>
      <c r="G1051" s="2">
        <v>45467</v>
      </c>
      <c r="H1051" t="s">
        <v>1480</v>
      </c>
      <c r="I1051">
        <v>70.099999999999994</v>
      </c>
      <c r="J1051" s="1">
        <v>30000</v>
      </c>
      <c r="K1051" s="1">
        <v>30000</v>
      </c>
    </row>
    <row r="1052" spans="1:11" x14ac:dyDescent="0.25">
      <c r="A1052" t="s">
        <v>1471</v>
      </c>
      <c r="B1052" t="s">
        <v>2701</v>
      </c>
      <c r="C1052" t="s">
        <v>16</v>
      </c>
      <c r="D1052" t="s">
        <v>4466</v>
      </c>
      <c r="E1052" t="s">
        <v>4453</v>
      </c>
      <c r="F1052" t="s">
        <v>2740</v>
      </c>
      <c r="G1052" s="2">
        <v>45468</v>
      </c>
      <c r="H1052" t="s">
        <v>1472</v>
      </c>
      <c r="I1052">
        <v>23.3</v>
      </c>
      <c r="J1052" s="1">
        <v>10000</v>
      </c>
      <c r="K1052" s="1">
        <v>10000</v>
      </c>
    </row>
    <row r="1053" spans="1:11" x14ac:dyDescent="0.25">
      <c r="A1053" t="s">
        <v>1473</v>
      </c>
      <c r="B1053" t="s">
        <v>2702</v>
      </c>
      <c r="C1053" t="s">
        <v>35</v>
      </c>
      <c r="D1053" t="s">
        <v>3305</v>
      </c>
      <c r="E1053" t="s">
        <v>3304</v>
      </c>
      <c r="F1053" t="s">
        <v>2740</v>
      </c>
      <c r="G1053" s="2">
        <v>45468</v>
      </c>
      <c r="H1053" t="s">
        <v>1474</v>
      </c>
      <c r="I1053">
        <v>105.2</v>
      </c>
      <c r="J1053" s="1">
        <v>45000</v>
      </c>
      <c r="K1053" s="1">
        <v>45000</v>
      </c>
    </row>
    <row r="1054" spans="1:11" x14ac:dyDescent="0.25">
      <c r="A1054" t="s">
        <v>1475</v>
      </c>
      <c r="B1054" t="s">
        <v>4463</v>
      </c>
      <c r="C1054" t="s">
        <v>35</v>
      </c>
      <c r="D1054" t="s">
        <v>4464</v>
      </c>
      <c r="E1054" t="s">
        <v>3304</v>
      </c>
      <c r="F1054" t="s">
        <v>2740</v>
      </c>
      <c r="G1054" s="2">
        <v>45468</v>
      </c>
      <c r="H1054" t="s">
        <v>1476</v>
      </c>
      <c r="I1054">
        <v>233.7</v>
      </c>
      <c r="J1054" s="1">
        <v>100000</v>
      </c>
      <c r="K1054" s="1">
        <v>100000</v>
      </c>
    </row>
    <row r="1055" spans="1:11" x14ac:dyDescent="0.25">
      <c r="A1055" t="s">
        <v>1477</v>
      </c>
      <c r="B1055" t="s">
        <v>2733</v>
      </c>
      <c r="C1055" t="s">
        <v>16</v>
      </c>
      <c r="D1055" t="s">
        <v>4465</v>
      </c>
      <c r="E1055" t="s">
        <v>4448</v>
      </c>
      <c r="F1055" t="s">
        <v>2740</v>
      </c>
      <c r="G1055" s="2">
        <v>45468</v>
      </c>
      <c r="H1055" t="s">
        <v>1478</v>
      </c>
      <c r="I1055">
        <v>25.7</v>
      </c>
      <c r="J1055" s="1">
        <v>11000</v>
      </c>
      <c r="K1055" s="1">
        <v>11000</v>
      </c>
    </row>
    <row r="1056" spans="1:11" x14ac:dyDescent="0.25">
      <c r="A1056" t="s">
        <v>1459</v>
      </c>
      <c r="B1056" t="s">
        <v>2716</v>
      </c>
      <c r="C1056" t="s">
        <v>16</v>
      </c>
      <c r="D1056" t="s">
        <v>4462</v>
      </c>
      <c r="E1056" t="s">
        <v>4458</v>
      </c>
      <c r="F1056" t="s">
        <v>2740</v>
      </c>
      <c r="G1056" s="2">
        <v>45469</v>
      </c>
      <c r="H1056" t="s">
        <v>1460</v>
      </c>
      <c r="I1056">
        <v>187</v>
      </c>
      <c r="J1056" s="1">
        <v>80000</v>
      </c>
      <c r="K1056" s="1">
        <v>80000</v>
      </c>
    </row>
    <row r="1057" spans="1:11" x14ac:dyDescent="0.25">
      <c r="A1057" t="s">
        <v>1463</v>
      </c>
      <c r="B1057" t="s">
        <v>2727</v>
      </c>
      <c r="C1057" t="s">
        <v>16</v>
      </c>
      <c r="D1057" t="s">
        <v>4465</v>
      </c>
      <c r="E1057" t="s">
        <v>4445</v>
      </c>
      <c r="F1057" t="s">
        <v>2740</v>
      </c>
      <c r="G1057" s="2">
        <v>45469</v>
      </c>
      <c r="H1057" t="s">
        <v>1464</v>
      </c>
      <c r="I1057">
        <v>93.5</v>
      </c>
      <c r="J1057" s="1">
        <v>40000</v>
      </c>
      <c r="K1057" s="1">
        <v>40000</v>
      </c>
    </row>
    <row r="1058" spans="1:11" x14ac:dyDescent="0.25">
      <c r="A1058" t="s">
        <v>1465</v>
      </c>
      <c r="B1058" t="s">
        <v>2729</v>
      </c>
      <c r="C1058" t="s">
        <v>16</v>
      </c>
      <c r="D1058" t="s">
        <v>4465</v>
      </c>
      <c r="E1058" t="s">
        <v>4427</v>
      </c>
      <c r="F1058" t="s">
        <v>2740</v>
      </c>
      <c r="G1058" s="2">
        <v>45469</v>
      </c>
      <c r="H1058" t="s">
        <v>1466</v>
      </c>
      <c r="I1058">
        <v>187</v>
      </c>
      <c r="J1058" s="1">
        <v>80000</v>
      </c>
      <c r="K1058" s="1">
        <v>80000</v>
      </c>
    </row>
    <row r="1059" spans="1:11" x14ac:dyDescent="0.25">
      <c r="A1059" t="s">
        <v>1467</v>
      </c>
      <c r="B1059" t="s">
        <v>2735</v>
      </c>
      <c r="C1059" t="s">
        <v>16</v>
      </c>
      <c r="D1059" t="s">
        <v>4462</v>
      </c>
      <c r="E1059" t="s">
        <v>4426</v>
      </c>
      <c r="F1059" t="s">
        <v>2740</v>
      </c>
      <c r="G1059" s="2">
        <v>45469</v>
      </c>
      <c r="H1059" t="s">
        <v>1468</v>
      </c>
      <c r="I1059">
        <v>151.9</v>
      </c>
      <c r="J1059" s="1">
        <v>65000</v>
      </c>
      <c r="K1059" s="1">
        <v>65000</v>
      </c>
    </row>
    <row r="1060" spans="1:11" x14ac:dyDescent="0.25">
      <c r="A1060" t="s">
        <v>1469</v>
      </c>
      <c r="B1060" t="s">
        <v>2700</v>
      </c>
      <c r="C1060" t="s">
        <v>27</v>
      </c>
      <c r="D1060" t="s">
        <v>4466</v>
      </c>
      <c r="E1060" t="s">
        <v>4450</v>
      </c>
      <c r="F1060" t="s">
        <v>2740</v>
      </c>
      <c r="G1060" s="2">
        <v>45469</v>
      </c>
      <c r="H1060" t="s">
        <v>1470</v>
      </c>
      <c r="I1060">
        <v>93.5</v>
      </c>
      <c r="J1060" s="1">
        <v>40000</v>
      </c>
      <c r="K1060" s="1">
        <v>40000</v>
      </c>
    </row>
    <row r="1061" spans="1:11" x14ac:dyDescent="0.25">
      <c r="A1061" t="s">
        <v>1445</v>
      </c>
      <c r="B1061" t="s">
        <v>2701</v>
      </c>
      <c r="C1061" t="s">
        <v>16</v>
      </c>
      <c r="D1061" t="s">
        <v>4466</v>
      </c>
      <c r="E1061" t="s">
        <v>4453</v>
      </c>
      <c r="F1061" t="s">
        <v>2740</v>
      </c>
      <c r="G1061" s="2">
        <v>45470</v>
      </c>
      <c r="H1061" t="s">
        <v>1446</v>
      </c>
      <c r="I1061">
        <v>23.4</v>
      </c>
      <c r="J1061" s="1">
        <v>10000</v>
      </c>
      <c r="K1061" s="1">
        <v>10000</v>
      </c>
    </row>
    <row r="1062" spans="1:11" x14ac:dyDescent="0.25">
      <c r="A1062" t="s">
        <v>1447</v>
      </c>
      <c r="B1062" t="s">
        <v>2699</v>
      </c>
      <c r="C1062" t="s">
        <v>16</v>
      </c>
      <c r="D1062" t="s">
        <v>4462</v>
      </c>
      <c r="E1062" t="s">
        <v>4440</v>
      </c>
      <c r="F1062" t="s">
        <v>2740</v>
      </c>
      <c r="G1062" s="2">
        <v>45470</v>
      </c>
      <c r="H1062" t="s">
        <v>1448</v>
      </c>
      <c r="I1062">
        <v>81.8</v>
      </c>
      <c r="J1062" s="1">
        <v>35000</v>
      </c>
      <c r="K1062" s="1">
        <v>35000</v>
      </c>
    </row>
    <row r="1063" spans="1:11" x14ac:dyDescent="0.25">
      <c r="A1063" t="s">
        <v>1449</v>
      </c>
      <c r="B1063" t="s">
        <v>2705</v>
      </c>
      <c r="C1063" t="s">
        <v>42</v>
      </c>
      <c r="D1063" t="s">
        <v>4467</v>
      </c>
      <c r="E1063" t="s">
        <v>4435</v>
      </c>
      <c r="F1063" t="s">
        <v>2740</v>
      </c>
      <c r="G1063" s="2">
        <v>45470</v>
      </c>
      <c r="H1063" t="s">
        <v>1450</v>
      </c>
      <c r="I1063">
        <v>116.8</v>
      </c>
      <c r="J1063" s="1">
        <v>50000</v>
      </c>
      <c r="K1063" s="1">
        <v>50000</v>
      </c>
    </row>
    <row r="1064" spans="1:11" x14ac:dyDescent="0.25">
      <c r="A1064" t="s">
        <v>1451</v>
      </c>
      <c r="B1064" t="s">
        <v>66</v>
      </c>
      <c r="C1064" t="s">
        <v>35</v>
      </c>
      <c r="D1064" t="s">
        <v>4466</v>
      </c>
      <c r="E1064" t="s">
        <v>3304</v>
      </c>
      <c r="F1064" t="s">
        <v>2740</v>
      </c>
      <c r="G1064" s="2">
        <v>45470</v>
      </c>
      <c r="H1064" t="s">
        <v>1452</v>
      </c>
      <c r="I1064">
        <v>233.8</v>
      </c>
      <c r="J1064" s="1">
        <v>100000</v>
      </c>
      <c r="K1064" s="1">
        <v>100000</v>
      </c>
    </row>
    <row r="1065" spans="1:11" x14ac:dyDescent="0.25">
      <c r="A1065" t="s">
        <v>1453</v>
      </c>
      <c r="B1065" t="s">
        <v>4463</v>
      </c>
      <c r="C1065" t="s">
        <v>35</v>
      </c>
      <c r="D1065" t="s">
        <v>4464</v>
      </c>
      <c r="E1065" t="s">
        <v>3304</v>
      </c>
      <c r="F1065" t="s">
        <v>2740</v>
      </c>
      <c r="G1065" s="2">
        <v>45470</v>
      </c>
      <c r="H1065" t="s">
        <v>1454</v>
      </c>
      <c r="I1065">
        <v>467.5</v>
      </c>
      <c r="J1065" s="1">
        <v>200000</v>
      </c>
      <c r="K1065" s="1">
        <v>200000</v>
      </c>
    </row>
    <row r="1066" spans="1:11" x14ac:dyDescent="0.25">
      <c r="A1066" t="s">
        <v>1456</v>
      </c>
      <c r="B1066" t="s">
        <v>2732</v>
      </c>
      <c r="C1066" t="s">
        <v>16</v>
      </c>
      <c r="D1066" t="s">
        <v>4461</v>
      </c>
      <c r="E1066" t="s">
        <v>4444</v>
      </c>
      <c r="F1066" t="s">
        <v>2740</v>
      </c>
      <c r="G1066" s="2">
        <v>45470</v>
      </c>
      <c r="H1066" t="s">
        <v>1457</v>
      </c>
      <c r="I1066">
        <v>46.7</v>
      </c>
      <c r="J1066" s="1">
        <v>20000</v>
      </c>
      <c r="K1066" s="1">
        <v>20000</v>
      </c>
    </row>
    <row r="1067" spans="1:11" x14ac:dyDescent="0.25">
      <c r="A1067" t="s">
        <v>1438</v>
      </c>
      <c r="B1067" t="s">
        <v>2717</v>
      </c>
      <c r="C1067" t="s">
        <v>16</v>
      </c>
      <c r="D1067" t="s">
        <v>4466</v>
      </c>
      <c r="E1067" t="s">
        <v>4431</v>
      </c>
      <c r="F1067" t="s">
        <v>2740</v>
      </c>
      <c r="G1067" s="2">
        <v>45471</v>
      </c>
      <c r="H1067" t="s">
        <v>1439</v>
      </c>
      <c r="I1067">
        <v>121.5</v>
      </c>
      <c r="J1067" s="1">
        <v>52000</v>
      </c>
      <c r="K1067" s="1">
        <v>52000</v>
      </c>
    </row>
    <row r="1068" spans="1:11" x14ac:dyDescent="0.25">
      <c r="A1068" t="s">
        <v>1440</v>
      </c>
      <c r="B1068" t="s">
        <v>2733</v>
      </c>
      <c r="C1068" t="s">
        <v>16</v>
      </c>
      <c r="D1068" t="s">
        <v>4465</v>
      </c>
      <c r="E1068" t="s">
        <v>4448</v>
      </c>
      <c r="F1068" t="s">
        <v>2740</v>
      </c>
      <c r="G1068" s="2">
        <v>45471</v>
      </c>
      <c r="H1068" t="s">
        <v>1441</v>
      </c>
      <c r="I1068">
        <v>23.4</v>
      </c>
      <c r="J1068" s="1">
        <v>10000</v>
      </c>
      <c r="K1068" s="1">
        <v>10000</v>
      </c>
    </row>
    <row r="1069" spans="1:11" x14ac:dyDescent="0.25">
      <c r="A1069" t="s">
        <v>1442</v>
      </c>
      <c r="B1069" t="s">
        <v>4471</v>
      </c>
      <c r="C1069" t="s">
        <v>35</v>
      </c>
      <c r="D1069" t="s">
        <v>4470</v>
      </c>
      <c r="E1069" t="s">
        <v>35</v>
      </c>
      <c r="F1069" t="s">
        <v>2740</v>
      </c>
      <c r="G1069" s="2">
        <v>45471</v>
      </c>
      <c r="H1069" t="s">
        <v>1443</v>
      </c>
      <c r="I1069">
        <v>116.9</v>
      </c>
      <c r="J1069" s="1">
        <v>50000</v>
      </c>
      <c r="K1069" s="1">
        <v>50000</v>
      </c>
    </row>
    <row r="1070" spans="1:11" x14ac:dyDescent="0.25">
      <c r="A1070" t="s">
        <v>1428</v>
      </c>
      <c r="B1070" t="s">
        <v>133</v>
      </c>
      <c r="C1070" t="s">
        <v>35</v>
      </c>
      <c r="D1070" t="s">
        <v>4461</v>
      </c>
      <c r="E1070" t="s">
        <v>3304</v>
      </c>
      <c r="F1070" t="s">
        <v>2740</v>
      </c>
      <c r="G1070" s="2">
        <v>45472</v>
      </c>
      <c r="H1070" t="s">
        <v>1429</v>
      </c>
      <c r="I1070">
        <v>116.9</v>
      </c>
      <c r="J1070" s="1">
        <v>50000</v>
      </c>
      <c r="K1070" s="1">
        <v>50000</v>
      </c>
    </row>
    <row r="1071" spans="1:11" x14ac:dyDescent="0.25">
      <c r="A1071" t="s">
        <v>1430</v>
      </c>
      <c r="B1071" t="s">
        <v>136</v>
      </c>
      <c r="C1071" t="s">
        <v>35</v>
      </c>
      <c r="D1071" t="s">
        <v>4462</v>
      </c>
      <c r="E1071" t="s">
        <v>3304</v>
      </c>
      <c r="F1071" t="s">
        <v>2740</v>
      </c>
      <c r="G1071" s="2">
        <v>45472</v>
      </c>
      <c r="H1071" t="s">
        <v>1431</v>
      </c>
      <c r="I1071">
        <v>116.9</v>
      </c>
      <c r="J1071" s="1">
        <v>50000</v>
      </c>
      <c r="K1071" s="1">
        <v>50000</v>
      </c>
    </row>
    <row r="1072" spans="1:11" x14ac:dyDescent="0.25">
      <c r="A1072" t="s">
        <v>1432</v>
      </c>
      <c r="B1072" t="s">
        <v>2702</v>
      </c>
      <c r="C1072" t="s">
        <v>35</v>
      </c>
      <c r="D1072" t="s">
        <v>3305</v>
      </c>
      <c r="E1072" t="s">
        <v>3304</v>
      </c>
      <c r="F1072" t="s">
        <v>2740</v>
      </c>
      <c r="G1072" s="2">
        <v>45472</v>
      </c>
      <c r="H1072" t="s">
        <v>1433</v>
      </c>
      <c r="I1072">
        <v>116.9</v>
      </c>
      <c r="J1072" s="1">
        <v>50000</v>
      </c>
      <c r="K1072" s="1">
        <v>50000</v>
      </c>
    </row>
    <row r="1073" spans="1:11" x14ac:dyDescent="0.25">
      <c r="A1073" t="s">
        <v>1434</v>
      </c>
      <c r="B1073" t="s">
        <v>2720</v>
      </c>
      <c r="C1073" t="s">
        <v>16</v>
      </c>
      <c r="D1073" t="s">
        <v>4461</v>
      </c>
      <c r="E1073" t="s">
        <v>4425</v>
      </c>
      <c r="F1073" t="s">
        <v>2740</v>
      </c>
      <c r="G1073" s="2">
        <v>45472</v>
      </c>
      <c r="H1073" t="s">
        <v>1435</v>
      </c>
      <c r="I1073">
        <v>584.29999999999995</v>
      </c>
      <c r="J1073" s="1">
        <v>250000</v>
      </c>
      <c r="K1073" s="1">
        <v>250000</v>
      </c>
    </row>
    <row r="1074" spans="1:11" x14ac:dyDescent="0.25">
      <c r="A1074" t="s">
        <v>1436</v>
      </c>
      <c r="B1074" t="s">
        <v>2712</v>
      </c>
      <c r="C1074" t="s">
        <v>16</v>
      </c>
      <c r="D1074" t="s">
        <v>4461</v>
      </c>
      <c r="E1074" t="s">
        <v>4449</v>
      </c>
      <c r="F1074" t="s">
        <v>2740</v>
      </c>
      <c r="G1074" s="2">
        <v>45472</v>
      </c>
      <c r="H1074" t="s">
        <v>1437</v>
      </c>
      <c r="I1074">
        <v>210.3</v>
      </c>
      <c r="J1074" s="1">
        <v>90000</v>
      </c>
      <c r="K1074" s="1">
        <v>90000</v>
      </c>
    </row>
    <row r="1075" spans="1:11" x14ac:dyDescent="0.25">
      <c r="A1075" t="s">
        <v>1417</v>
      </c>
      <c r="B1075" t="s">
        <v>4463</v>
      </c>
      <c r="C1075" t="s">
        <v>35</v>
      </c>
      <c r="D1075" t="s">
        <v>4464</v>
      </c>
      <c r="E1075" t="s">
        <v>3304</v>
      </c>
      <c r="F1075" t="s">
        <v>2740</v>
      </c>
      <c r="G1075" s="2">
        <v>45474</v>
      </c>
      <c r="H1075" t="s">
        <v>1418</v>
      </c>
      <c r="I1075">
        <v>233.7</v>
      </c>
      <c r="J1075" s="1">
        <v>100000</v>
      </c>
      <c r="K1075" s="1">
        <v>100000</v>
      </c>
    </row>
    <row r="1076" spans="1:11" x14ac:dyDescent="0.25">
      <c r="A1076" t="s">
        <v>1419</v>
      </c>
      <c r="B1076" t="s">
        <v>2700</v>
      </c>
      <c r="C1076" t="s">
        <v>27</v>
      </c>
      <c r="D1076" t="s">
        <v>4466</v>
      </c>
      <c r="E1076" t="s">
        <v>4450</v>
      </c>
      <c r="F1076" t="s">
        <v>2740</v>
      </c>
      <c r="G1076" s="2">
        <v>45474</v>
      </c>
      <c r="H1076" t="s">
        <v>1420</v>
      </c>
      <c r="I1076">
        <v>467.4</v>
      </c>
      <c r="J1076" s="1">
        <v>200000</v>
      </c>
      <c r="K1076" s="1">
        <v>200000</v>
      </c>
    </row>
    <row r="1077" spans="1:11" x14ac:dyDescent="0.25">
      <c r="A1077" t="s">
        <v>1422</v>
      </c>
      <c r="B1077" t="s">
        <v>2698</v>
      </c>
      <c r="C1077" t="s">
        <v>16</v>
      </c>
      <c r="D1077" t="s">
        <v>4465</v>
      </c>
      <c r="E1077" t="s">
        <v>4442</v>
      </c>
      <c r="F1077" t="s">
        <v>2740</v>
      </c>
      <c r="G1077" s="2">
        <v>45474</v>
      </c>
      <c r="H1077" t="s">
        <v>1423</v>
      </c>
      <c r="I1077">
        <v>46.7</v>
      </c>
      <c r="J1077" s="1">
        <v>20000</v>
      </c>
      <c r="K1077" s="1">
        <v>20000</v>
      </c>
    </row>
    <row r="1078" spans="1:11" x14ac:dyDescent="0.25">
      <c r="A1078" t="s">
        <v>1426</v>
      </c>
      <c r="B1078" t="s">
        <v>2733</v>
      </c>
      <c r="C1078" t="s">
        <v>16</v>
      </c>
      <c r="D1078" t="s">
        <v>4465</v>
      </c>
      <c r="E1078" t="s">
        <v>4448</v>
      </c>
      <c r="F1078" t="s">
        <v>2740</v>
      </c>
      <c r="G1078" s="2">
        <v>45474</v>
      </c>
      <c r="H1078" t="s">
        <v>1427</v>
      </c>
      <c r="I1078">
        <v>163.6</v>
      </c>
      <c r="J1078" s="1">
        <v>70000</v>
      </c>
      <c r="K1078" s="1">
        <v>70000</v>
      </c>
    </row>
    <row r="1079" spans="1:11" x14ac:dyDescent="0.25">
      <c r="A1079" t="s">
        <v>1413</v>
      </c>
      <c r="B1079" t="s">
        <v>2705</v>
      </c>
      <c r="C1079" t="s">
        <v>42</v>
      </c>
      <c r="D1079" t="s">
        <v>4467</v>
      </c>
      <c r="E1079" t="s">
        <v>4435</v>
      </c>
      <c r="F1079" t="s">
        <v>2740</v>
      </c>
      <c r="G1079" s="2">
        <v>45475</v>
      </c>
      <c r="H1079" t="s">
        <v>1414</v>
      </c>
      <c r="I1079">
        <v>116.9</v>
      </c>
      <c r="J1079" s="1">
        <v>50000</v>
      </c>
      <c r="K1079" s="1">
        <v>50000</v>
      </c>
    </row>
    <row r="1080" spans="1:11" x14ac:dyDescent="0.25">
      <c r="A1080" t="s">
        <v>1395</v>
      </c>
      <c r="B1080" t="s">
        <v>2725</v>
      </c>
      <c r="C1080" t="s">
        <v>16</v>
      </c>
      <c r="D1080" t="s">
        <v>4465</v>
      </c>
      <c r="E1080" t="s">
        <v>4429</v>
      </c>
      <c r="F1080" t="s">
        <v>2740</v>
      </c>
      <c r="G1080" s="2">
        <v>45476</v>
      </c>
      <c r="H1080" t="s">
        <v>1396</v>
      </c>
      <c r="I1080">
        <v>23.4</v>
      </c>
      <c r="J1080" s="1">
        <v>10000</v>
      </c>
      <c r="K1080" s="1">
        <v>10000</v>
      </c>
    </row>
    <row r="1081" spans="1:11" x14ac:dyDescent="0.25">
      <c r="A1081" t="s">
        <v>1397</v>
      </c>
      <c r="B1081" t="s">
        <v>93</v>
      </c>
      <c r="C1081" t="s">
        <v>35</v>
      </c>
      <c r="D1081" t="s">
        <v>4465</v>
      </c>
      <c r="E1081" t="s">
        <v>3304</v>
      </c>
      <c r="F1081" t="s">
        <v>2740</v>
      </c>
      <c r="G1081" s="2">
        <v>45476</v>
      </c>
      <c r="H1081" t="s">
        <v>1398</v>
      </c>
      <c r="I1081">
        <v>233.8</v>
      </c>
      <c r="J1081" s="1">
        <v>100000</v>
      </c>
      <c r="K1081" s="1">
        <v>100000</v>
      </c>
    </row>
    <row r="1082" spans="1:11" x14ac:dyDescent="0.25">
      <c r="A1082" t="s">
        <v>1399</v>
      </c>
      <c r="B1082" t="s">
        <v>133</v>
      </c>
      <c r="C1082" t="s">
        <v>35</v>
      </c>
      <c r="D1082" t="s">
        <v>4461</v>
      </c>
      <c r="E1082" t="s">
        <v>3304</v>
      </c>
      <c r="F1082" t="s">
        <v>2740</v>
      </c>
      <c r="G1082" s="2">
        <v>45476</v>
      </c>
      <c r="H1082" t="s">
        <v>1400</v>
      </c>
      <c r="I1082">
        <v>233.7</v>
      </c>
      <c r="J1082" s="1">
        <v>100000</v>
      </c>
      <c r="K1082" s="1">
        <v>100000</v>
      </c>
    </row>
    <row r="1083" spans="1:11" x14ac:dyDescent="0.25">
      <c r="A1083" t="s">
        <v>1401</v>
      </c>
      <c r="B1083" t="s">
        <v>2702</v>
      </c>
      <c r="C1083" t="s">
        <v>35</v>
      </c>
      <c r="D1083" t="s">
        <v>3305</v>
      </c>
      <c r="E1083" t="s">
        <v>3304</v>
      </c>
      <c r="F1083" t="s">
        <v>2740</v>
      </c>
      <c r="G1083" s="2">
        <v>45476</v>
      </c>
      <c r="H1083" t="s">
        <v>1402</v>
      </c>
      <c r="I1083">
        <v>350.5</v>
      </c>
      <c r="J1083" s="1">
        <v>150000</v>
      </c>
      <c r="K1083" s="1">
        <v>150000</v>
      </c>
    </row>
    <row r="1084" spans="1:11" x14ac:dyDescent="0.25">
      <c r="A1084" t="s">
        <v>1403</v>
      </c>
      <c r="B1084" t="s">
        <v>4463</v>
      </c>
      <c r="C1084" t="s">
        <v>35</v>
      </c>
      <c r="D1084" t="s">
        <v>4464</v>
      </c>
      <c r="E1084" t="s">
        <v>3304</v>
      </c>
      <c r="F1084" t="s">
        <v>2740</v>
      </c>
      <c r="G1084" s="2">
        <v>45476</v>
      </c>
      <c r="H1084" t="s">
        <v>1404</v>
      </c>
      <c r="I1084">
        <v>584.29999999999995</v>
      </c>
      <c r="J1084" s="1">
        <v>250000</v>
      </c>
      <c r="K1084" s="1">
        <v>250000</v>
      </c>
    </row>
    <row r="1085" spans="1:11" x14ac:dyDescent="0.25">
      <c r="A1085" t="s">
        <v>1405</v>
      </c>
      <c r="B1085" t="s">
        <v>2728</v>
      </c>
      <c r="C1085" t="s">
        <v>16</v>
      </c>
      <c r="D1085" t="s">
        <v>4465</v>
      </c>
      <c r="E1085" t="s">
        <v>4439</v>
      </c>
      <c r="F1085" t="s">
        <v>2740</v>
      </c>
      <c r="G1085" s="2">
        <v>45476</v>
      </c>
      <c r="H1085" t="s">
        <v>1406</v>
      </c>
      <c r="I1085">
        <v>70.099999999999994</v>
      </c>
      <c r="J1085" s="1">
        <v>30000</v>
      </c>
      <c r="K1085" s="1">
        <v>30000</v>
      </c>
    </row>
    <row r="1086" spans="1:11" x14ac:dyDescent="0.25">
      <c r="A1086" t="s">
        <v>1408</v>
      </c>
      <c r="B1086" t="s">
        <v>2732</v>
      </c>
      <c r="C1086" t="s">
        <v>16</v>
      </c>
      <c r="D1086" t="s">
        <v>4461</v>
      </c>
      <c r="E1086" t="s">
        <v>4444</v>
      </c>
      <c r="F1086" t="s">
        <v>2740</v>
      </c>
      <c r="G1086" s="2">
        <v>45476</v>
      </c>
      <c r="H1086" t="s">
        <v>1409</v>
      </c>
      <c r="I1086">
        <v>46.8</v>
      </c>
      <c r="J1086" s="1">
        <v>20000</v>
      </c>
      <c r="K1086" s="1">
        <v>20000</v>
      </c>
    </row>
    <row r="1087" spans="1:11" x14ac:dyDescent="0.25">
      <c r="A1087" t="s">
        <v>1411</v>
      </c>
      <c r="B1087" t="s">
        <v>66</v>
      </c>
      <c r="C1087" t="s">
        <v>35</v>
      </c>
      <c r="D1087" t="s">
        <v>4466</v>
      </c>
      <c r="E1087" t="s">
        <v>3304</v>
      </c>
      <c r="F1087" t="s">
        <v>2740</v>
      </c>
      <c r="G1087" s="2">
        <v>45476</v>
      </c>
      <c r="H1087" t="s">
        <v>1412</v>
      </c>
      <c r="I1087">
        <v>350.5</v>
      </c>
      <c r="J1087" s="1">
        <v>150000</v>
      </c>
      <c r="K1087" s="1">
        <v>150000</v>
      </c>
    </row>
    <row r="1088" spans="1:11" x14ac:dyDescent="0.25">
      <c r="A1088" t="s">
        <v>1375</v>
      </c>
      <c r="B1088" t="s">
        <v>2719</v>
      </c>
      <c r="C1088" t="s">
        <v>16</v>
      </c>
      <c r="D1088" t="s">
        <v>4466</v>
      </c>
      <c r="E1088" t="s">
        <v>4430</v>
      </c>
      <c r="F1088" t="s">
        <v>2740</v>
      </c>
      <c r="G1088" s="2">
        <v>45477</v>
      </c>
      <c r="H1088" t="s">
        <v>1376</v>
      </c>
      <c r="I1088">
        <v>116.8</v>
      </c>
      <c r="J1088" s="1">
        <v>50000</v>
      </c>
      <c r="K1088" s="1">
        <v>50000</v>
      </c>
    </row>
    <row r="1089" spans="1:11" x14ac:dyDescent="0.25">
      <c r="A1089" t="s">
        <v>1377</v>
      </c>
      <c r="B1089" t="s">
        <v>2701</v>
      </c>
      <c r="C1089" t="s">
        <v>16</v>
      </c>
      <c r="D1089" t="s">
        <v>4466</v>
      </c>
      <c r="E1089" t="s">
        <v>4453</v>
      </c>
      <c r="F1089" t="s">
        <v>2740</v>
      </c>
      <c r="G1089" s="2">
        <v>45477</v>
      </c>
      <c r="H1089" t="s">
        <v>1378</v>
      </c>
      <c r="I1089">
        <v>23.3</v>
      </c>
      <c r="J1089" s="1">
        <v>10000</v>
      </c>
      <c r="K1089" s="1">
        <v>10000</v>
      </c>
    </row>
    <row r="1090" spans="1:11" x14ac:dyDescent="0.25">
      <c r="A1090" t="s">
        <v>1379</v>
      </c>
      <c r="B1090" t="s">
        <v>2722</v>
      </c>
      <c r="C1090" t="s">
        <v>16</v>
      </c>
      <c r="D1090" t="s">
        <v>4462</v>
      </c>
      <c r="E1090" t="s">
        <v>4446</v>
      </c>
      <c r="F1090" t="s">
        <v>2740</v>
      </c>
      <c r="G1090" s="2">
        <v>45477</v>
      </c>
      <c r="H1090" t="s">
        <v>1380</v>
      </c>
      <c r="I1090">
        <v>116.9</v>
      </c>
      <c r="J1090" s="1">
        <v>50000</v>
      </c>
      <c r="K1090" s="1">
        <v>50000</v>
      </c>
    </row>
    <row r="1091" spans="1:11" x14ac:dyDescent="0.25">
      <c r="A1091" t="s">
        <v>1381</v>
      </c>
      <c r="B1091" t="s">
        <v>2720</v>
      </c>
      <c r="C1091" t="s">
        <v>16</v>
      </c>
      <c r="D1091" t="s">
        <v>4461</v>
      </c>
      <c r="E1091" t="s">
        <v>4425</v>
      </c>
      <c r="F1091" t="s">
        <v>2740</v>
      </c>
      <c r="G1091" s="2">
        <v>45477</v>
      </c>
      <c r="H1091" t="s">
        <v>1382</v>
      </c>
      <c r="I1091">
        <v>584.29999999999995</v>
      </c>
      <c r="J1091" s="1">
        <v>250000</v>
      </c>
      <c r="K1091" s="1">
        <v>250000</v>
      </c>
    </row>
    <row r="1092" spans="1:11" x14ac:dyDescent="0.25">
      <c r="A1092" t="s">
        <v>1383</v>
      </c>
      <c r="B1092" t="s">
        <v>2721</v>
      </c>
      <c r="C1092" t="s">
        <v>16</v>
      </c>
      <c r="D1092" t="s">
        <v>4466</v>
      </c>
      <c r="E1092" t="s">
        <v>4438</v>
      </c>
      <c r="F1092" t="s">
        <v>2740</v>
      </c>
      <c r="G1092" s="2">
        <v>45477</v>
      </c>
      <c r="H1092" t="s">
        <v>1384</v>
      </c>
      <c r="I1092">
        <v>70.099999999999994</v>
      </c>
      <c r="J1092" s="1">
        <v>30000</v>
      </c>
      <c r="K1092" s="1">
        <v>30000</v>
      </c>
    </row>
    <row r="1093" spans="1:11" x14ac:dyDescent="0.25">
      <c r="A1093" t="s">
        <v>1385</v>
      </c>
      <c r="B1093" t="s">
        <v>2735</v>
      </c>
      <c r="C1093" t="s">
        <v>16</v>
      </c>
      <c r="D1093" t="s">
        <v>4462</v>
      </c>
      <c r="E1093" t="s">
        <v>4426</v>
      </c>
      <c r="F1093" t="s">
        <v>2740</v>
      </c>
      <c r="G1093" s="2">
        <v>45477</v>
      </c>
      <c r="H1093" t="s">
        <v>1386</v>
      </c>
      <c r="I1093">
        <v>233.8</v>
      </c>
      <c r="J1093" s="1">
        <v>100000</v>
      </c>
      <c r="K1093" s="1">
        <v>100000</v>
      </c>
    </row>
    <row r="1094" spans="1:11" x14ac:dyDescent="0.25">
      <c r="A1094" t="s">
        <v>1388</v>
      </c>
      <c r="B1094" t="s">
        <v>2713</v>
      </c>
      <c r="C1094" t="s">
        <v>16</v>
      </c>
      <c r="D1094" t="s">
        <v>4465</v>
      </c>
      <c r="E1094" t="s">
        <v>4428</v>
      </c>
      <c r="F1094" t="s">
        <v>2740</v>
      </c>
      <c r="G1094" s="2">
        <v>45477</v>
      </c>
      <c r="H1094" t="s">
        <v>1389</v>
      </c>
      <c r="I1094">
        <v>116.8</v>
      </c>
      <c r="J1094" s="1">
        <v>50000</v>
      </c>
      <c r="K1094" s="1">
        <v>50000</v>
      </c>
    </row>
    <row r="1095" spans="1:11" x14ac:dyDescent="0.25">
      <c r="A1095" t="s">
        <v>1390</v>
      </c>
      <c r="B1095" t="s">
        <v>2717</v>
      </c>
      <c r="C1095" t="s">
        <v>16</v>
      </c>
      <c r="D1095" t="s">
        <v>4466</v>
      </c>
      <c r="E1095" t="s">
        <v>4431</v>
      </c>
      <c r="F1095" t="s">
        <v>2740</v>
      </c>
      <c r="G1095" s="2">
        <v>45477</v>
      </c>
      <c r="H1095" t="s">
        <v>1391</v>
      </c>
      <c r="I1095">
        <v>584.29999999999995</v>
      </c>
      <c r="J1095" s="1">
        <v>250000</v>
      </c>
      <c r="K1095" s="1">
        <v>250000</v>
      </c>
    </row>
    <row r="1096" spans="1:11" x14ac:dyDescent="0.25">
      <c r="A1096" t="s">
        <v>1392</v>
      </c>
      <c r="B1096" t="s">
        <v>2717</v>
      </c>
      <c r="C1096" t="s">
        <v>16</v>
      </c>
      <c r="D1096" t="s">
        <v>4466</v>
      </c>
      <c r="E1096" t="s">
        <v>4431</v>
      </c>
      <c r="F1096" t="s">
        <v>2740</v>
      </c>
      <c r="G1096" s="2">
        <v>45477</v>
      </c>
      <c r="H1096" t="s">
        <v>1393</v>
      </c>
      <c r="I1096">
        <v>584.29999999999995</v>
      </c>
      <c r="J1096" s="1">
        <v>250000</v>
      </c>
      <c r="K1096" s="1">
        <v>250000</v>
      </c>
    </row>
    <row r="1097" spans="1:11" x14ac:dyDescent="0.25">
      <c r="A1097" t="s">
        <v>1368</v>
      </c>
      <c r="B1097" t="s">
        <v>2724</v>
      </c>
      <c r="C1097" t="s">
        <v>16</v>
      </c>
      <c r="D1097" t="s">
        <v>4462</v>
      </c>
      <c r="E1097" t="s">
        <v>4451</v>
      </c>
      <c r="F1097" t="s">
        <v>2740</v>
      </c>
      <c r="G1097" s="2">
        <v>45478</v>
      </c>
      <c r="H1097" t="s">
        <v>1369</v>
      </c>
      <c r="I1097">
        <v>93.5</v>
      </c>
      <c r="J1097" s="1">
        <v>40000</v>
      </c>
      <c r="K1097" s="1">
        <v>40000</v>
      </c>
    </row>
    <row r="1098" spans="1:11" x14ac:dyDescent="0.25">
      <c r="A1098" t="s">
        <v>1371</v>
      </c>
      <c r="B1098" t="s">
        <v>2736</v>
      </c>
      <c r="C1098" t="s">
        <v>16</v>
      </c>
      <c r="D1098" t="s">
        <v>4461</v>
      </c>
      <c r="E1098" t="s">
        <v>4459</v>
      </c>
      <c r="F1098" t="s">
        <v>2740</v>
      </c>
      <c r="G1098" s="2">
        <v>45478</v>
      </c>
      <c r="H1098" t="s">
        <v>1372</v>
      </c>
      <c r="I1098">
        <v>70.099999999999994</v>
      </c>
      <c r="J1098" s="1">
        <v>30000</v>
      </c>
      <c r="K1098" s="1">
        <v>30000</v>
      </c>
    </row>
    <row r="1099" spans="1:11" x14ac:dyDescent="0.25">
      <c r="A1099" t="s">
        <v>1373</v>
      </c>
      <c r="B1099" t="s">
        <v>2718</v>
      </c>
      <c r="C1099" t="s">
        <v>16</v>
      </c>
      <c r="D1099" t="s">
        <v>4466</v>
      </c>
      <c r="E1099" t="s">
        <v>4438</v>
      </c>
      <c r="F1099" t="s">
        <v>2740</v>
      </c>
      <c r="G1099" s="2">
        <v>45478</v>
      </c>
      <c r="H1099" t="s">
        <v>1374</v>
      </c>
      <c r="I1099">
        <v>116.8</v>
      </c>
      <c r="J1099" s="1">
        <v>50000</v>
      </c>
      <c r="K1099" s="1">
        <v>50000</v>
      </c>
    </row>
    <row r="1100" spans="1:11" x14ac:dyDescent="0.25">
      <c r="A1100" t="s">
        <v>1364</v>
      </c>
      <c r="B1100" t="s">
        <v>2698</v>
      </c>
      <c r="C1100" t="s">
        <v>16</v>
      </c>
      <c r="D1100" t="s">
        <v>4465</v>
      </c>
      <c r="E1100" t="s">
        <v>4442</v>
      </c>
      <c r="F1100" t="s">
        <v>2740</v>
      </c>
      <c r="G1100" s="2">
        <v>45480</v>
      </c>
      <c r="H1100" t="s">
        <v>1365</v>
      </c>
      <c r="I1100">
        <v>46.8</v>
      </c>
      <c r="J1100" s="1">
        <v>20000</v>
      </c>
      <c r="K1100" s="1">
        <v>20000</v>
      </c>
    </row>
    <row r="1101" spans="1:11" x14ac:dyDescent="0.25">
      <c r="A1101" t="s">
        <v>1366</v>
      </c>
      <c r="B1101" t="s">
        <v>2701</v>
      </c>
      <c r="C1101" t="s">
        <v>16</v>
      </c>
      <c r="D1101" t="s">
        <v>4466</v>
      </c>
      <c r="E1101" t="s">
        <v>4453</v>
      </c>
      <c r="F1101" t="s">
        <v>2740</v>
      </c>
      <c r="G1101" s="2">
        <v>45480</v>
      </c>
      <c r="H1101" t="s">
        <v>1367</v>
      </c>
      <c r="I1101">
        <v>28.1</v>
      </c>
      <c r="J1101" s="1">
        <v>12000</v>
      </c>
      <c r="K1101" s="1">
        <v>12000</v>
      </c>
    </row>
    <row r="1102" spans="1:11" x14ac:dyDescent="0.25">
      <c r="A1102" t="s">
        <v>1362</v>
      </c>
      <c r="B1102" t="s">
        <v>2705</v>
      </c>
      <c r="C1102" t="s">
        <v>42</v>
      </c>
      <c r="D1102" t="s">
        <v>4467</v>
      </c>
      <c r="E1102" t="s">
        <v>4435</v>
      </c>
      <c r="F1102" t="s">
        <v>2740</v>
      </c>
      <c r="G1102" s="2">
        <v>45481</v>
      </c>
      <c r="H1102" t="s">
        <v>1363</v>
      </c>
      <c r="I1102">
        <v>116.8</v>
      </c>
      <c r="J1102" s="1">
        <v>50000</v>
      </c>
      <c r="K1102" s="1">
        <v>50000</v>
      </c>
    </row>
    <row r="1103" spans="1:11" x14ac:dyDescent="0.25">
      <c r="A1103" t="s">
        <v>1359</v>
      </c>
      <c r="B1103" t="s">
        <v>66</v>
      </c>
      <c r="C1103" t="s">
        <v>35</v>
      </c>
      <c r="D1103" t="s">
        <v>4466</v>
      </c>
      <c r="E1103" t="s">
        <v>3304</v>
      </c>
      <c r="F1103" t="s">
        <v>2740</v>
      </c>
      <c r="G1103" s="2">
        <v>45482</v>
      </c>
      <c r="H1103" t="s">
        <v>1360</v>
      </c>
      <c r="I1103">
        <v>229.1</v>
      </c>
      <c r="J1103" s="1">
        <v>98000</v>
      </c>
      <c r="K1103" s="1">
        <v>98000</v>
      </c>
    </row>
    <row r="1104" spans="1:11" x14ac:dyDescent="0.25">
      <c r="A1104" t="s">
        <v>1351</v>
      </c>
      <c r="B1104" t="s">
        <v>2706</v>
      </c>
      <c r="C1104" t="s">
        <v>27</v>
      </c>
      <c r="D1104" t="s">
        <v>4461</v>
      </c>
      <c r="E1104" t="s">
        <v>4452</v>
      </c>
      <c r="F1104" t="s">
        <v>2740</v>
      </c>
      <c r="G1104" s="2">
        <v>45483</v>
      </c>
      <c r="H1104" t="s">
        <v>1352</v>
      </c>
      <c r="I1104">
        <v>116.9</v>
      </c>
      <c r="J1104" s="1">
        <v>50000</v>
      </c>
      <c r="K1104" s="1">
        <v>50000</v>
      </c>
    </row>
    <row r="1105" spans="1:11" x14ac:dyDescent="0.25">
      <c r="A1105" t="s">
        <v>1354</v>
      </c>
      <c r="B1105" t="s">
        <v>136</v>
      </c>
      <c r="C1105" t="s">
        <v>35</v>
      </c>
      <c r="D1105" t="s">
        <v>4462</v>
      </c>
      <c r="E1105" t="s">
        <v>3304</v>
      </c>
      <c r="F1105" t="s">
        <v>2740</v>
      </c>
      <c r="G1105" s="2">
        <v>45483</v>
      </c>
      <c r="H1105" t="s">
        <v>1355</v>
      </c>
      <c r="I1105">
        <v>233.7</v>
      </c>
      <c r="J1105" s="1">
        <v>100000</v>
      </c>
      <c r="K1105" s="1">
        <v>100000</v>
      </c>
    </row>
    <row r="1106" spans="1:11" x14ac:dyDescent="0.25">
      <c r="A1106" t="s">
        <v>1357</v>
      </c>
      <c r="B1106" t="s">
        <v>2707</v>
      </c>
      <c r="C1106" t="s">
        <v>16</v>
      </c>
      <c r="D1106" t="s">
        <v>4462</v>
      </c>
      <c r="E1106" t="s">
        <v>4433</v>
      </c>
      <c r="F1106" t="s">
        <v>2740</v>
      </c>
      <c r="G1106" s="2">
        <v>45483</v>
      </c>
      <c r="H1106" t="s">
        <v>1358</v>
      </c>
      <c r="I1106">
        <v>163.6</v>
      </c>
      <c r="J1106" s="1">
        <v>70000</v>
      </c>
      <c r="K1106" s="1">
        <v>70000</v>
      </c>
    </row>
    <row r="1107" spans="1:11" x14ac:dyDescent="0.25">
      <c r="A1107" t="s">
        <v>1343</v>
      </c>
      <c r="B1107" t="s">
        <v>2722</v>
      </c>
      <c r="C1107" t="s">
        <v>16</v>
      </c>
      <c r="D1107" t="s">
        <v>4462</v>
      </c>
      <c r="E1107" t="s">
        <v>4446</v>
      </c>
      <c r="F1107" t="s">
        <v>2740</v>
      </c>
      <c r="G1107" s="2">
        <v>45484</v>
      </c>
      <c r="H1107" t="s">
        <v>1344</v>
      </c>
      <c r="I1107">
        <v>116.8</v>
      </c>
      <c r="J1107" s="1">
        <v>50000</v>
      </c>
      <c r="K1107" s="1">
        <v>50000</v>
      </c>
    </row>
    <row r="1108" spans="1:11" x14ac:dyDescent="0.25">
      <c r="A1108" t="s">
        <v>1345</v>
      </c>
      <c r="B1108" t="s">
        <v>4463</v>
      </c>
      <c r="C1108" t="s">
        <v>35</v>
      </c>
      <c r="D1108" t="s">
        <v>4464</v>
      </c>
      <c r="E1108" t="s">
        <v>3304</v>
      </c>
      <c r="F1108" t="s">
        <v>2740</v>
      </c>
      <c r="G1108" s="2">
        <v>45484</v>
      </c>
      <c r="H1108" t="s">
        <v>1346</v>
      </c>
      <c r="I1108">
        <v>584.29999999999995</v>
      </c>
      <c r="J1108" s="1">
        <v>250000</v>
      </c>
      <c r="K1108" s="1">
        <v>250000</v>
      </c>
    </row>
    <row r="1109" spans="1:11" x14ac:dyDescent="0.25">
      <c r="A1109" t="s">
        <v>1347</v>
      </c>
      <c r="B1109" t="s">
        <v>2713</v>
      </c>
      <c r="C1109" t="s">
        <v>16</v>
      </c>
      <c r="D1109" t="s">
        <v>4465</v>
      </c>
      <c r="E1109" t="s">
        <v>4428</v>
      </c>
      <c r="F1109" t="s">
        <v>2740</v>
      </c>
      <c r="G1109" s="2">
        <v>45484</v>
      </c>
      <c r="H1109" t="s">
        <v>1348</v>
      </c>
      <c r="I1109">
        <v>116.9</v>
      </c>
      <c r="J1109" s="1">
        <v>50000</v>
      </c>
      <c r="K1109" s="1">
        <v>50000</v>
      </c>
    </row>
    <row r="1110" spans="1:11" x14ac:dyDescent="0.25">
      <c r="A1110" t="s">
        <v>1349</v>
      </c>
      <c r="B1110" t="s">
        <v>4471</v>
      </c>
      <c r="C1110" t="s">
        <v>35</v>
      </c>
      <c r="D1110" t="s">
        <v>4470</v>
      </c>
      <c r="E1110" t="s">
        <v>35</v>
      </c>
      <c r="F1110" t="s">
        <v>2740</v>
      </c>
      <c r="G1110" s="2">
        <v>45484</v>
      </c>
      <c r="H1110" t="s">
        <v>1350</v>
      </c>
      <c r="I1110">
        <v>233.7</v>
      </c>
      <c r="J1110" s="1">
        <v>100000</v>
      </c>
      <c r="K1110" s="1">
        <v>100000</v>
      </c>
    </row>
    <row r="1111" spans="1:11" x14ac:dyDescent="0.25">
      <c r="A1111" t="s">
        <v>1333</v>
      </c>
      <c r="B1111" t="s">
        <v>2701</v>
      </c>
      <c r="C1111" t="s">
        <v>16</v>
      </c>
      <c r="D1111" t="s">
        <v>4466</v>
      </c>
      <c r="E1111" t="s">
        <v>4453</v>
      </c>
      <c r="F1111" t="s">
        <v>2740</v>
      </c>
      <c r="G1111" s="2">
        <v>45485</v>
      </c>
      <c r="H1111" t="s">
        <v>1334</v>
      </c>
      <c r="I1111">
        <v>28.1</v>
      </c>
      <c r="J1111" s="1">
        <v>12000</v>
      </c>
      <c r="K1111" s="1">
        <v>12000</v>
      </c>
    </row>
    <row r="1112" spans="1:11" x14ac:dyDescent="0.25">
      <c r="A1112" t="s">
        <v>1335</v>
      </c>
      <c r="B1112" t="s">
        <v>2705</v>
      </c>
      <c r="C1112" t="s">
        <v>42</v>
      </c>
      <c r="D1112" t="s">
        <v>4467</v>
      </c>
      <c r="E1112" t="s">
        <v>4435</v>
      </c>
      <c r="F1112" t="s">
        <v>2740</v>
      </c>
      <c r="G1112" s="2">
        <v>45485</v>
      </c>
      <c r="H1112" t="s">
        <v>1336</v>
      </c>
      <c r="I1112">
        <v>58.4</v>
      </c>
      <c r="J1112" s="1">
        <v>25000</v>
      </c>
      <c r="K1112" s="1">
        <v>25000</v>
      </c>
    </row>
    <row r="1113" spans="1:11" x14ac:dyDescent="0.25">
      <c r="A1113" t="s">
        <v>1337</v>
      </c>
      <c r="B1113" t="s">
        <v>66</v>
      </c>
      <c r="C1113" t="s">
        <v>35</v>
      </c>
      <c r="D1113" t="s">
        <v>4466</v>
      </c>
      <c r="E1113" t="s">
        <v>3304</v>
      </c>
      <c r="F1113" t="s">
        <v>2740</v>
      </c>
      <c r="G1113" s="2">
        <v>45485</v>
      </c>
      <c r="H1113" t="s">
        <v>1338</v>
      </c>
      <c r="I1113">
        <v>350.5</v>
      </c>
      <c r="J1113" s="1">
        <v>150000</v>
      </c>
      <c r="K1113" s="1">
        <v>150000</v>
      </c>
    </row>
    <row r="1114" spans="1:11" x14ac:dyDescent="0.25">
      <c r="A1114" t="s">
        <v>1339</v>
      </c>
      <c r="B1114" t="s">
        <v>2719</v>
      </c>
      <c r="C1114" t="s">
        <v>16</v>
      </c>
      <c r="D1114" t="s">
        <v>4466</v>
      </c>
      <c r="E1114" t="s">
        <v>4430</v>
      </c>
      <c r="F1114" t="s">
        <v>2740</v>
      </c>
      <c r="G1114" s="2">
        <v>45485</v>
      </c>
      <c r="H1114" t="s">
        <v>1340</v>
      </c>
      <c r="I1114">
        <v>210.3</v>
      </c>
      <c r="J1114" s="1">
        <v>90000</v>
      </c>
      <c r="K1114" s="1">
        <v>90000</v>
      </c>
    </row>
    <row r="1115" spans="1:11" x14ac:dyDescent="0.25">
      <c r="A1115" t="s">
        <v>1341</v>
      </c>
      <c r="B1115" t="s">
        <v>2719</v>
      </c>
      <c r="C1115" t="s">
        <v>16</v>
      </c>
      <c r="D1115" t="s">
        <v>4466</v>
      </c>
      <c r="E1115" t="s">
        <v>4430</v>
      </c>
      <c r="F1115" t="s">
        <v>2740</v>
      </c>
      <c r="G1115" s="2">
        <v>45485</v>
      </c>
      <c r="H1115" t="s">
        <v>1342</v>
      </c>
      <c r="I1115">
        <v>23.4</v>
      </c>
      <c r="J1115" s="1">
        <v>10000</v>
      </c>
      <c r="K1115" s="1">
        <v>10000</v>
      </c>
    </row>
    <row r="1116" spans="1:11" x14ac:dyDescent="0.25">
      <c r="A1116" t="s">
        <v>1329</v>
      </c>
      <c r="B1116" t="s">
        <v>2706</v>
      </c>
      <c r="C1116" t="s">
        <v>27</v>
      </c>
      <c r="D1116" t="s">
        <v>4461</v>
      </c>
      <c r="E1116" t="s">
        <v>4452</v>
      </c>
      <c r="F1116" t="s">
        <v>2740</v>
      </c>
      <c r="G1116" s="2">
        <v>45486</v>
      </c>
      <c r="H1116" t="s">
        <v>1330</v>
      </c>
      <c r="I1116">
        <v>467.4</v>
      </c>
      <c r="J1116" s="1">
        <v>200000</v>
      </c>
      <c r="K1116" s="1">
        <v>200000</v>
      </c>
    </row>
    <row r="1117" spans="1:11" x14ac:dyDescent="0.25">
      <c r="A1117" t="s">
        <v>1331</v>
      </c>
      <c r="B1117" t="s">
        <v>2698</v>
      </c>
      <c r="C1117" t="s">
        <v>16</v>
      </c>
      <c r="D1117" t="s">
        <v>4465</v>
      </c>
      <c r="E1117" t="s">
        <v>4442</v>
      </c>
      <c r="F1117" t="s">
        <v>2740</v>
      </c>
      <c r="G1117" s="2">
        <v>45486</v>
      </c>
      <c r="H1117" t="s">
        <v>1332</v>
      </c>
      <c r="I1117">
        <v>46.7</v>
      </c>
      <c r="J1117" s="1">
        <v>20000</v>
      </c>
      <c r="K1117" s="1">
        <v>20000</v>
      </c>
    </row>
    <row r="1118" spans="1:11" x14ac:dyDescent="0.25">
      <c r="A1118" t="s">
        <v>1326</v>
      </c>
      <c r="B1118" t="s">
        <v>2705</v>
      </c>
      <c r="C1118" t="s">
        <v>42</v>
      </c>
      <c r="D1118" t="s">
        <v>4467</v>
      </c>
      <c r="E1118" t="s">
        <v>4435</v>
      </c>
      <c r="F1118" t="s">
        <v>2740</v>
      </c>
      <c r="G1118" s="2">
        <v>45487</v>
      </c>
      <c r="H1118" t="s">
        <v>1327</v>
      </c>
      <c r="I1118">
        <v>58.5</v>
      </c>
      <c r="J1118" s="1">
        <v>25000</v>
      </c>
      <c r="K1118" s="1">
        <v>25000</v>
      </c>
    </row>
    <row r="1119" spans="1:11" x14ac:dyDescent="0.25">
      <c r="A1119" t="s">
        <v>1321</v>
      </c>
      <c r="B1119" t="s">
        <v>2701</v>
      </c>
      <c r="C1119" t="s">
        <v>16</v>
      </c>
      <c r="D1119" t="s">
        <v>4466</v>
      </c>
      <c r="E1119" t="s">
        <v>4453</v>
      </c>
      <c r="F1119" t="s">
        <v>2740</v>
      </c>
      <c r="G1119" s="2">
        <v>45488</v>
      </c>
      <c r="H1119" t="s">
        <v>1322</v>
      </c>
      <c r="I1119">
        <v>23.4</v>
      </c>
      <c r="J1119" s="1">
        <v>10000</v>
      </c>
      <c r="K1119" s="1">
        <v>10000</v>
      </c>
    </row>
    <row r="1120" spans="1:11" x14ac:dyDescent="0.25">
      <c r="A1120" t="s">
        <v>1323</v>
      </c>
      <c r="B1120" t="s">
        <v>2699</v>
      </c>
      <c r="C1120" t="s">
        <v>16</v>
      </c>
      <c r="D1120" t="s">
        <v>4462</v>
      </c>
      <c r="E1120" t="s">
        <v>4440</v>
      </c>
      <c r="F1120" t="s">
        <v>2740</v>
      </c>
      <c r="G1120" s="2">
        <v>45488</v>
      </c>
      <c r="H1120" t="s">
        <v>1324</v>
      </c>
      <c r="I1120">
        <v>81.8</v>
      </c>
      <c r="J1120" s="1">
        <v>35000</v>
      </c>
      <c r="K1120" s="1">
        <v>35000</v>
      </c>
    </row>
    <row r="1121" spans="1:11" x14ac:dyDescent="0.25">
      <c r="A1121" t="s">
        <v>1313</v>
      </c>
      <c r="B1121" t="s">
        <v>2705</v>
      </c>
      <c r="C1121" t="s">
        <v>42</v>
      </c>
      <c r="D1121" t="s">
        <v>4467</v>
      </c>
      <c r="E1121" t="s">
        <v>4435</v>
      </c>
      <c r="F1121" t="s">
        <v>2740</v>
      </c>
      <c r="G1121" s="2">
        <v>45489</v>
      </c>
      <c r="H1121" t="s">
        <v>1314</v>
      </c>
      <c r="I1121">
        <v>23.3</v>
      </c>
      <c r="J1121" s="1">
        <v>10000</v>
      </c>
      <c r="K1121" s="1">
        <v>10000</v>
      </c>
    </row>
    <row r="1122" spans="1:11" x14ac:dyDescent="0.25">
      <c r="A1122" t="s">
        <v>1315</v>
      </c>
      <c r="B1122" t="s">
        <v>2710</v>
      </c>
      <c r="C1122" t="s">
        <v>42</v>
      </c>
      <c r="D1122" t="s">
        <v>4467</v>
      </c>
      <c r="E1122" t="s">
        <v>4436</v>
      </c>
      <c r="F1122" t="s">
        <v>2740</v>
      </c>
      <c r="G1122" s="2">
        <v>45489</v>
      </c>
      <c r="H1122" t="s">
        <v>1316</v>
      </c>
      <c r="I1122">
        <v>502.5</v>
      </c>
      <c r="J1122" s="1">
        <v>215000</v>
      </c>
      <c r="K1122" s="1">
        <v>215000</v>
      </c>
    </row>
    <row r="1123" spans="1:11" x14ac:dyDescent="0.25">
      <c r="A1123" t="s">
        <v>1317</v>
      </c>
      <c r="B1123" t="s">
        <v>66</v>
      </c>
      <c r="C1123" t="s">
        <v>35</v>
      </c>
      <c r="D1123" t="s">
        <v>4466</v>
      </c>
      <c r="E1123" t="s">
        <v>3304</v>
      </c>
      <c r="F1123" t="s">
        <v>2740</v>
      </c>
      <c r="G1123" s="2">
        <v>45489</v>
      </c>
      <c r="H1123" t="s">
        <v>1318</v>
      </c>
      <c r="I1123">
        <v>350.6</v>
      </c>
      <c r="J1123" s="1">
        <v>150000</v>
      </c>
      <c r="K1123" s="1">
        <v>150000</v>
      </c>
    </row>
    <row r="1124" spans="1:11" x14ac:dyDescent="0.25">
      <c r="A1124" t="s">
        <v>1319</v>
      </c>
      <c r="B1124" t="s">
        <v>2730</v>
      </c>
      <c r="C1124" t="s">
        <v>42</v>
      </c>
      <c r="D1124" t="s">
        <v>4467</v>
      </c>
      <c r="E1124" t="s">
        <v>4441</v>
      </c>
      <c r="F1124" t="s">
        <v>2740</v>
      </c>
      <c r="G1124" s="2">
        <v>45489</v>
      </c>
      <c r="H1124" t="s">
        <v>1320</v>
      </c>
      <c r="I1124">
        <v>116.8</v>
      </c>
      <c r="J1124" s="1">
        <v>50000</v>
      </c>
      <c r="K1124" s="1">
        <v>50000</v>
      </c>
    </row>
    <row r="1125" spans="1:11" x14ac:dyDescent="0.25">
      <c r="A1125" t="s">
        <v>1308</v>
      </c>
      <c r="B1125" t="s">
        <v>2725</v>
      </c>
      <c r="C1125" t="s">
        <v>16</v>
      </c>
      <c r="D1125" t="s">
        <v>4465</v>
      </c>
      <c r="E1125" t="s">
        <v>4429</v>
      </c>
      <c r="F1125" t="s">
        <v>2740</v>
      </c>
      <c r="G1125" s="2">
        <v>45490</v>
      </c>
      <c r="H1125" t="s">
        <v>1309</v>
      </c>
      <c r="I1125">
        <v>280.5</v>
      </c>
      <c r="J1125" s="1">
        <v>120000</v>
      </c>
      <c r="K1125" s="1">
        <v>120000</v>
      </c>
    </row>
    <row r="1126" spans="1:11" x14ac:dyDescent="0.25">
      <c r="A1126" t="s">
        <v>1310</v>
      </c>
      <c r="B1126" t="s">
        <v>2705</v>
      </c>
      <c r="C1126" t="s">
        <v>42</v>
      </c>
      <c r="D1126" t="s">
        <v>4467</v>
      </c>
      <c r="E1126" t="s">
        <v>4435</v>
      </c>
      <c r="F1126" t="s">
        <v>2740</v>
      </c>
      <c r="G1126" s="2">
        <v>45490</v>
      </c>
      <c r="H1126" t="s">
        <v>1311</v>
      </c>
      <c r="I1126">
        <v>58.5</v>
      </c>
      <c r="J1126" s="1">
        <v>25000</v>
      </c>
      <c r="K1126" s="1">
        <v>25000</v>
      </c>
    </row>
    <row r="1127" spans="1:11" x14ac:dyDescent="0.25">
      <c r="A1127" t="s">
        <v>1294</v>
      </c>
      <c r="B1127" t="s">
        <v>2722</v>
      </c>
      <c r="C1127" t="s">
        <v>16</v>
      </c>
      <c r="D1127" t="s">
        <v>4462</v>
      </c>
      <c r="E1127" t="s">
        <v>4446</v>
      </c>
      <c r="F1127" t="s">
        <v>2740</v>
      </c>
      <c r="G1127" s="2">
        <v>45491</v>
      </c>
      <c r="H1127" t="s">
        <v>1295</v>
      </c>
      <c r="I1127">
        <v>46.8</v>
      </c>
      <c r="J1127" s="1">
        <v>20000</v>
      </c>
      <c r="K1127" s="1">
        <v>20000</v>
      </c>
    </row>
    <row r="1128" spans="1:11" x14ac:dyDescent="0.25">
      <c r="A1128" t="s">
        <v>1296</v>
      </c>
      <c r="B1128" t="s">
        <v>2700</v>
      </c>
      <c r="C1128" t="s">
        <v>27</v>
      </c>
      <c r="D1128" t="s">
        <v>4466</v>
      </c>
      <c r="E1128" t="s">
        <v>4450</v>
      </c>
      <c r="F1128" t="s">
        <v>2740</v>
      </c>
      <c r="G1128" s="2">
        <v>45491</v>
      </c>
      <c r="H1128" t="s">
        <v>1297</v>
      </c>
      <c r="I1128">
        <v>116.8</v>
      </c>
      <c r="J1128" s="1">
        <v>50000</v>
      </c>
      <c r="K1128" s="1">
        <v>50000</v>
      </c>
    </row>
    <row r="1129" spans="1:11" x14ac:dyDescent="0.25">
      <c r="A1129" t="s">
        <v>1298</v>
      </c>
      <c r="B1129" t="s">
        <v>2736</v>
      </c>
      <c r="C1129" t="s">
        <v>16</v>
      </c>
      <c r="D1129" t="s">
        <v>4461</v>
      </c>
      <c r="E1129" t="s">
        <v>4459</v>
      </c>
      <c r="F1129" t="s">
        <v>2740</v>
      </c>
      <c r="G1129" s="2">
        <v>45491</v>
      </c>
      <c r="H1129" t="s">
        <v>1299</v>
      </c>
      <c r="I1129">
        <v>233.7</v>
      </c>
      <c r="J1129" s="1">
        <v>100000</v>
      </c>
      <c r="K1129" s="1">
        <v>100000</v>
      </c>
    </row>
    <row r="1130" spans="1:11" x14ac:dyDescent="0.25">
      <c r="A1130" t="s">
        <v>1300</v>
      </c>
      <c r="B1130" t="s">
        <v>2729</v>
      </c>
      <c r="C1130" t="s">
        <v>16</v>
      </c>
      <c r="D1130" t="s">
        <v>4465</v>
      </c>
      <c r="E1130" t="s">
        <v>4427</v>
      </c>
      <c r="F1130" t="s">
        <v>2740</v>
      </c>
      <c r="G1130" s="2">
        <v>45491</v>
      </c>
      <c r="H1130" t="s">
        <v>1301</v>
      </c>
      <c r="I1130">
        <v>116.8</v>
      </c>
      <c r="J1130" s="1">
        <v>50000</v>
      </c>
      <c r="K1130" s="1">
        <v>50000</v>
      </c>
    </row>
    <row r="1131" spans="1:11" x14ac:dyDescent="0.25">
      <c r="A1131" t="s">
        <v>1302</v>
      </c>
      <c r="B1131" t="s">
        <v>4463</v>
      </c>
      <c r="C1131" t="s">
        <v>35</v>
      </c>
      <c r="D1131" t="s">
        <v>4464</v>
      </c>
      <c r="E1131" t="s">
        <v>3304</v>
      </c>
      <c r="F1131" t="s">
        <v>2740</v>
      </c>
      <c r="G1131" s="2">
        <v>45491</v>
      </c>
      <c r="H1131" t="s">
        <v>1303</v>
      </c>
      <c r="I1131">
        <v>233.7</v>
      </c>
      <c r="J1131" s="1">
        <v>100000</v>
      </c>
      <c r="K1131" s="1">
        <v>100000</v>
      </c>
    </row>
    <row r="1132" spans="1:11" x14ac:dyDescent="0.25">
      <c r="A1132" t="s">
        <v>1304</v>
      </c>
      <c r="B1132" t="s">
        <v>2698</v>
      </c>
      <c r="C1132" t="s">
        <v>16</v>
      </c>
      <c r="D1132" t="s">
        <v>4465</v>
      </c>
      <c r="E1132" t="s">
        <v>4442</v>
      </c>
      <c r="F1132" t="s">
        <v>2740</v>
      </c>
      <c r="G1132" s="2">
        <v>45491</v>
      </c>
      <c r="H1132" t="s">
        <v>1305</v>
      </c>
      <c r="I1132">
        <v>116.9</v>
      </c>
      <c r="J1132" s="1">
        <v>50000</v>
      </c>
      <c r="K1132" s="1">
        <v>50000</v>
      </c>
    </row>
    <row r="1133" spans="1:11" x14ac:dyDescent="0.25">
      <c r="A1133" t="s">
        <v>1306</v>
      </c>
      <c r="B1133" t="s">
        <v>2705</v>
      </c>
      <c r="C1133" t="s">
        <v>42</v>
      </c>
      <c r="D1133" t="s">
        <v>4467</v>
      </c>
      <c r="E1133" t="s">
        <v>4435</v>
      </c>
      <c r="F1133" t="s">
        <v>2740</v>
      </c>
      <c r="G1133" s="2">
        <v>45491</v>
      </c>
      <c r="H1133" t="s">
        <v>1307</v>
      </c>
      <c r="I1133">
        <v>233.7</v>
      </c>
      <c r="J1133" s="1">
        <v>100000</v>
      </c>
      <c r="K1133" s="1">
        <v>100000</v>
      </c>
    </row>
    <row r="1134" spans="1:11" x14ac:dyDescent="0.25">
      <c r="A1134" t="s">
        <v>1284</v>
      </c>
      <c r="B1134" t="s">
        <v>2701</v>
      </c>
      <c r="C1134" t="s">
        <v>16</v>
      </c>
      <c r="D1134" t="s">
        <v>4466</v>
      </c>
      <c r="E1134" t="s">
        <v>4453</v>
      </c>
      <c r="F1134" t="s">
        <v>2740</v>
      </c>
      <c r="G1134" s="2">
        <v>45492</v>
      </c>
      <c r="H1134" t="s">
        <v>1285</v>
      </c>
      <c r="I1134">
        <v>28</v>
      </c>
      <c r="J1134" s="1">
        <v>12000</v>
      </c>
      <c r="K1134" s="1">
        <v>12000</v>
      </c>
    </row>
    <row r="1135" spans="1:11" x14ac:dyDescent="0.25">
      <c r="A1135" t="s">
        <v>1286</v>
      </c>
      <c r="B1135" t="s">
        <v>2733</v>
      </c>
      <c r="C1135" t="s">
        <v>16</v>
      </c>
      <c r="D1135" t="s">
        <v>4465</v>
      </c>
      <c r="E1135" t="s">
        <v>4448</v>
      </c>
      <c r="F1135" t="s">
        <v>2740</v>
      </c>
      <c r="G1135" s="2">
        <v>45492</v>
      </c>
      <c r="H1135" t="s">
        <v>1287</v>
      </c>
      <c r="I1135">
        <v>113.4</v>
      </c>
      <c r="J1135" s="1">
        <v>48500</v>
      </c>
      <c r="K1135" s="1">
        <v>48500</v>
      </c>
    </row>
    <row r="1136" spans="1:11" x14ac:dyDescent="0.25">
      <c r="A1136" t="s">
        <v>1288</v>
      </c>
      <c r="B1136" t="s">
        <v>2704</v>
      </c>
      <c r="C1136" t="s">
        <v>35</v>
      </c>
      <c r="D1136" t="s">
        <v>42</v>
      </c>
      <c r="E1136" t="s">
        <v>3275</v>
      </c>
      <c r="F1136" t="s">
        <v>2740</v>
      </c>
      <c r="G1136" s="2">
        <v>45492</v>
      </c>
      <c r="H1136" t="s">
        <v>1289</v>
      </c>
      <c r="I1136">
        <v>128.5</v>
      </c>
      <c r="J1136" s="1">
        <v>55000</v>
      </c>
      <c r="K1136" s="1">
        <v>55000</v>
      </c>
    </row>
    <row r="1137" spans="1:11" x14ac:dyDescent="0.25">
      <c r="A1137" t="s">
        <v>1290</v>
      </c>
      <c r="B1137" t="s">
        <v>2703</v>
      </c>
      <c r="C1137" t="s">
        <v>35</v>
      </c>
      <c r="D1137" t="s">
        <v>4404</v>
      </c>
      <c r="E1137" t="s">
        <v>3275</v>
      </c>
      <c r="F1137" t="s">
        <v>2740</v>
      </c>
      <c r="G1137" s="2">
        <v>45492</v>
      </c>
      <c r="H1137" t="s">
        <v>1291</v>
      </c>
      <c r="I1137">
        <v>233.7</v>
      </c>
      <c r="J1137" s="1">
        <v>100000</v>
      </c>
      <c r="K1137" s="1">
        <v>100000</v>
      </c>
    </row>
    <row r="1138" spans="1:11" x14ac:dyDescent="0.25">
      <c r="A1138" t="s">
        <v>1292</v>
      </c>
      <c r="B1138" t="s">
        <v>2737</v>
      </c>
      <c r="C1138" t="s">
        <v>16</v>
      </c>
      <c r="D1138" t="s">
        <v>4466</v>
      </c>
      <c r="E1138" t="s">
        <v>4432</v>
      </c>
      <c r="F1138" t="s">
        <v>2740</v>
      </c>
      <c r="G1138" s="2">
        <v>45492</v>
      </c>
      <c r="H1138" t="s">
        <v>1293</v>
      </c>
      <c r="I1138">
        <v>210.4</v>
      </c>
      <c r="J1138" s="1">
        <v>90000</v>
      </c>
      <c r="K1138" s="1">
        <v>90000</v>
      </c>
    </row>
    <row r="1139" spans="1:11" x14ac:dyDescent="0.25">
      <c r="A1139" t="s">
        <v>1272</v>
      </c>
      <c r="B1139" t="s">
        <v>2713</v>
      </c>
      <c r="C1139" t="s">
        <v>16</v>
      </c>
      <c r="D1139" t="s">
        <v>4465</v>
      </c>
      <c r="E1139" t="s">
        <v>4428</v>
      </c>
      <c r="F1139" t="s">
        <v>2740</v>
      </c>
      <c r="G1139" s="2">
        <v>45493</v>
      </c>
      <c r="H1139" t="s">
        <v>1273</v>
      </c>
      <c r="I1139">
        <v>116.9</v>
      </c>
      <c r="J1139" s="1">
        <v>50000</v>
      </c>
      <c r="K1139" s="1">
        <v>50000</v>
      </c>
    </row>
    <row r="1140" spans="1:11" x14ac:dyDescent="0.25">
      <c r="A1140" t="s">
        <v>1274</v>
      </c>
      <c r="B1140" t="s">
        <v>2712</v>
      </c>
      <c r="C1140" t="s">
        <v>16</v>
      </c>
      <c r="D1140" t="s">
        <v>4461</v>
      </c>
      <c r="E1140" t="s">
        <v>4449</v>
      </c>
      <c r="F1140" t="s">
        <v>2740</v>
      </c>
      <c r="G1140" s="2">
        <v>45493</v>
      </c>
      <c r="H1140" t="s">
        <v>1275</v>
      </c>
      <c r="I1140">
        <v>70.2</v>
      </c>
      <c r="J1140" s="1">
        <v>30000</v>
      </c>
      <c r="K1140" s="1">
        <v>30000</v>
      </c>
    </row>
    <row r="1141" spans="1:11" x14ac:dyDescent="0.25">
      <c r="A1141" t="s">
        <v>1276</v>
      </c>
      <c r="B1141" t="s">
        <v>2718</v>
      </c>
      <c r="C1141" t="s">
        <v>16</v>
      </c>
      <c r="D1141" t="s">
        <v>4466</v>
      </c>
      <c r="E1141" t="s">
        <v>4438</v>
      </c>
      <c r="F1141" t="s">
        <v>2740</v>
      </c>
      <c r="G1141" s="2">
        <v>45493</v>
      </c>
      <c r="H1141" t="s">
        <v>1277</v>
      </c>
      <c r="I1141">
        <v>115.2</v>
      </c>
      <c r="J1141" s="1">
        <v>49300</v>
      </c>
      <c r="K1141" s="1">
        <v>49300</v>
      </c>
    </row>
    <row r="1142" spans="1:11" x14ac:dyDescent="0.25">
      <c r="A1142" t="s">
        <v>1278</v>
      </c>
      <c r="B1142" t="s">
        <v>2702</v>
      </c>
      <c r="C1142" t="s">
        <v>35</v>
      </c>
      <c r="D1142" t="s">
        <v>3305</v>
      </c>
      <c r="E1142" t="s">
        <v>3304</v>
      </c>
      <c r="F1142" t="s">
        <v>2740</v>
      </c>
      <c r="G1142" s="2">
        <v>45493</v>
      </c>
      <c r="H1142" t="s">
        <v>1279</v>
      </c>
      <c r="I1142">
        <v>350.6</v>
      </c>
      <c r="J1142" s="1">
        <v>150000</v>
      </c>
      <c r="K1142" s="1">
        <v>150000</v>
      </c>
    </row>
    <row r="1143" spans="1:11" x14ac:dyDescent="0.25">
      <c r="A1143" t="s">
        <v>1280</v>
      </c>
      <c r="B1143" t="s">
        <v>4463</v>
      </c>
      <c r="C1143" t="s">
        <v>35</v>
      </c>
      <c r="D1143" t="s">
        <v>4464</v>
      </c>
      <c r="E1143" t="s">
        <v>3304</v>
      </c>
      <c r="F1143" t="s">
        <v>2740</v>
      </c>
      <c r="G1143" s="2">
        <v>45493</v>
      </c>
      <c r="H1143" t="s">
        <v>1281</v>
      </c>
      <c r="I1143">
        <v>584.29999999999995</v>
      </c>
      <c r="J1143" s="1">
        <v>250000</v>
      </c>
      <c r="K1143" s="1">
        <v>250000</v>
      </c>
    </row>
    <row r="1144" spans="1:11" x14ac:dyDescent="0.25">
      <c r="A1144" t="s">
        <v>1282</v>
      </c>
      <c r="B1144" t="s">
        <v>2731</v>
      </c>
      <c r="C1144" t="s">
        <v>16</v>
      </c>
      <c r="D1144" t="s">
        <v>4465</v>
      </c>
      <c r="E1144" t="s">
        <v>4460</v>
      </c>
      <c r="F1144" t="s">
        <v>2740</v>
      </c>
      <c r="G1144" s="2">
        <v>45493</v>
      </c>
      <c r="H1144" t="s">
        <v>1283</v>
      </c>
      <c r="I1144">
        <v>584.29999999999995</v>
      </c>
      <c r="J1144" s="1">
        <v>250000</v>
      </c>
      <c r="K1144" s="1">
        <v>250000</v>
      </c>
    </row>
    <row r="1145" spans="1:11" x14ac:dyDescent="0.25">
      <c r="A1145" t="s">
        <v>1266</v>
      </c>
      <c r="B1145" t="s">
        <v>2722</v>
      </c>
      <c r="C1145" t="s">
        <v>16</v>
      </c>
      <c r="D1145" t="s">
        <v>4462</v>
      </c>
      <c r="E1145" t="s">
        <v>4446</v>
      </c>
      <c r="F1145" t="s">
        <v>2740</v>
      </c>
      <c r="G1145" s="2">
        <v>45494</v>
      </c>
      <c r="H1145" t="s">
        <v>1267</v>
      </c>
      <c r="I1145">
        <v>46.7</v>
      </c>
      <c r="J1145" s="1">
        <v>20000</v>
      </c>
      <c r="K1145" s="1">
        <v>20000</v>
      </c>
    </row>
    <row r="1146" spans="1:11" x14ac:dyDescent="0.25">
      <c r="A1146" t="s">
        <v>1268</v>
      </c>
      <c r="B1146" t="s">
        <v>2730</v>
      </c>
      <c r="C1146" t="s">
        <v>42</v>
      </c>
      <c r="D1146" t="s">
        <v>4467</v>
      </c>
      <c r="E1146" t="s">
        <v>4441</v>
      </c>
      <c r="F1146" t="s">
        <v>2740</v>
      </c>
      <c r="G1146" s="2">
        <v>45494</v>
      </c>
      <c r="H1146" t="s">
        <v>1269</v>
      </c>
      <c r="I1146">
        <v>93.5</v>
      </c>
      <c r="J1146" s="1">
        <v>40000</v>
      </c>
      <c r="K1146" s="1">
        <v>40000</v>
      </c>
    </row>
    <row r="1147" spans="1:11" x14ac:dyDescent="0.25">
      <c r="A1147" t="s">
        <v>1270</v>
      </c>
      <c r="B1147" t="s">
        <v>2730</v>
      </c>
      <c r="C1147" t="s">
        <v>42</v>
      </c>
      <c r="D1147" t="s">
        <v>4467</v>
      </c>
      <c r="E1147" t="s">
        <v>4441</v>
      </c>
      <c r="F1147" t="s">
        <v>2740</v>
      </c>
      <c r="G1147" s="2">
        <v>45494</v>
      </c>
      <c r="H1147" t="s">
        <v>1271</v>
      </c>
      <c r="I1147">
        <v>23.4</v>
      </c>
      <c r="J1147" s="1">
        <v>10000</v>
      </c>
      <c r="K1147" s="1">
        <v>10000</v>
      </c>
    </row>
    <row r="1148" spans="1:11" x14ac:dyDescent="0.25">
      <c r="A1148" t="s">
        <v>1258</v>
      </c>
      <c r="B1148" t="s">
        <v>2711</v>
      </c>
      <c r="C1148" t="s">
        <v>16</v>
      </c>
      <c r="D1148" t="s">
        <v>4461</v>
      </c>
      <c r="E1148" t="s">
        <v>4447</v>
      </c>
      <c r="F1148" t="s">
        <v>2740</v>
      </c>
      <c r="G1148" s="2">
        <v>45495</v>
      </c>
      <c r="H1148" t="s">
        <v>1259</v>
      </c>
      <c r="I1148">
        <v>116.9</v>
      </c>
      <c r="J1148" s="1">
        <v>50000</v>
      </c>
      <c r="K1148" s="1">
        <v>50000</v>
      </c>
    </row>
    <row r="1149" spans="1:11" x14ac:dyDescent="0.25">
      <c r="A1149" t="s">
        <v>1260</v>
      </c>
      <c r="B1149" t="s">
        <v>2716</v>
      </c>
      <c r="C1149" t="s">
        <v>16</v>
      </c>
      <c r="D1149" t="s">
        <v>4462</v>
      </c>
      <c r="E1149" t="s">
        <v>4458</v>
      </c>
      <c r="F1149" t="s">
        <v>2740</v>
      </c>
      <c r="G1149" s="2">
        <v>45495</v>
      </c>
      <c r="H1149" t="s">
        <v>1261</v>
      </c>
      <c r="I1149">
        <v>46.8</v>
      </c>
      <c r="J1149" s="1">
        <v>20000</v>
      </c>
      <c r="K1149" s="1">
        <v>20000</v>
      </c>
    </row>
    <row r="1150" spans="1:11" x14ac:dyDescent="0.25">
      <c r="A1150" t="s">
        <v>1262</v>
      </c>
      <c r="B1150" t="s">
        <v>66</v>
      </c>
      <c r="C1150" t="s">
        <v>35</v>
      </c>
      <c r="D1150" t="s">
        <v>4466</v>
      </c>
      <c r="E1150" t="s">
        <v>3304</v>
      </c>
      <c r="F1150" t="s">
        <v>2740</v>
      </c>
      <c r="G1150" s="2">
        <v>45495</v>
      </c>
      <c r="H1150" t="s">
        <v>1263</v>
      </c>
      <c r="I1150">
        <v>350.6</v>
      </c>
      <c r="J1150" s="1">
        <v>150000</v>
      </c>
      <c r="K1150" s="1">
        <v>150000</v>
      </c>
    </row>
    <row r="1151" spans="1:11" x14ac:dyDescent="0.25">
      <c r="A1151" t="s">
        <v>1264</v>
      </c>
      <c r="B1151" t="s">
        <v>2735</v>
      </c>
      <c r="C1151" t="s">
        <v>16</v>
      </c>
      <c r="D1151" t="s">
        <v>4462</v>
      </c>
      <c r="E1151" t="s">
        <v>4426</v>
      </c>
      <c r="F1151" t="s">
        <v>2740</v>
      </c>
      <c r="G1151" s="2">
        <v>45495</v>
      </c>
      <c r="H1151" t="s">
        <v>1265</v>
      </c>
      <c r="I1151">
        <v>103.3</v>
      </c>
      <c r="J1151" s="1">
        <v>44200</v>
      </c>
      <c r="K1151" s="1">
        <v>44200</v>
      </c>
    </row>
    <row r="1152" spans="1:11" x14ac:dyDescent="0.25">
      <c r="A1152" t="s">
        <v>1254</v>
      </c>
      <c r="B1152" t="s">
        <v>2701</v>
      </c>
      <c r="C1152" t="s">
        <v>16</v>
      </c>
      <c r="D1152" t="s">
        <v>4466</v>
      </c>
      <c r="E1152" t="s">
        <v>4453</v>
      </c>
      <c r="F1152" t="s">
        <v>2740</v>
      </c>
      <c r="G1152" s="2">
        <v>45496</v>
      </c>
      <c r="H1152" t="s">
        <v>1255</v>
      </c>
      <c r="I1152">
        <v>46.5</v>
      </c>
      <c r="J1152" s="1">
        <v>19900</v>
      </c>
      <c r="K1152" s="1">
        <v>19900</v>
      </c>
    </row>
    <row r="1153" spans="1:11" x14ac:dyDescent="0.25">
      <c r="A1153" t="s">
        <v>1256</v>
      </c>
      <c r="B1153" t="s">
        <v>2732</v>
      </c>
      <c r="C1153" t="s">
        <v>16</v>
      </c>
      <c r="D1153" t="s">
        <v>4461</v>
      </c>
      <c r="E1153" t="s">
        <v>4444</v>
      </c>
      <c r="F1153" t="s">
        <v>2740</v>
      </c>
      <c r="G1153" s="2">
        <v>45496</v>
      </c>
      <c r="H1153" t="s">
        <v>1257</v>
      </c>
      <c r="I1153">
        <v>70.099999999999994</v>
      </c>
      <c r="J1153" s="1">
        <v>30000</v>
      </c>
      <c r="K1153" s="1">
        <v>30000</v>
      </c>
    </row>
    <row r="1154" spans="1:11" x14ac:dyDescent="0.25">
      <c r="A1154" t="s">
        <v>1250</v>
      </c>
      <c r="B1154" t="s">
        <v>2700</v>
      </c>
      <c r="C1154" t="s">
        <v>27</v>
      </c>
      <c r="D1154" t="s">
        <v>4466</v>
      </c>
      <c r="E1154" t="s">
        <v>4450</v>
      </c>
      <c r="F1154" t="s">
        <v>2740</v>
      </c>
      <c r="G1154" s="2">
        <v>45497</v>
      </c>
      <c r="H1154" t="s">
        <v>1251</v>
      </c>
      <c r="I1154">
        <v>233.8</v>
      </c>
      <c r="J1154" s="1">
        <v>100000</v>
      </c>
      <c r="K1154" s="1">
        <v>100000</v>
      </c>
    </row>
    <row r="1155" spans="1:11" x14ac:dyDescent="0.25">
      <c r="A1155" t="s">
        <v>1252</v>
      </c>
      <c r="B1155" t="s">
        <v>2699</v>
      </c>
      <c r="C1155" t="s">
        <v>16</v>
      </c>
      <c r="D1155" t="s">
        <v>4462</v>
      </c>
      <c r="E1155" t="s">
        <v>4440</v>
      </c>
      <c r="F1155" t="s">
        <v>2740</v>
      </c>
      <c r="G1155" s="2">
        <v>45497</v>
      </c>
      <c r="H1155" t="s">
        <v>1253</v>
      </c>
      <c r="I1155">
        <v>81.8</v>
      </c>
      <c r="J1155" s="1">
        <v>35000</v>
      </c>
      <c r="K1155" s="1">
        <v>35000</v>
      </c>
    </row>
    <row r="1156" spans="1:11" x14ac:dyDescent="0.25">
      <c r="A1156" t="s">
        <v>1246</v>
      </c>
      <c r="B1156" t="s">
        <v>2709</v>
      </c>
      <c r="C1156" t="s">
        <v>42</v>
      </c>
      <c r="D1156" t="s">
        <v>4467</v>
      </c>
      <c r="E1156" t="s">
        <v>4456</v>
      </c>
      <c r="F1156" t="s">
        <v>2740</v>
      </c>
      <c r="G1156" s="2">
        <v>45498</v>
      </c>
      <c r="H1156" t="s">
        <v>1247</v>
      </c>
      <c r="I1156">
        <v>81.8</v>
      </c>
      <c r="J1156" s="1">
        <v>35000</v>
      </c>
      <c r="K1156" s="1">
        <v>35000</v>
      </c>
    </row>
    <row r="1157" spans="1:11" x14ac:dyDescent="0.25">
      <c r="A1157" t="s">
        <v>1248</v>
      </c>
      <c r="B1157" t="s">
        <v>2722</v>
      </c>
      <c r="C1157" t="s">
        <v>16</v>
      </c>
      <c r="D1157" t="s">
        <v>4462</v>
      </c>
      <c r="E1157" t="s">
        <v>4446</v>
      </c>
      <c r="F1157" t="s">
        <v>2740</v>
      </c>
      <c r="G1157" s="2">
        <v>45498</v>
      </c>
      <c r="H1157" t="s">
        <v>1249</v>
      </c>
      <c r="I1157">
        <v>116.9</v>
      </c>
      <c r="J1157" s="1">
        <v>50000</v>
      </c>
      <c r="K1157" s="1">
        <v>50000</v>
      </c>
    </row>
    <row r="1158" spans="1:11" x14ac:dyDescent="0.25">
      <c r="A1158" t="s">
        <v>1238</v>
      </c>
      <c r="B1158" t="s">
        <v>2730</v>
      </c>
      <c r="C1158" t="s">
        <v>42</v>
      </c>
      <c r="D1158" t="s">
        <v>4467</v>
      </c>
      <c r="E1158" t="s">
        <v>4441</v>
      </c>
      <c r="F1158" t="s">
        <v>2740</v>
      </c>
      <c r="G1158" s="2">
        <v>45499</v>
      </c>
      <c r="H1158" t="s">
        <v>1239</v>
      </c>
      <c r="I1158">
        <v>233.7</v>
      </c>
      <c r="J1158" s="1">
        <v>100000</v>
      </c>
      <c r="K1158" s="1">
        <v>100000</v>
      </c>
    </row>
    <row r="1159" spans="1:11" x14ac:dyDescent="0.25">
      <c r="A1159" t="s">
        <v>1240</v>
      </c>
      <c r="B1159" t="s">
        <v>2708</v>
      </c>
      <c r="C1159" t="s">
        <v>16</v>
      </c>
      <c r="D1159" t="s">
        <v>4466</v>
      </c>
      <c r="E1159" t="s">
        <v>4457</v>
      </c>
      <c r="F1159" t="s">
        <v>2740</v>
      </c>
      <c r="G1159" s="2">
        <v>45499</v>
      </c>
      <c r="H1159" t="s">
        <v>1241</v>
      </c>
      <c r="I1159">
        <v>116.9</v>
      </c>
      <c r="J1159" s="1">
        <v>50000</v>
      </c>
      <c r="K1159" s="1">
        <v>50000</v>
      </c>
    </row>
    <row r="1160" spans="1:11" x14ac:dyDescent="0.25">
      <c r="A1160" t="s">
        <v>1242</v>
      </c>
      <c r="B1160" t="s">
        <v>2719</v>
      </c>
      <c r="C1160" t="s">
        <v>16</v>
      </c>
      <c r="D1160" t="s">
        <v>4466</v>
      </c>
      <c r="E1160" t="s">
        <v>4430</v>
      </c>
      <c r="F1160" t="s">
        <v>2740</v>
      </c>
      <c r="G1160" s="2">
        <v>45499</v>
      </c>
      <c r="H1160" t="s">
        <v>1243</v>
      </c>
      <c r="I1160">
        <v>116.9</v>
      </c>
      <c r="J1160" s="1">
        <v>50000</v>
      </c>
      <c r="K1160" s="1">
        <v>50000</v>
      </c>
    </row>
    <row r="1161" spans="1:11" x14ac:dyDescent="0.25">
      <c r="A1161" t="s">
        <v>1244</v>
      </c>
      <c r="B1161" t="s">
        <v>2705</v>
      </c>
      <c r="C1161" t="s">
        <v>42</v>
      </c>
      <c r="D1161" t="s">
        <v>4467</v>
      </c>
      <c r="E1161" t="s">
        <v>4435</v>
      </c>
      <c r="F1161" t="s">
        <v>2740</v>
      </c>
      <c r="G1161" s="2">
        <v>45499</v>
      </c>
      <c r="H1161" t="s">
        <v>1245</v>
      </c>
      <c r="I1161">
        <v>233.7</v>
      </c>
      <c r="J1161" s="1">
        <v>100000</v>
      </c>
      <c r="K1161" s="1">
        <v>100000</v>
      </c>
    </row>
    <row r="1162" spans="1:11" x14ac:dyDescent="0.25">
      <c r="A1162" t="s">
        <v>1220</v>
      </c>
      <c r="B1162" t="s">
        <v>2698</v>
      </c>
      <c r="C1162" t="s">
        <v>16</v>
      </c>
      <c r="D1162" t="s">
        <v>4465</v>
      </c>
      <c r="E1162" t="s">
        <v>4442</v>
      </c>
      <c r="F1162" t="s">
        <v>2740</v>
      </c>
      <c r="G1162" s="2">
        <v>45500</v>
      </c>
      <c r="H1162" t="s">
        <v>1221</v>
      </c>
      <c r="I1162">
        <v>46.7</v>
      </c>
      <c r="J1162" s="1">
        <v>20000</v>
      </c>
      <c r="K1162" s="1">
        <v>20000</v>
      </c>
    </row>
    <row r="1163" spans="1:11" x14ac:dyDescent="0.25">
      <c r="A1163" t="s">
        <v>1222</v>
      </c>
      <c r="B1163" t="s">
        <v>2729</v>
      </c>
      <c r="C1163" t="s">
        <v>16</v>
      </c>
      <c r="D1163" t="s">
        <v>4465</v>
      </c>
      <c r="E1163" t="s">
        <v>4427</v>
      </c>
      <c r="F1163" t="s">
        <v>2740</v>
      </c>
      <c r="G1163" s="2">
        <v>45500</v>
      </c>
      <c r="H1163" t="s">
        <v>1223</v>
      </c>
      <c r="I1163">
        <v>233.5</v>
      </c>
      <c r="J1163" s="1">
        <v>99900</v>
      </c>
      <c r="K1163" s="1">
        <v>99900</v>
      </c>
    </row>
    <row r="1164" spans="1:11" x14ac:dyDescent="0.25">
      <c r="A1164" t="s">
        <v>1224</v>
      </c>
      <c r="B1164" t="s">
        <v>133</v>
      </c>
      <c r="C1164" t="s">
        <v>35</v>
      </c>
      <c r="D1164" t="s">
        <v>4461</v>
      </c>
      <c r="E1164" t="s">
        <v>3304</v>
      </c>
      <c r="F1164" t="s">
        <v>2740</v>
      </c>
      <c r="G1164" s="2">
        <v>45500</v>
      </c>
      <c r="H1164" t="s">
        <v>1225</v>
      </c>
      <c r="I1164">
        <v>116.9</v>
      </c>
      <c r="J1164" s="1">
        <v>50000</v>
      </c>
      <c r="K1164" s="1">
        <v>50000</v>
      </c>
    </row>
    <row r="1165" spans="1:11" x14ac:dyDescent="0.25">
      <c r="A1165" t="s">
        <v>1226</v>
      </c>
      <c r="B1165" t="s">
        <v>93</v>
      </c>
      <c r="C1165" t="s">
        <v>35</v>
      </c>
      <c r="D1165" t="s">
        <v>4465</v>
      </c>
      <c r="E1165" t="s">
        <v>3304</v>
      </c>
      <c r="F1165" t="s">
        <v>2740</v>
      </c>
      <c r="G1165" s="2">
        <v>45500</v>
      </c>
      <c r="H1165" t="s">
        <v>1227</v>
      </c>
      <c r="I1165">
        <v>116.8</v>
      </c>
      <c r="J1165" s="1">
        <v>50000</v>
      </c>
      <c r="K1165" s="1">
        <v>50000</v>
      </c>
    </row>
    <row r="1166" spans="1:11" x14ac:dyDescent="0.25">
      <c r="A1166" t="s">
        <v>1228</v>
      </c>
      <c r="B1166" t="s">
        <v>136</v>
      </c>
      <c r="C1166" t="s">
        <v>35</v>
      </c>
      <c r="D1166" t="s">
        <v>4462</v>
      </c>
      <c r="E1166" t="s">
        <v>3304</v>
      </c>
      <c r="F1166" t="s">
        <v>2740</v>
      </c>
      <c r="G1166" s="2">
        <v>45500</v>
      </c>
      <c r="H1166" t="s">
        <v>1229</v>
      </c>
      <c r="I1166">
        <v>116.8</v>
      </c>
      <c r="J1166" s="1">
        <v>50000</v>
      </c>
      <c r="K1166" s="1">
        <v>50000</v>
      </c>
    </row>
    <row r="1167" spans="1:11" x14ac:dyDescent="0.25">
      <c r="A1167" t="s">
        <v>1230</v>
      </c>
      <c r="B1167" t="s">
        <v>66</v>
      </c>
      <c r="C1167" t="s">
        <v>35</v>
      </c>
      <c r="D1167" t="s">
        <v>4466</v>
      </c>
      <c r="E1167" t="s">
        <v>3304</v>
      </c>
      <c r="F1167" t="s">
        <v>2740</v>
      </c>
      <c r="G1167" s="2">
        <v>45500</v>
      </c>
      <c r="H1167" t="s">
        <v>1231</v>
      </c>
      <c r="I1167">
        <v>233.7</v>
      </c>
      <c r="J1167" s="1">
        <v>100000</v>
      </c>
      <c r="K1167" s="1">
        <v>100000</v>
      </c>
    </row>
    <row r="1168" spans="1:11" x14ac:dyDescent="0.25">
      <c r="A1168" t="s">
        <v>1232</v>
      </c>
      <c r="B1168" t="s">
        <v>2727</v>
      </c>
      <c r="C1168" t="s">
        <v>16</v>
      </c>
      <c r="D1168" t="s">
        <v>4465</v>
      </c>
      <c r="E1168" t="s">
        <v>4445</v>
      </c>
      <c r="F1168" t="s">
        <v>2740</v>
      </c>
      <c r="G1168" s="2">
        <v>45500</v>
      </c>
      <c r="H1168" t="s">
        <v>1233</v>
      </c>
      <c r="I1168">
        <v>93.5</v>
      </c>
      <c r="J1168" s="1">
        <v>40000</v>
      </c>
      <c r="K1168" s="1">
        <v>40000</v>
      </c>
    </row>
    <row r="1169" spans="1:11" x14ac:dyDescent="0.25">
      <c r="A1169" t="s">
        <v>1234</v>
      </c>
      <c r="B1169" t="s">
        <v>2732</v>
      </c>
      <c r="C1169" t="s">
        <v>16</v>
      </c>
      <c r="D1169" t="s">
        <v>4461</v>
      </c>
      <c r="E1169" t="s">
        <v>4444</v>
      </c>
      <c r="F1169" t="s">
        <v>2740</v>
      </c>
      <c r="G1169" s="2">
        <v>45500</v>
      </c>
      <c r="H1169" t="s">
        <v>1235</v>
      </c>
      <c r="I1169">
        <v>186.9</v>
      </c>
      <c r="J1169" s="1">
        <v>80000</v>
      </c>
      <c r="K1169" s="1">
        <v>80000</v>
      </c>
    </row>
    <row r="1170" spans="1:11" x14ac:dyDescent="0.25">
      <c r="A1170" t="s">
        <v>1236</v>
      </c>
      <c r="B1170" t="s">
        <v>2724</v>
      </c>
      <c r="C1170" t="s">
        <v>16</v>
      </c>
      <c r="D1170" t="s">
        <v>4462</v>
      </c>
      <c r="E1170" t="s">
        <v>4451</v>
      </c>
      <c r="F1170" t="s">
        <v>2740</v>
      </c>
      <c r="G1170" s="2">
        <v>45500</v>
      </c>
      <c r="H1170" t="s">
        <v>1237</v>
      </c>
      <c r="I1170">
        <v>46.7</v>
      </c>
      <c r="J1170" s="1">
        <v>20000</v>
      </c>
      <c r="K1170" s="1">
        <v>20000</v>
      </c>
    </row>
    <row r="1171" spans="1:11" x14ac:dyDescent="0.25">
      <c r="A1171" t="s">
        <v>1211</v>
      </c>
      <c r="B1171" t="s">
        <v>2718</v>
      </c>
      <c r="C1171" t="s">
        <v>16</v>
      </c>
      <c r="D1171" t="s">
        <v>4466</v>
      </c>
      <c r="E1171" t="s">
        <v>4438</v>
      </c>
      <c r="F1171" t="s">
        <v>2740</v>
      </c>
      <c r="G1171" s="2">
        <v>45502</v>
      </c>
      <c r="H1171" t="s">
        <v>1212</v>
      </c>
      <c r="I1171">
        <v>116.9</v>
      </c>
      <c r="J1171" s="1">
        <v>50000</v>
      </c>
      <c r="K1171" s="1">
        <v>50000</v>
      </c>
    </row>
    <row r="1172" spans="1:11" x14ac:dyDescent="0.25">
      <c r="A1172" t="s">
        <v>1213</v>
      </c>
      <c r="B1172" t="s">
        <v>2712</v>
      </c>
      <c r="C1172" t="s">
        <v>16</v>
      </c>
      <c r="D1172" t="s">
        <v>4461</v>
      </c>
      <c r="E1172" t="s">
        <v>4449</v>
      </c>
      <c r="F1172" t="s">
        <v>2740</v>
      </c>
      <c r="G1172" s="2">
        <v>45502</v>
      </c>
      <c r="H1172" t="s">
        <v>1214</v>
      </c>
      <c r="I1172">
        <v>233.7</v>
      </c>
      <c r="J1172" s="1">
        <v>100000</v>
      </c>
      <c r="K1172" s="1">
        <v>100000</v>
      </c>
    </row>
    <row r="1173" spans="1:11" x14ac:dyDescent="0.25">
      <c r="A1173" t="s">
        <v>1215</v>
      </c>
      <c r="B1173" t="s">
        <v>2701</v>
      </c>
      <c r="C1173" t="s">
        <v>16</v>
      </c>
      <c r="D1173" t="s">
        <v>4466</v>
      </c>
      <c r="E1173" t="s">
        <v>4453</v>
      </c>
      <c r="F1173" t="s">
        <v>2740</v>
      </c>
      <c r="G1173" s="2">
        <v>45502</v>
      </c>
      <c r="H1173" t="s">
        <v>1216</v>
      </c>
      <c r="I1173">
        <v>28.1</v>
      </c>
      <c r="J1173" s="1">
        <v>12000</v>
      </c>
      <c r="K1173" s="1">
        <v>12000</v>
      </c>
    </row>
    <row r="1174" spans="1:11" x14ac:dyDescent="0.25">
      <c r="A1174" t="s">
        <v>1217</v>
      </c>
      <c r="B1174" t="s">
        <v>2716</v>
      </c>
      <c r="C1174" t="s">
        <v>16</v>
      </c>
      <c r="D1174" t="s">
        <v>4462</v>
      </c>
      <c r="E1174" t="s">
        <v>4458</v>
      </c>
      <c r="F1174" t="s">
        <v>2740</v>
      </c>
      <c r="G1174" s="2">
        <v>45502</v>
      </c>
      <c r="H1174" t="s">
        <v>1218</v>
      </c>
      <c r="I1174">
        <v>186.9</v>
      </c>
      <c r="J1174" s="1">
        <v>80000</v>
      </c>
      <c r="K1174" s="1">
        <v>80000</v>
      </c>
    </row>
    <row r="1175" spans="1:11" x14ac:dyDescent="0.25">
      <c r="A1175" t="s">
        <v>1206</v>
      </c>
      <c r="B1175" t="s">
        <v>66</v>
      </c>
      <c r="C1175" t="s">
        <v>35</v>
      </c>
      <c r="D1175" t="s">
        <v>4466</v>
      </c>
      <c r="E1175" t="s">
        <v>3304</v>
      </c>
      <c r="F1175" t="s">
        <v>2740</v>
      </c>
      <c r="G1175" s="2">
        <v>45503</v>
      </c>
      <c r="H1175" t="s">
        <v>1207</v>
      </c>
      <c r="I1175">
        <v>116.9</v>
      </c>
      <c r="J1175" s="1">
        <v>50000</v>
      </c>
      <c r="K1175" s="1">
        <v>50000</v>
      </c>
    </row>
    <row r="1176" spans="1:11" x14ac:dyDescent="0.25">
      <c r="A1176" t="s">
        <v>1208</v>
      </c>
      <c r="B1176" t="s">
        <v>2722</v>
      </c>
      <c r="C1176" t="s">
        <v>16</v>
      </c>
      <c r="D1176" t="s">
        <v>4462</v>
      </c>
      <c r="E1176" t="s">
        <v>4446</v>
      </c>
      <c r="F1176" t="s">
        <v>2740</v>
      </c>
      <c r="G1176" s="2">
        <v>45503</v>
      </c>
      <c r="H1176" t="s">
        <v>1209</v>
      </c>
      <c r="I1176">
        <v>467.4</v>
      </c>
      <c r="J1176" s="1">
        <v>200000</v>
      </c>
      <c r="K1176" s="1">
        <v>200000</v>
      </c>
    </row>
    <row r="1177" spans="1:11" x14ac:dyDescent="0.25">
      <c r="A1177" t="s">
        <v>1191</v>
      </c>
      <c r="B1177" t="s">
        <v>2701</v>
      </c>
      <c r="C1177" t="s">
        <v>16</v>
      </c>
      <c r="D1177" t="s">
        <v>4466</v>
      </c>
      <c r="E1177" t="s">
        <v>4453</v>
      </c>
      <c r="F1177" t="s">
        <v>2740</v>
      </c>
      <c r="G1177" s="2">
        <v>45504</v>
      </c>
      <c r="H1177" t="s">
        <v>1192</v>
      </c>
      <c r="I1177">
        <v>28</v>
      </c>
      <c r="J1177" s="1">
        <v>12000</v>
      </c>
      <c r="K1177" s="1">
        <v>12000</v>
      </c>
    </row>
    <row r="1178" spans="1:11" x14ac:dyDescent="0.25">
      <c r="A1178" t="s">
        <v>1193</v>
      </c>
      <c r="B1178" t="s">
        <v>2713</v>
      </c>
      <c r="C1178" t="s">
        <v>16</v>
      </c>
      <c r="D1178" t="s">
        <v>4465</v>
      </c>
      <c r="E1178" t="s">
        <v>4428</v>
      </c>
      <c r="F1178" t="s">
        <v>2740</v>
      </c>
      <c r="G1178" s="2">
        <v>45504</v>
      </c>
      <c r="H1178" t="s">
        <v>1194</v>
      </c>
      <c r="I1178">
        <v>116.8</v>
      </c>
      <c r="J1178" s="1">
        <v>50000</v>
      </c>
      <c r="K1178" s="1">
        <v>50000</v>
      </c>
    </row>
    <row r="1179" spans="1:11" x14ac:dyDescent="0.25">
      <c r="A1179" t="s">
        <v>1195</v>
      </c>
      <c r="B1179" t="s">
        <v>2699</v>
      </c>
      <c r="C1179" t="s">
        <v>16</v>
      </c>
      <c r="D1179" t="s">
        <v>4462</v>
      </c>
      <c r="E1179" t="s">
        <v>4440</v>
      </c>
      <c r="F1179" t="s">
        <v>2740</v>
      </c>
      <c r="G1179" s="2">
        <v>45504</v>
      </c>
      <c r="H1179" t="s">
        <v>1196</v>
      </c>
      <c r="I1179">
        <v>140.19999999999999</v>
      </c>
      <c r="J1179" s="1">
        <v>60000</v>
      </c>
      <c r="K1179" s="1">
        <v>60000</v>
      </c>
    </row>
    <row r="1180" spans="1:11" x14ac:dyDescent="0.25">
      <c r="A1180" t="s">
        <v>1197</v>
      </c>
      <c r="B1180" t="s">
        <v>2701</v>
      </c>
      <c r="C1180" t="s">
        <v>16</v>
      </c>
      <c r="D1180" t="s">
        <v>4466</v>
      </c>
      <c r="E1180" t="s">
        <v>4453</v>
      </c>
      <c r="F1180" t="s">
        <v>2740</v>
      </c>
      <c r="G1180" s="2">
        <v>45504</v>
      </c>
      <c r="H1180" t="s">
        <v>1198</v>
      </c>
      <c r="I1180">
        <v>70.099999999999994</v>
      </c>
      <c r="J1180" s="1">
        <v>30000</v>
      </c>
      <c r="K1180" s="1">
        <v>30000</v>
      </c>
    </row>
    <row r="1181" spans="1:11" x14ac:dyDescent="0.25">
      <c r="A1181" t="s">
        <v>1199</v>
      </c>
      <c r="B1181" t="s">
        <v>4463</v>
      </c>
      <c r="C1181" t="s">
        <v>35</v>
      </c>
      <c r="D1181" t="s">
        <v>4464</v>
      </c>
      <c r="E1181" t="s">
        <v>3304</v>
      </c>
      <c r="F1181" t="s">
        <v>2740</v>
      </c>
      <c r="G1181" s="2">
        <v>45504</v>
      </c>
      <c r="H1181" t="s">
        <v>1200</v>
      </c>
      <c r="I1181">
        <v>116.8</v>
      </c>
      <c r="J1181" s="1">
        <v>50000</v>
      </c>
      <c r="K1181" s="1">
        <v>50000</v>
      </c>
    </row>
    <row r="1182" spans="1:11" x14ac:dyDescent="0.25">
      <c r="A1182" t="s">
        <v>1201</v>
      </c>
      <c r="B1182" t="s">
        <v>66</v>
      </c>
      <c r="C1182" t="s">
        <v>35</v>
      </c>
      <c r="D1182" t="s">
        <v>4466</v>
      </c>
      <c r="E1182" t="s">
        <v>3304</v>
      </c>
      <c r="F1182" t="s">
        <v>2740</v>
      </c>
      <c r="G1182" s="2">
        <v>45504</v>
      </c>
      <c r="H1182" t="s">
        <v>1202</v>
      </c>
      <c r="I1182">
        <v>233.7</v>
      </c>
      <c r="J1182" s="1">
        <v>100000</v>
      </c>
      <c r="K1182" s="1">
        <v>100000</v>
      </c>
    </row>
    <row r="1183" spans="1:11" x14ac:dyDescent="0.25">
      <c r="A1183" t="s">
        <v>1203</v>
      </c>
      <c r="B1183" t="s">
        <v>2698</v>
      </c>
      <c r="C1183" t="s">
        <v>16</v>
      </c>
      <c r="D1183" t="s">
        <v>4465</v>
      </c>
      <c r="E1183" t="s">
        <v>4442</v>
      </c>
      <c r="F1183" t="s">
        <v>2740</v>
      </c>
      <c r="G1183" s="2">
        <v>45504</v>
      </c>
      <c r="H1183" t="s">
        <v>1204</v>
      </c>
      <c r="I1183">
        <v>23.4</v>
      </c>
      <c r="J1183" s="1">
        <v>10000</v>
      </c>
      <c r="K1183" s="1">
        <v>10000</v>
      </c>
    </row>
    <row r="1184" spans="1:11" x14ac:dyDescent="0.25">
      <c r="A1184" t="s">
        <v>1188</v>
      </c>
      <c r="B1184" t="s">
        <v>2707</v>
      </c>
      <c r="C1184" t="s">
        <v>16</v>
      </c>
      <c r="D1184" t="s">
        <v>4462</v>
      </c>
      <c r="E1184" t="s">
        <v>4433</v>
      </c>
      <c r="F1184" t="s">
        <v>2740</v>
      </c>
      <c r="G1184" s="2">
        <v>45505</v>
      </c>
      <c r="H1184" t="s">
        <v>1189</v>
      </c>
      <c r="I1184">
        <v>338.9</v>
      </c>
      <c r="J1184" s="1">
        <v>145000</v>
      </c>
      <c r="K1184" s="1">
        <v>145000</v>
      </c>
    </row>
    <row r="1185" spans="1:11" x14ac:dyDescent="0.25">
      <c r="A1185" t="s">
        <v>1179</v>
      </c>
      <c r="B1185" t="s">
        <v>2735</v>
      </c>
      <c r="C1185" t="s">
        <v>16</v>
      </c>
      <c r="D1185" t="s">
        <v>4462</v>
      </c>
      <c r="E1185" t="s">
        <v>4426</v>
      </c>
      <c r="F1185" t="s">
        <v>2740</v>
      </c>
      <c r="G1185" s="2">
        <v>45506</v>
      </c>
      <c r="H1185" t="s">
        <v>1180</v>
      </c>
      <c r="I1185">
        <v>57.9</v>
      </c>
      <c r="J1185" s="1">
        <v>24800</v>
      </c>
      <c r="K1185" s="1">
        <v>24800</v>
      </c>
    </row>
    <row r="1186" spans="1:11" x14ac:dyDescent="0.25">
      <c r="A1186" t="s">
        <v>1183</v>
      </c>
      <c r="B1186" t="s">
        <v>2698</v>
      </c>
      <c r="C1186" t="s">
        <v>16</v>
      </c>
      <c r="D1186" t="s">
        <v>4465</v>
      </c>
      <c r="E1186" t="s">
        <v>4442</v>
      </c>
      <c r="F1186" t="s">
        <v>2740</v>
      </c>
      <c r="G1186" s="2">
        <v>45506</v>
      </c>
      <c r="H1186" t="s">
        <v>1184</v>
      </c>
      <c r="I1186">
        <v>46.7</v>
      </c>
      <c r="J1186" s="1">
        <v>20000</v>
      </c>
      <c r="K1186" s="1">
        <v>20000</v>
      </c>
    </row>
    <row r="1187" spans="1:11" x14ac:dyDescent="0.25">
      <c r="A1187" t="s">
        <v>1186</v>
      </c>
      <c r="B1187" t="s">
        <v>2709</v>
      </c>
      <c r="C1187" t="s">
        <v>42</v>
      </c>
      <c r="D1187" t="s">
        <v>4467</v>
      </c>
      <c r="E1187" t="s">
        <v>4456</v>
      </c>
      <c r="F1187" t="s">
        <v>2740</v>
      </c>
      <c r="G1187" s="2">
        <v>45506</v>
      </c>
      <c r="H1187" t="s">
        <v>1187</v>
      </c>
      <c r="I1187">
        <v>257.10000000000002</v>
      </c>
      <c r="J1187" s="1">
        <v>110000</v>
      </c>
      <c r="K1187" s="1">
        <v>110000</v>
      </c>
    </row>
    <row r="1188" spans="1:11" x14ac:dyDescent="0.25">
      <c r="A1188" t="s">
        <v>1160</v>
      </c>
      <c r="B1188" t="s">
        <v>2705</v>
      </c>
      <c r="C1188" t="s">
        <v>42</v>
      </c>
      <c r="D1188" t="s">
        <v>4467</v>
      </c>
      <c r="E1188" t="s">
        <v>4435</v>
      </c>
      <c r="F1188" t="s">
        <v>2740</v>
      </c>
      <c r="G1188" s="2">
        <v>45507</v>
      </c>
      <c r="H1188" t="s">
        <v>1161</v>
      </c>
      <c r="I1188">
        <v>233.7</v>
      </c>
      <c r="J1188" s="1">
        <v>100000</v>
      </c>
      <c r="K1188" s="1">
        <v>100000</v>
      </c>
    </row>
    <row r="1189" spans="1:11" x14ac:dyDescent="0.25">
      <c r="A1189" t="s">
        <v>1162</v>
      </c>
      <c r="B1189" t="s">
        <v>2733</v>
      </c>
      <c r="C1189" t="s">
        <v>16</v>
      </c>
      <c r="D1189" t="s">
        <v>4465</v>
      </c>
      <c r="E1189" t="s">
        <v>4448</v>
      </c>
      <c r="F1189" t="s">
        <v>2740</v>
      </c>
      <c r="G1189" s="2">
        <v>45507</v>
      </c>
      <c r="H1189" t="s">
        <v>1163</v>
      </c>
      <c r="I1189">
        <v>186.9</v>
      </c>
      <c r="J1189" s="1">
        <v>80000</v>
      </c>
      <c r="K1189" s="1">
        <v>80000</v>
      </c>
    </row>
    <row r="1190" spans="1:11" x14ac:dyDescent="0.25">
      <c r="A1190" t="s">
        <v>1164</v>
      </c>
      <c r="B1190" t="s">
        <v>2719</v>
      </c>
      <c r="C1190" t="s">
        <v>16</v>
      </c>
      <c r="D1190" t="s">
        <v>4466</v>
      </c>
      <c r="E1190" t="s">
        <v>4430</v>
      </c>
      <c r="F1190" t="s">
        <v>2740</v>
      </c>
      <c r="G1190" s="2">
        <v>45507</v>
      </c>
      <c r="H1190" t="s">
        <v>1165</v>
      </c>
      <c r="I1190">
        <v>116.8</v>
      </c>
      <c r="J1190" s="1">
        <v>50000</v>
      </c>
      <c r="K1190" s="1">
        <v>50000</v>
      </c>
    </row>
    <row r="1191" spans="1:11" x14ac:dyDescent="0.25">
      <c r="A1191" t="s">
        <v>1166</v>
      </c>
      <c r="B1191" t="s">
        <v>133</v>
      </c>
      <c r="C1191" t="s">
        <v>35</v>
      </c>
      <c r="D1191" t="s">
        <v>4461</v>
      </c>
      <c r="E1191" t="s">
        <v>3304</v>
      </c>
      <c r="F1191" t="s">
        <v>2740</v>
      </c>
      <c r="G1191" s="2">
        <v>45507</v>
      </c>
      <c r="H1191" t="s">
        <v>1167</v>
      </c>
      <c r="I1191">
        <v>116.8</v>
      </c>
      <c r="J1191" s="1">
        <v>50000</v>
      </c>
      <c r="K1191" s="1">
        <v>50000</v>
      </c>
    </row>
    <row r="1192" spans="1:11" x14ac:dyDescent="0.25">
      <c r="A1192" t="s">
        <v>1168</v>
      </c>
      <c r="B1192" t="s">
        <v>93</v>
      </c>
      <c r="C1192" t="s">
        <v>35</v>
      </c>
      <c r="D1192" t="s">
        <v>4465</v>
      </c>
      <c r="E1192" t="s">
        <v>3304</v>
      </c>
      <c r="F1192" t="s">
        <v>2740</v>
      </c>
      <c r="G1192" s="2">
        <v>45507</v>
      </c>
      <c r="H1192" t="s">
        <v>1169</v>
      </c>
      <c r="I1192">
        <v>116.9</v>
      </c>
      <c r="J1192" s="1">
        <v>50000</v>
      </c>
      <c r="K1192" s="1">
        <v>50000</v>
      </c>
    </row>
    <row r="1193" spans="1:11" x14ac:dyDescent="0.25">
      <c r="A1193" t="s">
        <v>1170</v>
      </c>
      <c r="B1193" t="s">
        <v>136</v>
      </c>
      <c r="C1193" t="s">
        <v>35</v>
      </c>
      <c r="D1193" t="s">
        <v>4462</v>
      </c>
      <c r="E1193" t="s">
        <v>3304</v>
      </c>
      <c r="F1193" t="s">
        <v>2740</v>
      </c>
      <c r="G1193" s="2">
        <v>45507</v>
      </c>
      <c r="H1193" t="s">
        <v>1171</v>
      </c>
      <c r="I1193">
        <v>116.9</v>
      </c>
      <c r="J1193" s="1">
        <v>50000</v>
      </c>
      <c r="K1193" s="1">
        <v>50000</v>
      </c>
    </row>
    <row r="1194" spans="1:11" x14ac:dyDescent="0.25">
      <c r="A1194" t="s">
        <v>1172</v>
      </c>
      <c r="B1194" t="s">
        <v>2702</v>
      </c>
      <c r="C1194" t="s">
        <v>35</v>
      </c>
      <c r="D1194" t="s">
        <v>3305</v>
      </c>
      <c r="E1194" t="s">
        <v>3304</v>
      </c>
      <c r="F1194" t="s">
        <v>2740</v>
      </c>
      <c r="G1194" s="2">
        <v>45507</v>
      </c>
      <c r="H1194" t="s">
        <v>1173</v>
      </c>
      <c r="I1194">
        <v>116.9</v>
      </c>
      <c r="J1194" s="1">
        <v>50000</v>
      </c>
      <c r="K1194" s="1">
        <v>50000</v>
      </c>
    </row>
    <row r="1195" spans="1:11" x14ac:dyDescent="0.25">
      <c r="A1195" t="s">
        <v>1174</v>
      </c>
      <c r="B1195" t="s">
        <v>66</v>
      </c>
      <c r="C1195" t="s">
        <v>35</v>
      </c>
      <c r="D1195" t="s">
        <v>4466</v>
      </c>
      <c r="E1195" t="s">
        <v>3304</v>
      </c>
      <c r="F1195" t="s">
        <v>2740</v>
      </c>
      <c r="G1195" s="2">
        <v>45507</v>
      </c>
      <c r="H1195" t="s">
        <v>1175</v>
      </c>
      <c r="I1195">
        <v>233.7</v>
      </c>
      <c r="J1195" s="1">
        <v>100000</v>
      </c>
      <c r="K1195" s="1">
        <v>100000</v>
      </c>
    </row>
    <row r="1196" spans="1:11" x14ac:dyDescent="0.25">
      <c r="A1196" t="s">
        <v>1176</v>
      </c>
      <c r="B1196" t="s">
        <v>4463</v>
      </c>
      <c r="C1196" t="s">
        <v>35</v>
      </c>
      <c r="D1196" t="s">
        <v>4464</v>
      </c>
      <c r="E1196" t="s">
        <v>3304</v>
      </c>
      <c r="F1196" t="s">
        <v>2740</v>
      </c>
      <c r="G1196" s="2">
        <v>45507</v>
      </c>
      <c r="H1196" t="s">
        <v>1177</v>
      </c>
      <c r="I1196">
        <v>116.9</v>
      </c>
      <c r="J1196" s="1">
        <v>50000</v>
      </c>
      <c r="K1196" s="1">
        <v>50000</v>
      </c>
    </row>
    <row r="1197" spans="1:11" x14ac:dyDescent="0.25">
      <c r="A1197" t="s">
        <v>1151</v>
      </c>
      <c r="B1197" t="s">
        <v>2725</v>
      </c>
      <c r="C1197" t="s">
        <v>16</v>
      </c>
      <c r="D1197" t="s">
        <v>4465</v>
      </c>
      <c r="E1197" t="s">
        <v>4429</v>
      </c>
      <c r="F1197" t="s">
        <v>2740</v>
      </c>
      <c r="G1197" s="2">
        <v>45508</v>
      </c>
      <c r="H1197" t="s">
        <v>1152</v>
      </c>
      <c r="I1197">
        <v>560.9</v>
      </c>
      <c r="J1197" s="1">
        <v>240000</v>
      </c>
      <c r="K1197" s="1">
        <v>240000</v>
      </c>
    </row>
    <row r="1198" spans="1:11" x14ac:dyDescent="0.25">
      <c r="A1198" t="s">
        <v>1153</v>
      </c>
      <c r="B1198" t="s">
        <v>2728</v>
      </c>
      <c r="C1198" t="s">
        <v>16</v>
      </c>
      <c r="D1198" t="s">
        <v>4465</v>
      </c>
      <c r="E1198" t="s">
        <v>4439</v>
      </c>
      <c r="F1198" t="s">
        <v>2740</v>
      </c>
      <c r="G1198" s="2">
        <v>45508</v>
      </c>
      <c r="H1198" t="s">
        <v>1154</v>
      </c>
      <c r="I1198">
        <v>198.7</v>
      </c>
      <c r="J1198" s="1">
        <v>85000</v>
      </c>
      <c r="K1198" s="1">
        <v>85000</v>
      </c>
    </row>
    <row r="1199" spans="1:11" x14ac:dyDescent="0.25">
      <c r="A1199" t="s">
        <v>1155</v>
      </c>
      <c r="B1199" t="s">
        <v>2700</v>
      </c>
      <c r="C1199" t="s">
        <v>27</v>
      </c>
      <c r="D1199" t="s">
        <v>4466</v>
      </c>
      <c r="E1199" t="s">
        <v>4450</v>
      </c>
      <c r="F1199" t="s">
        <v>2740</v>
      </c>
      <c r="G1199" s="2">
        <v>45508</v>
      </c>
      <c r="H1199" t="s">
        <v>1156</v>
      </c>
      <c r="I1199">
        <v>116.8</v>
      </c>
      <c r="J1199" s="1">
        <v>50000</v>
      </c>
      <c r="K1199" s="1">
        <v>50000</v>
      </c>
    </row>
    <row r="1200" spans="1:11" x14ac:dyDescent="0.25">
      <c r="A1200" t="s">
        <v>1158</v>
      </c>
      <c r="B1200" t="s">
        <v>2710</v>
      </c>
      <c r="C1200" t="s">
        <v>42</v>
      </c>
      <c r="D1200" t="s">
        <v>4467</v>
      </c>
      <c r="E1200" t="s">
        <v>4436</v>
      </c>
      <c r="F1200" t="s">
        <v>2740</v>
      </c>
      <c r="G1200" s="2">
        <v>45508</v>
      </c>
      <c r="H1200" t="s">
        <v>1159</v>
      </c>
      <c r="I1200">
        <v>467.4</v>
      </c>
      <c r="J1200" s="1">
        <v>200000</v>
      </c>
      <c r="K1200" s="1">
        <v>200000</v>
      </c>
    </row>
    <row r="1201" spans="1:11" x14ac:dyDescent="0.25">
      <c r="A1201" t="s">
        <v>1149</v>
      </c>
      <c r="B1201" t="s">
        <v>2720</v>
      </c>
      <c r="C1201" t="s">
        <v>16</v>
      </c>
      <c r="D1201" t="s">
        <v>4461</v>
      </c>
      <c r="E1201" t="s">
        <v>4425</v>
      </c>
      <c r="F1201" t="s">
        <v>2740</v>
      </c>
      <c r="G1201" s="2">
        <v>45509</v>
      </c>
      <c r="H1201" t="s">
        <v>1150</v>
      </c>
      <c r="I1201">
        <v>584.20000000000005</v>
      </c>
      <c r="J1201" s="1">
        <v>250000</v>
      </c>
      <c r="K1201" s="1">
        <v>250000</v>
      </c>
    </row>
    <row r="1202" spans="1:11" x14ac:dyDescent="0.25">
      <c r="A1202" t="s">
        <v>1143</v>
      </c>
      <c r="B1202" t="s">
        <v>2698</v>
      </c>
      <c r="C1202" t="s">
        <v>16</v>
      </c>
      <c r="D1202" t="s">
        <v>4465</v>
      </c>
      <c r="E1202" t="s">
        <v>4442</v>
      </c>
      <c r="F1202" t="s">
        <v>2740</v>
      </c>
      <c r="G1202" s="2">
        <v>45510</v>
      </c>
      <c r="H1202" t="s">
        <v>1144</v>
      </c>
      <c r="I1202">
        <v>46.8</v>
      </c>
      <c r="J1202" s="1">
        <v>20000</v>
      </c>
      <c r="K1202" s="1">
        <v>20000</v>
      </c>
    </row>
    <row r="1203" spans="1:11" x14ac:dyDescent="0.25">
      <c r="A1203" t="s">
        <v>1145</v>
      </c>
      <c r="B1203" t="s">
        <v>2732</v>
      </c>
      <c r="C1203" t="s">
        <v>16</v>
      </c>
      <c r="D1203" t="s">
        <v>4461</v>
      </c>
      <c r="E1203" t="s">
        <v>4444</v>
      </c>
      <c r="F1203" t="s">
        <v>2740</v>
      </c>
      <c r="G1203" s="2">
        <v>45510</v>
      </c>
      <c r="H1203" t="s">
        <v>1146</v>
      </c>
      <c r="I1203">
        <v>23.4</v>
      </c>
      <c r="J1203" s="1">
        <v>10000</v>
      </c>
      <c r="K1203" s="1">
        <v>10000</v>
      </c>
    </row>
    <row r="1204" spans="1:11" x14ac:dyDescent="0.25">
      <c r="A1204" t="s">
        <v>1136</v>
      </c>
      <c r="B1204" t="s">
        <v>2724</v>
      </c>
      <c r="C1204" t="s">
        <v>16</v>
      </c>
      <c r="D1204" t="s">
        <v>4462</v>
      </c>
      <c r="E1204" t="s">
        <v>4451</v>
      </c>
      <c r="F1204" t="s">
        <v>2740</v>
      </c>
      <c r="G1204" s="2">
        <v>45511</v>
      </c>
      <c r="H1204" t="s">
        <v>1137</v>
      </c>
      <c r="I1204">
        <v>93.5</v>
      </c>
      <c r="J1204" s="1">
        <v>40000</v>
      </c>
      <c r="K1204" s="1">
        <v>40000</v>
      </c>
    </row>
    <row r="1205" spans="1:11" x14ac:dyDescent="0.25">
      <c r="A1205" t="s">
        <v>1138</v>
      </c>
      <c r="B1205" t="s">
        <v>4463</v>
      </c>
      <c r="C1205" t="s">
        <v>35</v>
      </c>
      <c r="D1205" t="s">
        <v>4464</v>
      </c>
      <c r="E1205" t="s">
        <v>3304</v>
      </c>
      <c r="F1205" t="s">
        <v>2740</v>
      </c>
      <c r="G1205" s="2">
        <v>45511</v>
      </c>
      <c r="H1205" t="s">
        <v>1139</v>
      </c>
      <c r="I1205">
        <v>116.9</v>
      </c>
      <c r="J1205" s="1">
        <v>50000</v>
      </c>
      <c r="K1205" s="1">
        <v>50000</v>
      </c>
    </row>
    <row r="1206" spans="1:11" x14ac:dyDescent="0.25">
      <c r="A1206" t="s">
        <v>1140</v>
      </c>
      <c r="B1206" t="s">
        <v>66</v>
      </c>
      <c r="C1206" t="s">
        <v>35</v>
      </c>
      <c r="D1206" t="s">
        <v>4466</v>
      </c>
      <c r="E1206" t="s">
        <v>3304</v>
      </c>
      <c r="F1206" t="s">
        <v>2740</v>
      </c>
      <c r="G1206" s="2">
        <v>45511</v>
      </c>
      <c r="H1206" t="s">
        <v>1141</v>
      </c>
      <c r="I1206">
        <v>233.7</v>
      </c>
      <c r="J1206" s="1">
        <v>100000</v>
      </c>
      <c r="K1206" s="1">
        <v>100000</v>
      </c>
    </row>
    <row r="1207" spans="1:11" x14ac:dyDescent="0.25">
      <c r="A1207" t="s">
        <v>1128</v>
      </c>
      <c r="B1207" t="s">
        <v>2735</v>
      </c>
      <c r="C1207" t="s">
        <v>16</v>
      </c>
      <c r="D1207" t="s">
        <v>4462</v>
      </c>
      <c r="E1207" t="s">
        <v>4426</v>
      </c>
      <c r="F1207" t="s">
        <v>2740</v>
      </c>
      <c r="G1207" s="2">
        <v>45512</v>
      </c>
      <c r="H1207" t="s">
        <v>1129</v>
      </c>
      <c r="I1207">
        <v>31.6</v>
      </c>
      <c r="J1207" s="1">
        <v>13500</v>
      </c>
      <c r="K1207" s="1">
        <v>13500</v>
      </c>
    </row>
    <row r="1208" spans="1:11" x14ac:dyDescent="0.25">
      <c r="A1208" t="s">
        <v>1130</v>
      </c>
      <c r="B1208" t="s">
        <v>2713</v>
      </c>
      <c r="C1208" t="s">
        <v>16</v>
      </c>
      <c r="D1208" t="s">
        <v>4465</v>
      </c>
      <c r="E1208" t="s">
        <v>4428</v>
      </c>
      <c r="F1208" t="s">
        <v>2740</v>
      </c>
      <c r="G1208" s="2">
        <v>45512</v>
      </c>
      <c r="H1208" t="s">
        <v>1131</v>
      </c>
      <c r="I1208">
        <v>46.8</v>
      </c>
      <c r="J1208" s="1">
        <v>20000</v>
      </c>
      <c r="K1208" s="1">
        <v>20000</v>
      </c>
    </row>
    <row r="1209" spans="1:11" x14ac:dyDescent="0.25">
      <c r="A1209" t="s">
        <v>1132</v>
      </c>
      <c r="B1209" t="s">
        <v>4471</v>
      </c>
      <c r="C1209" t="s">
        <v>35</v>
      </c>
      <c r="D1209" t="s">
        <v>4470</v>
      </c>
      <c r="E1209" t="s">
        <v>35</v>
      </c>
      <c r="F1209" t="s">
        <v>2740</v>
      </c>
      <c r="G1209" s="2">
        <v>45512</v>
      </c>
      <c r="H1209" t="s">
        <v>1133</v>
      </c>
      <c r="I1209">
        <v>93.5</v>
      </c>
      <c r="J1209" s="1">
        <v>40000</v>
      </c>
      <c r="K1209" s="1">
        <v>40000</v>
      </c>
    </row>
    <row r="1210" spans="1:11" x14ac:dyDescent="0.25">
      <c r="A1210" t="s">
        <v>1116</v>
      </c>
      <c r="B1210" t="s">
        <v>2735</v>
      </c>
      <c r="C1210" t="s">
        <v>16</v>
      </c>
      <c r="D1210" t="s">
        <v>4462</v>
      </c>
      <c r="E1210" t="s">
        <v>4426</v>
      </c>
      <c r="F1210" t="s">
        <v>2740</v>
      </c>
      <c r="G1210" s="2">
        <v>45513</v>
      </c>
      <c r="H1210" t="s">
        <v>1117</v>
      </c>
      <c r="I1210">
        <v>23.3</v>
      </c>
      <c r="J1210" s="1">
        <v>10000</v>
      </c>
      <c r="K1210" s="1">
        <v>10000</v>
      </c>
    </row>
    <row r="1211" spans="1:11" x14ac:dyDescent="0.25">
      <c r="A1211" t="s">
        <v>1118</v>
      </c>
      <c r="B1211" t="s">
        <v>66</v>
      </c>
      <c r="C1211" t="s">
        <v>35</v>
      </c>
      <c r="D1211" t="s">
        <v>4466</v>
      </c>
      <c r="E1211" t="s">
        <v>3304</v>
      </c>
      <c r="F1211" t="s">
        <v>2740</v>
      </c>
      <c r="G1211" s="2">
        <v>45513</v>
      </c>
      <c r="H1211" t="s">
        <v>1119</v>
      </c>
      <c r="I1211">
        <v>233.7</v>
      </c>
      <c r="J1211" s="1">
        <v>100000</v>
      </c>
      <c r="K1211" s="1">
        <v>100000</v>
      </c>
    </row>
    <row r="1212" spans="1:11" x14ac:dyDescent="0.25">
      <c r="A1212" t="s">
        <v>1120</v>
      </c>
      <c r="B1212" t="s">
        <v>2700</v>
      </c>
      <c r="C1212" t="s">
        <v>27</v>
      </c>
      <c r="D1212" t="s">
        <v>4466</v>
      </c>
      <c r="E1212" t="s">
        <v>4450</v>
      </c>
      <c r="F1212" t="s">
        <v>2740</v>
      </c>
      <c r="G1212" s="2">
        <v>45513</v>
      </c>
      <c r="H1212" t="s">
        <v>1121</v>
      </c>
      <c r="I1212">
        <v>46.8</v>
      </c>
      <c r="J1212" s="1">
        <v>20000</v>
      </c>
      <c r="K1212" s="1">
        <v>20000</v>
      </c>
    </row>
    <row r="1213" spans="1:11" x14ac:dyDescent="0.25">
      <c r="A1213" t="s">
        <v>1122</v>
      </c>
      <c r="B1213" t="s">
        <v>4463</v>
      </c>
      <c r="C1213" t="s">
        <v>35</v>
      </c>
      <c r="D1213" t="s">
        <v>4464</v>
      </c>
      <c r="E1213" t="s">
        <v>3304</v>
      </c>
      <c r="F1213" t="s">
        <v>2740</v>
      </c>
      <c r="G1213" s="2">
        <v>45513</v>
      </c>
      <c r="H1213" t="s">
        <v>1123</v>
      </c>
      <c r="I1213">
        <v>233.7</v>
      </c>
      <c r="J1213" s="1">
        <v>100000</v>
      </c>
      <c r="K1213" s="1">
        <v>100000</v>
      </c>
    </row>
    <row r="1214" spans="1:11" x14ac:dyDescent="0.25">
      <c r="A1214" t="s">
        <v>1125</v>
      </c>
      <c r="B1214" t="s">
        <v>2704</v>
      </c>
      <c r="C1214" t="s">
        <v>35</v>
      </c>
      <c r="D1214" t="s">
        <v>42</v>
      </c>
      <c r="E1214" t="s">
        <v>3275</v>
      </c>
      <c r="F1214" t="s">
        <v>2740</v>
      </c>
      <c r="G1214" s="2">
        <v>45513</v>
      </c>
      <c r="H1214" t="s">
        <v>1127</v>
      </c>
      <c r="I1214">
        <v>233.7</v>
      </c>
      <c r="J1214" s="1">
        <v>100000</v>
      </c>
      <c r="K1214" s="1">
        <v>100000</v>
      </c>
    </row>
    <row r="1215" spans="1:11" x14ac:dyDescent="0.25">
      <c r="A1215" t="s">
        <v>1096</v>
      </c>
      <c r="B1215" t="s">
        <v>2735</v>
      </c>
      <c r="C1215" t="s">
        <v>16</v>
      </c>
      <c r="D1215" t="s">
        <v>4462</v>
      </c>
      <c r="E1215" t="s">
        <v>4426</v>
      </c>
      <c r="F1215" t="s">
        <v>2740</v>
      </c>
      <c r="G1215" s="2">
        <v>45514</v>
      </c>
      <c r="H1215" t="s">
        <v>1097</v>
      </c>
      <c r="I1215">
        <v>208.1</v>
      </c>
      <c r="J1215" s="1">
        <v>50000</v>
      </c>
      <c r="K1215" s="1">
        <v>50000</v>
      </c>
    </row>
    <row r="1216" spans="1:11" x14ac:dyDescent="0.25">
      <c r="A1216" t="s">
        <v>1098</v>
      </c>
      <c r="B1216" t="s">
        <v>2735</v>
      </c>
      <c r="C1216" t="s">
        <v>16</v>
      </c>
      <c r="D1216" t="s">
        <v>4462</v>
      </c>
      <c r="E1216" t="s">
        <v>4426</v>
      </c>
      <c r="F1216" t="s">
        <v>2740</v>
      </c>
      <c r="G1216" s="2">
        <v>45514</v>
      </c>
      <c r="H1216" t="s">
        <v>1099</v>
      </c>
      <c r="I1216">
        <v>200.7</v>
      </c>
      <c r="J1216" s="1">
        <v>48200</v>
      </c>
      <c r="K1216" s="1">
        <v>48200</v>
      </c>
    </row>
    <row r="1217" spans="1:11" x14ac:dyDescent="0.25">
      <c r="A1217" t="s">
        <v>1100</v>
      </c>
      <c r="B1217" t="s">
        <v>2735</v>
      </c>
      <c r="C1217" t="s">
        <v>16</v>
      </c>
      <c r="D1217" t="s">
        <v>4462</v>
      </c>
      <c r="E1217" t="s">
        <v>4426</v>
      </c>
      <c r="F1217" t="s">
        <v>2740</v>
      </c>
      <c r="G1217" s="2">
        <v>45514</v>
      </c>
      <c r="H1217" t="s">
        <v>1101</v>
      </c>
      <c r="I1217">
        <v>250.8</v>
      </c>
      <c r="J1217" s="1">
        <v>60250</v>
      </c>
      <c r="K1217" s="1">
        <v>60250</v>
      </c>
    </row>
    <row r="1218" spans="1:11" x14ac:dyDescent="0.25">
      <c r="A1218" t="s">
        <v>1102</v>
      </c>
      <c r="B1218" t="s">
        <v>2735</v>
      </c>
      <c r="C1218" t="s">
        <v>16</v>
      </c>
      <c r="D1218" t="s">
        <v>4462</v>
      </c>
      <c r="E1218" t="s">
        <v>4426</v>
      </c>
      <c r="F1218" t="s">
        <v>2740</v>
      </c>
      <c r="G1218" s="2">
        <v>45514</v>
      </c>
      <c r="H1218" t="s">
        <v>1103</v>
      </c>
      <c r="I1218">
        <v>503.8</v>
      </c>
      <c r="J1218" s="1">
        <v>121000</v>
      </c>
      <c r="K1218" s="1">
        <v>121000</v>
      </c>
    </row>
    <row r="1219" spans="1:11" x14ac:dyDescent="0.25">
      <c r="A1219" t="s">
        <v>1104</v>
      </c>
      <c r="B1219" t="s">
        <v>2719</v>
      </c>
      <c r="C1219" t="s">
        <v>16</v>
      </c>
      <c r="D1219" t="s">
        <v>4466</v>
      </c>
      <c r="E1219" t="s">
        <v>4430</v>
      </c>
      <c r="F1219" t="s">
        <v>2740</v>
      </c>
      <c r="G1219" s="2">
        <v>45514</v>
      </c>
      <c r="H1219" t="s">
        <v>1105</v>
      </c>
      <c r="I1219">
        <v>166.6</v>
      </c>
      <c r="J1219" s="1">
        <v>40000</v>
      </c>
      <c r="K1219" s="1">
        <v>40000</v>
      </c>
    </row>
    <row r="1220" spans="1:11" x14ac:dyDescent="0.25">
      <c r="A1220" t="s">
        <v>1106</v>
      </c>
      <c r="B1220" t="s">
        <v>2705</v>
      </c>
      <c r="C1220" t="s">
        <v>42</v>
      </c>
      <c r="D1220" t="s">
        <v>4467</v>
      </c>
      <c r="E1220" t="s">
        <v>4435</v>
      </c>
      <c r="F1220" t="s">
        <v>2740</v>
      </c>
      <c r="G1220" s="2">
        <v>45514</v>
      </c>
      <c r="H1220" t="s">
        <v>1107</v>
      </c>
      <c r="I1220">
        <v>208.2</v>
      </c>
      <c r="J1220" s="1">
        <v>50000</v>
      </c>
      <c r="K1220" s="1">
        <v>50000</v>
      </c>
    </row>
    <row r="1221" spans="1:11" x14ac:dyDescent="0.25">
      <c r="A1221" t="s">
        <v>1108</v>
      </c>
      <c r="B1221" t="s">
        <v>2698</v>
      </c>
      <c r="C1221" t="s">
        <v>16</v>
      </c>
      <c r="D1221" t="s">
        <v>4465</v>
      </c>
      <c r="E1221" t="s">
        <v>4442</v>
      </c>
      <c r="F1221" t="s">
        <v>2740</v>
      </c>
      <c r="G1221" s="2">
        <v>45514</v>
      </c>
      <c r="H1221" t="s">
        <v>1109</v>
      </c>
      <c r="I1221">
        <v>83.2</v>
      </c>
      <c r="J1221" s="1">
        <v>20000</v>
      </c>
      <c r="K1221" s="1">
        <v>20000</v>
      </c>
    </row>
    <row r="1222" spans="1:11" x14ac:dyDescent="0.25">
      <c r="A1222" t="s">
        <v>1110</v>
      </c>
      <c r="B1222" t="s">
        <v>136</v>
      </c>
      <c r="C1222" t="s">
        <v>35</v>
      </c>
      <c r="D1222" t="s">
        <v>4462</v>
      </c>
      <c r="E1222" t="s">
        <v>3304</v>
      </c>
      <c r="F1222" t="s">
        <v>2740</v>
      </c>
      <c r="G1222" s="2">
        <v>45514</v>
      </c>
      <c r="H1222" t="s">
        <v>1111</v>
      </c>
      <c r="I1222">
        <v>208.2</v>
      </c>
      <c r="J1222" s="1">
        <v>50000</v>
      </c>
      <c r="K1222" s="1">
        <v>50000</v>
      </c>
    </row>
    <row r="1223" spans="1:11" x14ac:dyDescent="0.25">
      <c r="A1223" t="s">
        <v>1112</v>
      </c>
      <c r="B1223" t="s">
        <v>2702</v>
      </c>
      <c r="C1223" t="s">
        <v>35</v>
      </c>
      <c r="D1223" t="s">
        <v>3305</v>
      </c>
      <c r="E1223" t="s">
        <v>3304</v>
      </c>
      <c r="F1223" t="s">
        <v>2740</v>
      </c>
      <c r="G1223" s="2">
        <v>45514</v>
      </c>
      <c r="H1223" t="s">
        <v>1113</v>
      </c>
      <c r="I1223">
        <v>208.1</v>
      </c>
      <c r="J1223" s="1">
        <v>50000</v>
      </c>
      <c r="K1223" s="1">
        <v>50000</v>
      </c>
    </row>
    <row r="1224" spans="1:11" x14ac:dyDescent="0.25">
      <c r="A1224" t="s">
        <v>1114</v>
      </c>
      <c r="B1224" t="s">
        <v>133</v>
      </c>
      <c r="C1224" t="s">
        <v>35</v>
      </c>
      <c r="D1224" t="s">
        <v>4461</v>
      </c>
      <c r="E1224" t="s">
        <v>3304</v>
      </c>
      <c r="F1224" t="s">
        <v>2740</v>
      </c>
      <c r="G1224" s="2">
        <v>45514</v>
      </c>
      <c r="H1224" t="s">
        <v>1115</v>
      </c>
      <c r="I1224">
        <v>208.2</v>
      </c>
      <c r="J1224" s="1">
        <v>50000</v>
      </c>
      <c r="K1224" s="1">
        <v>50000</v>
      </c>
    </row>
    <row r="1225" spans="1:11" x14ac:dyDescent="0.25">
      <c r="A1225" t="s">
        <v>1083</v>
      </c>
      <c r="B1225" t="s">
        <v>2700</v>
      </c>
      <c r="C1225" t="s">
        <v>27</v>
      </c>
      <c r="D1225" t="s">
        <v>4466</v>
      </c>
      <c r="E1225" t="s">
        <v>4450</v>
      </c>
      <c r="F1225" t="s">
        <v>2740</v>
      </c>
      <c r="G1225" s="2">
        <v>45515</v>
      </c>
      <c r="H1225" t="s">
        <v>1084</v>
      </c>
      <c r="I1225">
        <v>208.1</v>
      </c>
      <c r="J1225" s="1">
        <v>50000</v>
      </c>
      <c r="K1225" s="1">
        <v>50000</v>
      </c>
    </row>
    <row r="1226" spans="1:11" x14ac:dyDescent="0.25">
      <c r="A1226" t="s">
        <v>1085</v>
      </c>
      <c r="B1226" t="s">
        <v>2710</v>
      </c>
      <c r="C1226" t="s">
        <v>42</v>
      </c>
      <c r="D1226" t="s">
        <v>4467</v>
      </c>
      <c r="E1226" t="s">
        <v>4436</v>
      </c>
      <c r="F1226" t="s">
        <v>2740</v>
      </c>
      <c r="G1226" s="2">
        <v>45515</v>
      </c>
      <c r="H1226" t="s">
        <v>1086</v>
      </c>
      <c r="I1226">
        <v>457.9</v>
      </c>
      <c r="J1226" s="1">
        <v>110000</v>
      </c>
      <c r="K1226" s="1">
        <v>110000</v>
      </c>
    </row>
    <row r="1227" spans="1:11" x14ac:dyDescent="0.25">
      <c r="A1227" t="s">
        <v>1087</v>
      </c>
      <c r="B1227" t="s">
        <v>2714</v>
      </c>
      <c r="C1227" t="s">
        <v>16</v>
      </c>
      <c r="D1227" t="s">
        <v>4466</v>
      </c>
      <c r="E1227" t="s">
        <v>4434</v>
      </c>
      <c r="F1227" t="s">
        <v>2740</v>
      </c>
      <c r="G1227" s="2">
        <v>45515</v>
      </c>
      <c r="H1227" t="s">
        <v>1088</v>
      </c>
      <c r="I1227">
        <v>632.79999999999995</v>
      </c>
      <c r="J1227" s="1">
        <v>152000</v>
      </c>
      <c r="K1227" s="1">
        <v>152000</v>
      </c>
    </row>
    <row r="1228" spans="1:11" x14ac:dyDescent="0.25">
      <c r="A1228" t="s">
        <v>1090</v>
      </c>
      <c r="B1228" t="s">
        <v>2713</v>
      </c>
      <c r="C1228" t="s">
        <v>16</v>
      </c>
      <c r="D1228" t="s">
        <v>4465</v>
      </c>
      <c r="E1228" t="s">
        <v>4428</v>
      </c>
      <c r="F1228" t="s">
        <v>2740</v>
      </c>
      <c r="G1228" s="2">
        <v>45515</v>
      </c>
      <c r="H1228" t="s">
        <v>1091</v>
      </c>
      <c r="I1228">
        <v>208.1</v>
      </c>
      <c r="J1228" s="1">
        <v>50000</v>
      </c>
      <c r="K1228" s="1">
        <v>50000</v>
      </c>
    </row>
    <row r="1229" spans="1:11" x14ac:dyDescent="0.25">
      <c r="A1229" t="s">
        <v>1092</v>
      </c>
      <c r="B1229" t="s">
        <v>2731</v>
      </c>
      <c r="C1229" t="s">
        <v>16</v>
      </c>
      <c r="D1229" t="s">
        <v>4465</v>
      </c>
      <c r="E1229" t="s">
        <v>4460</v>
      </c>
      <c r="F1229" t="s">
        <v>2740</v>
      </c>
      <c r="G1229" s="2">
        <v>45515</v>
      </c>
      <c r="H1229" t="s">
        <v>1093</v>
      </c>
      <c r="I1229">
        <v>749.4</v>
      </c>
      <c r="J1229" s="1">
        <v>180000</v>
      </c>
      <c r="K1229" s="1">
        <v>180000</v>
      </c>
    </row>
    <row r="1230" spans="1:11" x14ac:dyDescent="0.25">
      <c r="A1230" t="s">
        <v>1094</v>
      </c>
      <c r="B1230" t="s">
        <v>2730</v>
      </c>
      <c r="C1230" t="s">
        <v>42</v>
      </c>
      <c r="D1230" t="s">
        <v>4467</v>
      </c>
      <c r="E1230" t="s">
        <v>4441</v>
      </c>
      <c r="F1230" t="s">
        <v>2740</v>
      </c>
      <c r="G1230" s="2">
        <v>45515</v>
      </c>
      <c r="H1230" t="s">
        <v>1095</v>
      </c>
      <c r="I1230">
        <v>624.5</v>
      </c>
      <c r="J1230" s="1">
        <v>150000</v>
      </c>
      <c r="K1230" s="1">
        <v>150000</v>
      </c>
    </row>
    <row r="1231" spans="1:11" x14ac:dyDescent="0.25">
      <c r="A1231" t="s">
        <v>1080</v>
      </c>
      <c r="B1231" t="s">
        <v>2701</v>
      </c>
      <c r="C1231" t="s">
        <v>16</v>
      </c>
      <c r="D1231" t="s">
        <v>4466</v>
      </c>
      <c r="E1231" t="s">
        <v>4453</v>
      </c>
      <c r="F1231" t="s">
        <v>2740</v>
      </c>
      <c r="G1231" s="2">
        <v>45516</v>
      </c>
      <c r="H1231" t="s">
        <v>1081</v>
      </c>
      <c r="I1231">
        <v>41.7</v>
      </c>
      <c r="J1231" s="1">
        <v>10000</v>
      </c>
      <c r="K1231" s="1">
        <v>10000</v>
      </c>
    </row>
    <row r="1232" spans="1:11" x14ac:dyDescent="0.25">
      <c r="A1232" t="s">
        <v>1070</v>
      </c>
      <c r="B1232" t="s">
        <v>2730</v>
      </c>
      <c r="C1232" t="s">
        <v>42</v>
      </c>
      <c r="D1232" t="s">
        <v>4467</v>
      </c>
      <c r="E1232" t="s">
        <v>4441</v>
      </c>
      <c r="F1232" t="s">
        <v>2740</v>
      </c>
      <c r="G1232" s="2">
        <v>45518</v>
      </c>
      <c r="H1232" t="s">
        <v>1071</v>
      </c>
      <c r="I1232">
        <v>208.1</v>
      </c>
      <c r="J1232" s="1">
        <v>50000</v>
      </c>
      <c r="K1232" s="1">
        <v>50000</v>
      </c>
    </row>
    <row r="1233" spans="1:11" x14ac:dyDescent="0.25">
      <c r="A1233" t="s">
        <v>1072</v>
      </c>
      <c r="B1233" t="s">
        <v>2729</v>
      </c>
      <c r="C1233" t="s">
        <v>16</v>
      </c>
      <c r="D1233" t="s">
        <v>4465</v>
      </c>
      <c r="E1233" t="s">
        <v>4427</v>
      </c>
      <c r="F1233" t="s">
        <v>2740</v>
      </c>
      <c r="G1233" s="2">
        <v>45518</v>
      </c>
      <c r="H1233" t="s">
        <v>1073</v>
      </c>
      <c r="I1233">
        <v>208.2</v>
      </c>
      <c r="J1233" s="1">
        <v>50000</v>
      </c>
      <c r="K1233" s="1">
        <v>50000</v>
      </c>
    </row>
    <row r="1234" spans="1:11" x14ac:dyDescent="0.25">
      <c r="A1234" t="s">
        <v>1074</v>
      </c>
      <c r="B1234" t="s">
        <v>66</v>
      </c>
      <c r="C1234" t="s">
        <v>35</v>
      </c>
      <c r="D1234" t="s">
        <v>4466</v>
      </c>
      <c r="E1234" t="s">
        <v>3304</v>
      </c>
      <c r="F1234" t="s">
        <v>2740</v>
      </c>
      <c r="G1234" s="2">
        <v>45518</v>
      </c>
      <c r="H1234" t="s">
        <v>1075</v>
      </c>
      <c r="I1234">
        <v>208.2</v>
      </c>
      <c r="J1234" s="1">
        <v>50000</v>
      </c>
      <c r="K1234" s="1">
        <v>50000</v>
      </c>
    </row>
    <row r="1235" spans="1:11" x14ac:dyDescent="0.25">
      <c r="A1235" t="s">
        <v>1076</v>
      </c>
      <c r="B1235" t="s">
        <v>4463</v>
      </c>
      <c r="C1235" t="s">
        <v>35</v>
      </c>
      <c r="D1235" t="s">
        <v>4464</v>
      </c>
      <c r="E1235" t="s">
        <v>3304</v>
      </c>
      <c r="F1235" t="s">
        <v>2740</v>
      </c>
      <c r="G1235" s="2">
        <v>45518</v>
      </c>
      <c r="H1235" t="s">
        <v>1077</v>
      </c>
      <c r="I1235">
        <v>208.1</v>
      </c>
      <c r="J1235" s="1">
        <v>50000</v>
      </c>
      <c r="K1235" s="1">
        <v>50000</v>
      </c>
    </row>
    <row r="1236" spans="1:11" x14ac:dyDescent="0.25">
      <c r="A1236" t="s">
        <v>1067</v>
      </c>
      <c r="B1236" t="s">
        <v>2707</v>
      </c>
      <c r="C1236" t="s">
        <v>16</v>
      </c>
      <c r="D1236" t="s">
        <v>4462</v>
      </c>
      <c r="E1236" t="s">
        <v>4433</v>
      </c>
      <c r="F1236" t="s">
        <v>2740</v>
      </c>
      <c r="G1236" s="2">
        <v>45519</v>
      </c>
      <c r="H1236" t="s">
        <v>1068</v>
      </c>
      <c r="I1236">
        <v>124.9</v>
      </c>
      <c r="J1236" s="1">
        <v>30000</v>
      </c>
      <c r="K1236" s="1">
        <v>30000</v>
      </c>
    </row>
    <row r="1237" spans="1:11" x14ac:dyDescent="0.25">
      <c r="A1237" t="s">
        <v>1065</v>
      </c>
      <c r="B1237" t="s">
        <v>2705</v>
      </c>
      <c r="C1237" t="s">
        <v>42</v>
      </c>
      <c r="D1237" t="s">
        <v>4467</v>
      </c>
      <c r="E1237" t="s">
        <v>4435</v>
      </c>
      <c r="F1237" t="s">
        <v>2740</v>
      </c>
      <c r="G1237" s="2">
        <v>45520</v>
      </c>
      <c r="H1237" t="s">
        <v>1066</v>
      </c>
      <c r="I1237">
        <v>208.1</v>
      </c>
      <c r="J1237" s="1">
        <v>50000</v>
      </c>
      <c r="K1237" s="1">
        <v>50000</v>
      </c>
    </row>
    <row r="1238" spans="1:11" x14ac:dyDescent="0.25">
      <c r="A1238" t="s">
        <v>1059</v>
      </c>
      <c r="B1238" t="s">
        <v>93</v>
      </c>
      <c r="C1238" t="s">
        <v>35</v>
      </c>
      <c r="D1238" t="s">
        <v>4465</v>
      </c>
      <c r="E1238" t="s">
        <v>3304</v>
      </c>
      <c r="F1238" t="s">
        <v>2740</v>
      </c>
      <c r="G1238" s="2">
        <v>45521</v>
      </c>
      <c r="H1238" t="s">
        <v>1060</v>
      </c>
      <c r="I1238">
        <v>208.1</v>
      </c>
      <c r="J1238" s="1">
        <v>50000</v>
      </c>
      <c r="K1238" s="1">
        <v>50000</v>
      </c>
    </row>
    <row r="1239" spans="1:11" x14ac:dyDescent="0.25">
      <c r="A1239" t="s">
        <v>1061</v>
      </c>
      <c r="B1239" t="s">
        <v>66</v>
      </c>
      <c r="C1239" t="s">
        <v>35</v>
      </c>
      <c r="D1239" t="s">
        <v>4466</v>
      </c>
      <c r="E1239" t="s">
        <v>3304</v>
      </c>
      <c r="F1239" t="s">
        <v>2740</v>
      </c>
      <c r="G1239" s="2">
        <v>45521</v>
      </c>
      <c r="H1239" t="s">
        <v>1062</v>
      </c>
      <c r="I1239">
        <v>208.1</v>
      </c>
      <c r="J1239" s="1">
        <v>50000</v>
      </c>
      <c r="K1239" s="1">
        <v>50000</v>
      </c>
    </row>
    <row r="1240" spans="1:11" x14ac:dyDescent="0.25">
      <c r="A1240" t="s">
        <v>1063</v>
      </c>
      <c r="B1240" t="s">
        <v>4463</v>
      </c>
      <c r="C1240" t="s">
        <v>35</v>
      </c>
      <c r="D1240" t="s">
        <v>4464</v>
      </c>
      <c r="E1240" t="s">
        <v>3304</v>
      </c>
      <c r="F1240" t="s">
        <v>2740</v>
      </c>
      <c r="G1240" s="2">
        <v>45521</v>
      </c>
      <c r="H1240" t="s">
        <v>1064</v>
      </c>
      <c r="I1240">
        <v>208.2</v>
      </c>
      <c r="J1240" s="1">
        <v>50000</v>
      </c>
      <c r="K1240" s="1">
        <v>50000</v>
      </c>
    </row>
    <row r="1241" spans="1:11" x14ac:dyDescent="0.25">
      <c r="A1241" t="s">
        <v>1057</v>
      </c>
      <c r="B1241" t="s">
        <v>2701</v>
      </c>
      <c r="C1241" t="s">
        <v>16</v>
      </c>
      <c r="D1241" t="s">
        <v>4466</v>
      </c>
      <c r="E1241" t="s">
        <v>4453</v>
      </c>
      <c r="F1241" t="s">
        <v>2740</v>
      </c>
      <c r="G1241" s="2">
        <v>45522</v>
      </c>
      <c r="H1241" t="s">
        <v>1058</v>
      </c>
      <c r="I1241">
        <v>41.6</v>
      </c>
      <c r="J1241" s="1">
        <v>10000</v>
      </c>
      <c r="K1241" s="1">
        <v>10000</v>
      </c>
    </row>
    <row r="1242" spans="1:11" x14ac:dyDescent="0.25">
      <c r="A1242" t="s">
        <v>1051</v>
      </c>
      <c r="B1242" t="s">
        <v>2720</v>
      </c>
      <c r="C1242" t="s">
        <v>16</v>
      </c>
      <c r="D1242" t="s">
        <v>4461</v>
      </c>
      <c r="E1242" t="s">
        <v>4425</v>
      </c>
      <c r="F1242" t="s">
        <v>2740</v>
      </c>
      <c r="G1242" s="2">
        <v>45523</v>
      </c>
      <c r="H1242" t="s">
        <v>1052</v>
      </c>
      <c r="I1242">
        <v>1040.8</v>
      </c>
      <c r="J1242" s="1">
        <v>250000</v>
      </c>
      <c r="K1242" s="1">
        <v>250000</v>
      </c>
    </row>
    <row r="1243" spans="1:11" x14ac:dyDescent="0.25">
      <c r="A1243" t="s">
        <v>1053</v>
      </c>
      <c r="B1243" t="s">
        <v>2700</v>
      </c>
      <c r="C1243" t="s">
        <v>27</v>
      </c>
      <c r="D1243" t="s">
        <v>4466</v>
      </c>
      <c r="E1243" t="s">
        <v>4450</v>
      </c>
      <c r="F1243" t="s">
        <v>2740</v>
      </c>
      <c r="G1243" s="2">
        <v>45523</v>
      </c>
      <c r="H1243" t="s">
        <v>1054</v>
      </c>
      <c r="I1243">
        <v>208.2</v>
      </c>
      <c r="J1243" s="1">
        <v>50000</v>
      </c>
      <c r="K1243" s="1">
        <v>50000</v>
      </c>
    </row>
    <row r="1244" spans="1:11" x14ac:dyDescent="0.25">
      <c r="A1244" t="s">
        <v>1055</v>
      </c>
      <c r="B1244" t="s">
        <v>2698</v>
      </c>
      <c r="C1244" t="s">
        <v>16</v>
      </c>
      <c r="D1244" t="s">
        <v>4465</v>
      </c>
      <c r="E1244" t="s">
        <v>4442</v>
      </c>
      <c r="F1244" t="s">
        <v>2740</v>
      </c>
      <c r="G1244" s="2">
        <v>45523</v>
      </c>
      <c r="H1244" t="s">
        <v>1056</v>
      </c>
      <c r="I1244">
        <v>208.2</v>
      </c>
      <c r="J1244" s="1">
        <v>50000</v>
      </c>
      <c r="K1244" s="1">
        <v>50000</v>
      </c>
    </row>
    <row r="1245" spans="1:11" x14ac:dyDescent="0.25">
      <c r="A1245" t="s">
        <v>1047</v>
      </c>
      <c r="B1245" t="s">
        <v>2737</v>
      </c>
      <c r="C1245" t="s">
        <v>16</v>
      </c>
      <c r="D1245" t="s">
        <v>4466</v>
      </c>
      <c r="E1245" t="s">
        <v>4432</v>
      </c>
      <c r="F1245" t="s">
        <v>2740</v>
      </c>
      <c r="G1245" s="2">
        <v>45524</v>
      </c>
      <c r="H1245" t="s">
        <v>1048</v>
      </c>
      <c r="I1245">
        <v>374.7</v>
      </c>
      <c r="J1245" s="1">
        <v>90000</v>
      </c>
      <c r="K1245" s="1">
        <v>90000</v>
      </c>
    </row>
    <row r="1246" spans="1:11" x14ac:dyDescent="0.25">
      <c r="A1246" t="s">
        <v>1049</v>
      </c>
      <c r="B1246" t="s">
        <v>2722</v>
      </c>
      <c r="C1246" t="s">
        <v>16</v>
      </c>
      <c r="D1246" t="s">
        <v>4462</v>
      </c>
      <c r="E1246" t="s">
        <v>4446</v>
      </c>
      <c r="F1246" t="s">
        <v>2740</v>
      </c>
      <c r="G1246" s="2">
        <v>45524</v>
      </c>
      <c r="H1246" t="s">
        <v>1050</v>
      </c>
      <c r="I1246">
        <v>416.3</v>
      </c>
      <c r="J1246" s="1">
        <v>100000</v>
      </c>
      <c r="K1246" s="1">
        <v>100000</v>
      </c>
    </row>
    <row r="1247" spans="1:11" x14ac:dyDescent="0.25">
      <c r="A1247" t="s">
        <v>1035</v>
      </c>
      <c r="B1247" t="s">
        <v>2705</v>
      </c>
      <c r="C1247" t="s">
        <v>42</v>
      </c>
      <c r="D1247" t="s">
        <v>4467</v>
      </c>
      <c r="E1247" t="s">
        <v>4435</v>
      </c>
      <c r="F1247" t="s">
        <v>2740</v>
      </c>
      <c r="G1247" s="2">
        <v>45525</v>
      </c>
      <c r="H1247" t="s">
        <v>1036</v>
      </c>
      <c r="I1247">
        <v>104.1</v>
      </c>
      <c r="J1247" s="1">
        <v>25000</v>
      </c>
      <c r="K1247" s="1">
        <v>25000</v>
      </c>
    </row>
    <row r="1248" spans="1:11" x14ac:dyDescent="0.25">
      <c r="A1248" t="s">
        <v>1037</v>
      </c>
      <c r="B1248" t="s">
        <v>2699</v>
      </c>
      <c r="C1248" t="s">
        <v>16</v>
      </c>
      <c r="D1248" t="s">
        <v>4462</v>
      </c>
      <c r="E1248" t="s">
        <v>4440</v>
      </c>
      <c r="F1248" t="s">
        <v>2740</v>
      </c>
      <c r="G1248" s="2">
        <v>45525</v>
      </c>
      <c r="H1248" t="s">
        <v>1038</v>
      </c>
      <c r="I1248">
        <v>166.5</v>
      </c>
      <c r="J1248" s="1">
        <v>40000</v>
      </c>
      <c r="K1248" s="1">
        <v>40000</v>
      </c>
    </row>
    <row r="1249" spans="1:11" x14ac:dyDescent="0.25">
      <c r="A1249" t="s">
        <v>1039</v>
      </c>
      <c r="B1249" t="s">
        <v>2702</v>
      </c>
      <c r="C1249" t="s">
        <v>35</v>
      </c>
      <c r="D1249" t="s">
        <v>3305</v>
      </c>
      <c r="E1249" t="s">
        <v>3304</v>
      </c>
      <c r="F1249" t="s">
        <v>2740</v>
      </c>
      <c r="G1249" s="2">
        <v>45525</v>
      </c>
      <c r="H1249" t="s">
        <v>1040</v>
      </c>
      <c r="I1249">
        <v>208.2</v>
      </c>
      <c r="J1249" s="1">
        <v>50000</v>
      </c>
      <c r="K1249" s="1">
        <v>50000</v>
      </c>
    </row>
    <row r="1250" spans="1:11" x14ac:dyDescent="0.25">
      <c r="A1250" t="s">
        <v>1041</v>
      </c>
      <c r="B1250" t="s">
        <v>66</v>
      </c>
      <c r="C1250" t="s">
        <v>35</v>
      </c>
      <c r="D1250" t="s">
        <v>4466</v>
      </c>
      <c r="E1250" t="s">
        <v>3304</v>
      </c>
      <c r="F1250" t="s">
        <v>2740</v>
      </c>
      <c r="G1250" s="2">
        <v>45525</v>
      </c>
      <c r="H1250" t="s">
        <v>1042</v>
      </c>
      <c r="I1250">
        <v>208.2</v>
      </c>
      <c r="J1250" s="1">
        <v>50000</v>
      </c>
      <c r="K1250" s="1">
        <v>50000</v>
      </c>
    </row>
    <row r="1251" spans="1:11" x14ac:dyDescent="0.25">
      <c r="A1251" t="s">
        <v>1043</v>
      </c>
      <c r="B1251" t="s">
        <v>4471</v>
      </c>
      <c r="C1251" t="s">
        <v>35</v>
      </c>
      <c r="D1251" t="s">
        <v>4470</v>
      </c>
      <c r="E1251" t="s">
        <v>35</v>
      </c>
      <c r="F1251" t="s">
        <v>2740</v>
      </c>
      <c r="G1251" s="2">
        <v>45525</v>
      </c>
      <c r="H1251" t="s">
        <v>1044</v>
      </c>
      <c r="I1251">
        <v>208.2</v>
      </c>
      <c r="J1251" s="1">
        <v>50000</v>
      </c>
      <c r="K1251" s="1">
        <v>50000</v>
      </c>
    </row>
    <row r="1252" spans="1:11" x14ac:dyDescent="0.25">
      <c r="A1252" t="s">
        <v>1045</v>
      </c>
      <c r="B1252" t="s">
        <v>2719</v>
      </c>
      <c r="C1252" t="s">
        <v>16</v>
      </c>
      <c r="D1252" t="s">
        <v>4466</v>
      </c>
      <c r="E1252" t="s">
        <v>4430</v>
      </c>
      <c r="F1252" t="s">
        <v>2740</v>
      </c>
      <c r="G1252" s="2">
        <v>45525</v>
      </c>
      <c r="H1252" t="s">
        <v>1046</v>
      </c>
      <c r="I1252">
        <v>104</v>
      </c>
      <c r="J1252" s="1">
        <v>25000</v>
      </c>
      <c r="K1252" s="1">
        <v>25000</v>
      </c>
    </row>
    <row r="1253" spans="1:11" x14ac:dyDescent="0.25">
      <c r="A1253" t="s">
        <v>1030</v>
      </c>
      <c r="B1253" t="s">
        <v>2711</v>
      </c>
      <c r="C1253" t="s">
        <v>16</v>
      </c>
      <c r="D1253" t="s">
        <v>4461</v>
      </c>
      <c r="E1253" t="s">
        <v>4447</v>
      </c>
      <c r="F1253" t="s">
        <v>2740</v>
      </c>
      <c r="G1253" s="2">
        <v>45526</v>
      </c>
      <c r="H1253" t="s">
        <v>1031</v>
      </c>
      <c r="I1253">
        <v>208.1</v>
      </c>
      <c r="J1253" s="1">
        <v>50000</v>
      </c>
      <c r="K1253" s="1">
        <v>50000</v>
      </c>
    </row>
    <row r="1254" spans="1:11" x14ac:dyDescent="0.25">
      <c r="A1254" t="s">
        <v>1033</v>
      </c>
      <c r="B1254" t="s">
        <v>2718</v>
      </c>
      <c r="C1254" t="s">
        <v>16</v>
      </c>
      <c r="D1254" t="s">
        <v>4466</v>
      </c>
      <c r="E1254" t="s">
        <v>4438</v>
      </c>
      <c r="F1254" t="s">
        <v>2740</v>
      </c>
      <c r="G1254" s="2">
        <v>45526</v>
      </c>
      <c r="H1254" t="s">
        <v>1034</v>
      </c>
      <c r="I1254">
        <v>208.1</v>
      </c>
      <c r="J1254" s="1">
        <v>50000</v>
      </c>
      <c r="K1254" s="1">
        <v>50000</v>
      </c>
    </row>
    <row r="1255" spans="1:11" x14ac:dyDescent="0.25">
      <c r="A1255" t="s">
        <v>1028</v>
      </c>
      <c r="B1255" t="s">
        <v>2701</v>
      </c>
      <c r="C1255" t="s">
        <v>16</v>
      </c>
      <c r="D1255" t="s">
        <v>4466</v>
      </c>
      <c r="E1255" t="s">
        <v>4453</v>
      </c>
      <c r="F1255" t="s">
        <v>2740</v>
      </c>
      <c r="G1255" s="2">
        <v>45527</v>
      </c>
      <c r="H1255" t="s">
        <v>1029</v>
      </c>
      <c r="I1255">
        <v>62.4</v>
      </c>
      <c r="J1255" s="1">
        <v>15000</v>
      </c>
      <c r="K1255" s="1">
        <v>15000</v>
      </c>
    </row>
    <row r="1256" spans="1:11" x14ac:dyDescent="0.25">
      <c r="A1256" t="s">
        <v>1016</v>
      </c>
      <c r="B1256" t="s">
        <v>2710</v>
      </c>
      <c r="C1256" t="s">
        <v>42</v>
      </c>
      <c r="D1256" t="s">
        <v>4467</v>
      </c>
      <c r="E1256" t="s">
        <v>4436</v>
      </c>
      <c r="F1256" t="s">
        <v>2740</v>
      </c>
      <c r="G1256" s="2">
        <v>45528</v>
      </c>
      <c r="H1256" t="s">
        <v>1017</v>
      </c>
      <c r="I1256">
        <v>416.3</v>
      </c>
      <c r="J1256" s="1">
        <v>100000</v>
      </c>
      <c r="K1256" s="1">
        <v>100000</v>
      </c>
    </row>
    <row r="1257" spans="1:11" x14ac:dyDescent="0.25">
      <c r="A1257" t="s">
        <v>1018</v>
      </c>
      <c r="B1257" t="s">
        <v>2700</v>
      </c>
      <c r="C1257" t="s">
        <v>27</v>
      </c>
      <c r="D1257" t="s">
        <v>4466</v>
      </c>
      <c r="E1257" t="s">
        <v>4450</v>
      </c>
      <c r="F1257" t="s">
        <v>2740</v>
      </c>
      <c r="G1257" s="2">
        <v>45528</v>
      </c>
      <c r="H1257" t="s">
        <v>1019</v>
      </c>
      <c r="I1257">
        <v>249.7</v>
      </c>
      <c r="J1257" s="1">
        <v>60000</v>
      </c>
      <c r="K1257" s="1">
        <v>60000</v>
      </c>
    </row>
    <row r="1258" spans="1:11" x14ac:dyDescent="0.25">
      <c r="A1258" t="s">
        <v>1020</v>
      </c>
      <c r="B1258" t="s">
        <v>2709</v>
      </c>
      <c r="C1258" t="s">
        <v>42</v>
      </c>
      <c r="D1258" t="s">
        <v>4467</v>
      </c>
      <c r="E1258" t="s">
        <v>4456</v>
      </c>
      <c r="F1258" t="s">
        <v>2740</v>
      </c>
      <c r="G1258" s="2">
        <v>45528</v>
      </c>
      <c r="H1258" t="s">
        <v>1021</v>
      </c>
      <c r="I1258">
        <v>333</v>
      </c>
      <c r="J1258" s="1">
        <v>80000</v>
      </c>
      <c r="K1258" s="1">
        <v>80000</v>
      </c>
    </row>
    <row r="1259" spans="1:11" x14ac:dyDescent="0.25">
      <c r="A1259" t="s">
        <v>1022</v>
      </c>
      <c r="B1259" t="s">
        <v>66</v>
      </c>
      <c r="C1259" t="s">
        <v>35</v>
      </c>
      <c r="D1259" t="s">
        <v>4466</v>
      </c>
      <c r="E1259" t="s">
        <v>3304</v>
      </c>
      <c r="F1259" t="s">
        <v>2740</v>
      </c>
      <c r="G1259" s="2">
        <v>45528</v>
      </c>
      <c r="H1259" t="s">
        <v>1023</v>
      </c>
      <c r="I1259">
        <v>208.1</v>
      </c>
      <c r="J1259" s="1">
        <v>50000</v>
      </c>
      <c r="K1259" s="1">
        <v>50000</v>
      </c>
    </row>
    <row r="1260" spans="1:11" x14ac:dyDescent="0.25">
      <c r="A1260" t="s">
        <v>1024</v>
      </c>
      <c r="B1260" t="s">
        <v>4463</v>
      </c>
      <c r="C1260" t="s">
        <v>35</v>
      </c>
      <c r="D1260" t="s">
        <v>4464</v>
      </c>
      <c r="E1260" t="s">
        <v>3304</v>
      </c>
      <c r="F1260" t="s">
        <v>2740</v>
      </c>
      <c r="G1260" s="2">
        <v>45528</v>
      </c>
      <c r="H1260" t="s">
        <v>1025</v>
      </c>
      <c r="I1260">
        <v>208.1</v>
      </c>
      <c r="J1260" s="1">
        <v>50000</v>
      </c>
      <c r="K1260" s="1">
        <v>50000</v>
      </c>
    </row>
    <row r="1261" spans="1:11" x14ac:dyDescent="0.25">
      <c r="A1261" t="s">
        <v>1026</v>
      </c>
      <c r="B1261" t="s">
        <v>2708</v>
      </c>
      <c r="C1261" t="s">
        <v>16</v>
      </c>
      <c r="D1261" t="s">
        <v>4466</v>
      </c>
      <c r="E1261" t="s">
        <v>4457</v>
      </c>
      <c r="F1261" t="s">
        <v>2740</v>
      </c>
      <c r="G1261" s="2">
        <v>45528</v>
      </c>
      <c r="H1261" t="s">
        <v>1027</v>
      </c>
      <c r="I1261">
        <v>208.1</v>
      </c>
      <c r="J1261" s="1">
        <v>50000</v>
      </c>
      <c r="K1261" s="1">
        <v>50000</v>
      </c>
    </row>
    <row r="1262" spans="1:11" x14ac:dyDescent="0.25">
      <c r="A1262" t="s">
        <v>1010</v>
      </c>
      <c r="B1262" t="s">
        <v>2713</v>
      </c>
      <c r="C1262" t="s">
        <v>16</v>
      </c>
      <c r="D1262" t="s">
        <v>4465</v>
      </c>
      <c r="E1262" t="s">
        <v>4428</v>
      </c>
      <c r="F1262" t="s">
        <v>2740</v>
      </c>
      <c r="G1262" s="2">
        <v>45529</v>
      </c>
      <c r="H1262" t="s">
        <v>1011</v>
      </c>
      <c r="I1262">
        <v>208.2</v>
      </c>
      <c r="J1262" s="1">
        <v>50000</v>
      </c>
      <c r="K1262" s="1">
        <v>50000</v>
      </c>
    </row>
    <row r="1263" spans="1:11" x14ac:dyDescent="0.25">
      <c r="A1263" t="s">
        <v>1012</v>
      </c>
      <c r="B1263" t="s">
        <v>2729</v>
      </c>
      <c r="C1263" t="s">
        <v>16</v>
      </c>
      <c r="D1263" t="s">
        <v>4465</v>
      </c>
      <c r="E1263" t="s">
        <v>4427</v>
      </c>
      <c r="F1263" t="s">
        <v>2740</v>
      </c>
      <c r="G1263" s="2">
        <v>45529</v>
      </c>
      <c r="H1263" t="s">
        <v>1013</v>
      </c>
      <c r="I1263">
        <v>208.1</v>
      </c>
      <c r="J1263" s="1">
        <v>50000</v>
      </c>
      <c r="K1263" s="1">
        <v>50000</v>
      </c>
    </row>
    <row r="1264" spans="1:11" x14ac:dyDescent="0.25">
      <c r="A1264" t="s">
        <v>1014</v>
      </c>
      <c r="B1264" t="s">
        <v>2705</v>
      </c>
      <c r="C1264" t="s">
        <v>42</v>
      </c>
      <c r="D1264" t="s">
        <v>4467</v>
      </c>
      <c r="E1264" t="s">
        <v>4435</v>
      </c>
      <c r="F1264" t="s">
        <v>2740</v>
      </c>
      <c r="G1264" s="2">
        <v>45529</v>
      </c>
      <c r="H1264" t="s">
        <v>1015</v>
      </c>
      <c r="I1264">
        <v>208.2</v>
      </c>
      <c r="J1264" s="1">
        <v>50000</v>
      </c>
      <c r="K1264" s="1">
        <v>50000</v>
      </c>
    </row>
    <row r="1265" spans="1:11" x14ac:dyDescent="0.25">
      <c r="A1265" t="s">
        <v>1004</v>
      </c>
      <c r="B1265" t="s">
        <v>2716</v>
      </c>
      <c r="C1265" t="s">
        <v>16</v>
      </c>
      <c r="D1265" t="s">
        <v>4462</v>
      </c>
      <c r="E1265" t="s">
        <v>4458</v>
      </c>
      <c r="F1265" t="s">
        <v>2740</v>
      </c>
      <c r="G1265" s="2">
        <v>45530</v>
      </c>
      <c r="H1265" t="s">
        <v>1005</v>
      </c>
      <c r="I1265">
        <v>333.1</v>
      </c>
      <c r="J1265" s="1">
        <v>80000</v>
      </c>
      <c r="K1265" s="1">
        <v>80000</v>
      </c>
    </row>
    <row r="1266" spans="1:11" x14ac:dyDescent="0.25">
      <c r="A1266" t="s">
        <v>1006</v>
      </c>
      <c r="B1266" t="s">
        <v>2712</v>
      </c>
      <c r="C1266" t="s">
        <v>16</v>
      </c>
      <c r="D1266" t="s">
        <v>4461</v>
      </c>
      <c r="E1266" t="s">
        <v>4449</v>
      </c>
      <c r="F1266" t="s">
        <v>2740</v>
      </c>
      <c r="G1266" s="2">
        <v>45530</v>
      </c>
      <c r="H1266" t="s">
        <v>1007</v>
      </c>
      <c r="I1266">
        <v>208.1</v>
      </c>
      <c r="J1266" s="1">
        <v>50000</v>
      </c>
      <c r="K1266" s="1">
        <v>50000</v>
      </c>
    </row>
    <row r="1267" spans="1:11" x14ac:dyDescent="0.25">
      <c r="A1267" t="s">
        <v>1008</v>
      </c>
      <c r="B1267" t="s">
        <v>2736</v>
      </c>
      <c r="C1267" t="s">
        <v>16</v>
      </c>
      <c r="D1267" t="s">
        <v>4461</v>
      </c>
      <c r="E1267" t="s">
        <v>4459</v>
      </c>
      <c r="F1267" t="s">
        <v>2740</v>
      </c>
      <c r="G1267" s="2">
        <v>45530</v>
      </c>
      <c r="H1267" t="s">
        <v>1009</v>
      </c>
      <c r="I1267">
        <v>274</v>
      </c>
      <c r="J1267" s="1">
        <v>65809.490000000005</v>
      </c>
      <c r="K1267" s="1">
        <v>65809.490000000005</v>
      </c>
    </row>
    <row r="1268" spans="1:11" x14ac:dyDescent="0.25">
      <c r="A1268" t="s">
        <v>992</v>
      </c>
      <c r="B1268" t="s">
        <v>2720</v>
      </c>
      <c r="C1268" t="s">
        <v>16</v>
      </c>
      <c r="D1268" t="s">
        <v>4461</v>
      </c>
      <c r="E1268" t="s">
        <v>4425</v>
      </c>
      <c r="F1268" t="s">
        <v>2740</v>
      </c>
      <c r="G1268" s="2">
        <v>45531</v>
      </c>
      <c r="H1268" t="s">
        <v>993</v>
      </c>
      <c r="I1268">
        <v>1040.8</v>
      </c>
      <c r="J1268" s="1">
        <v>250000</v>
      </c>
      <c r="K1268" s="1">
        <v>250000</v>
      </c>
    </row>
    <row r="1269" spans="1:11" x14ac:dyDescent="0.25">
      <c r="A1269" t="s">
        <v>994</v>
      </c>
      <c r="B1269" t="s">
        <v>2720</v>
      </c>
      <c r="C1269" t="s">
        <v>16</v>
      </c>
      <c r="D1269" t="s">
        <v>4461</v>
      </c>
      <c r="E1269" t="s">
        <v>4425</v>
      </c>
      <c r="F1269" t="s">
        <v>2740</v>
      </c>
      <c r="G1269" s="2">
        <v>45531</v>
      </c>
      <c r="H1269" t="s">
        <v>995</v>
      </c>
      <c r="I1269">
        <v>1040.7</v>
      </c>
      <c r="J1269" s="1">
        <v>250000</v>
      </c>
      <c r="K1269" s="1">
        <v>250000</v>
      </c>
    </row>
    <row r="1270" spans="1:11" x14ac:dyDescent="0.25">
      <c r="A1270" t="s">
        <v>996</v>
      </c>
      <c r="B1270" t="s">
        <v>2720</v>
      </c>
      <c r="C1270" t="s">
        <v>16</v>
      </c>
      <c r="D1270" t="s">
        <v>4461</v>
      </c>
      <c r="E1270" t="s">
        <v>4425</v>
      </c>
      <c r="F1270" t="s">
        <v>2740</v>
      </c>
      <c r="G1270" s="2">
        <v>45531</v>
      </c>
      <c r="H1270" t="s">
        <v>997</v>
      </c>
      <c r="I1270">
        <v>1040.8</v>
      </c>
      <c r="J1270" s="1">
        <v>250000</v>
      </c>
      <c r="K1270" s="1">
        <v>250000</v>
      </c>
    </row>
    <row r="1271" spans="1:11" x14ac:dyDescent="0.25">
      <c r="A1271" t="s">
        <v>999</v>
      </c>
      <c r="B1271" t="s">
        <v>2719</v>
      </c>
      <c r="C1271" t="s">
        <v>16</v>
      </c>
      <c r="D1271" t="s">
        <v>4466</v>
      </c>
      <c r="E1271" t="s">
        <v>4430</v>
      </c>
      <c r="F1271" t="s">
        <v>2740</v>
      </c>
      <c r="G1271" s="2">
        <v>45531</v>
      </c>
      <c r="H1271" t="s">
        <v>1000</v>
      </c>
      <c r="I1271">
        <v>208.2</v>
      </c>
      <c r="J1271" s="1">
        <v>50000</v>
      </c>
      <c r="K1271" s="1">
        <v>50000</v>
      </c>
    </row>
    <row r="1272" spans="1:11" x14ac:dyDescent="0.25">
      <c r="A1272" t="s">
        <v>1001</v>
      </c>
      <c r="B1272" t="s">
        <v>66</v>
      </c>
      <c r="C1272" t="s">
        <v>35</v>
      </c>
      <c r="D1272" t="s">
        <v>4466</v>
      </c>
      <c r="E1272" t="s">
        <v>3304</v>
      </c>
      <c r="F1272" t="s">
        <v>2740</v>
      </c>
      <c r="G1272" s="2">
        <v>45531</v>
      </c>
      <c r="H1272" t="s">
        <v>1002</v>
      </c>
      <c r="I1272">
        <v>208.2</v>
      </c>
      <c r="J1272" s="1">
        <v>50000</v>
      </c>
      <c r="K1272" s="1">
        <v>50000</v>
      </c>
    </row>
    <row r="1273" spans="1:11" x14ac:dyDescent="0.25">
      <c r="A1273" t="s">
        <v>973</v>
      </c>
      <c r="B1273" t="s">
        <v>2721</v>
      </c>
      <c r="C1273" t="s">
        <v>16</v>
      </c>
      <c r="D1273" t="s">
        <v>4466</v>
      </c>
      <c r="E1273" t="s">
        <v>4438</v>
      </c>
      <c r="F1273" t="s">
        <v>2740</v>
      </c>
      <c r="G1273" s="2">
        <v>45532</v>
      </c>
      <c r="H1273" t="s">
        <v>974</v>
      </c>
      <c r="I1273">
        <v>416.3</v>
      </c>
      <c r="J1273" s="1">
        <v>100000</v>
      </c>
      <c r="K1273" s="1">
        <v>100000</v>
      </c>
    </row>
    <row r="1274" spans="1:11" x14ac:dyDescent="0.25">
      <c r="A1274" t="s">
        <v>976</v>
      </c>
      <c r="B1274" t="s">
        <v>93</v>
      </c>
      <c r="C1274" t="s">
        <v>35</v>
      </c>
      <c r="D1274" t="s">
        <v>4465</v>
      </c>
      <c r="E1274" t="s">
        <v>3304</v>
      </c>
      <c r="F1274" t="s">
        <v>2740</v>
      </c>
      <c r="G1274" s="2">
        <v>45532</v>
      </c>
      <c r="H1274" t="s">
        <v>977</v>
      </c>
      <c r="I1274">
        <v>208.2</v>
      </c>
      <c r="J1274" s="1">
        <v>50000</v>
      </c>
      <c r="K1274" s="1">
        <v>50000</v>
      </c>
    </row>
    <row r="1275" spans="1:11" x14ac:dyDescent="0.25">
      <c r="A1275" t="s">
        <v>978</v>
      </c>
      <c r="B1275" t="s">
        <v>66</v>
      </c>
      <c r="C1275" t="s">
        <v>35</v>
      </c>
      <c r="D1275" t="s">
        <v>4466</v>
      </c>
      <c r="E1275" t="s">
        <v>3304</v>
      </c>
      <c r="F1275" t="s">
        <v>2740</v>
      </c>
      <c r="G1275" s="2">
        <v>45532</v>
      </c>
      <c r="H1275" t="s">
        <v>979</v>
      </c>
      <c r="I1275">
        <v>416.3</v>
      </c>
      <c r="J1275" s="1">
        <v>100000</v>
      </c>
      <c r="K1275" s="1">
        <v>100000</v>
      </c>
    </row>
    <row r="1276" spans="1:11" x14ac:dyDescent="0.25">
      <c r="A1276" t="s">
        <v>980</v>
      </c>
      <c r="B1276" t="s">
        <v>136</v>
      </c>
      <c r="C1276" t="s">
        <v>35</v>
      </c>
      <c r="D1276" t="s">
        <v>4462</v>
      </c>
      <c r="E1276" t="s">
        <v>3304</v>
      </c>
      <c r="F1276" t="s">
        <v>2740</v>
      </c>
      <c r="G1276" s="2">
        <v>45532</v>
      </c>
      <c r="H1276" t="s">
        <v>981</v>
      </c>
      <c r="I1276">
        <v>208.1</v>
      </c>
      <c r="J1276" s="1">
        <v>50000</v>
      </c>
      <c r="K1276" s="1">
        <v>50000</v>
      </c>
    </row>
    <row r="1277" spans="1:11" x14ac:dyDescent="0.25">
      <c r="A1277" t="s">
        <v>982</v>
      </c>
      <c r="B1277" t="s">
        <v>2725</v>
      </c>
      <c r="C1277" t="s">
        <v>16</v>
      </c>
      <c r="D1277" t="s">
        <v>4465</v>
      </c>
      <c r="E1277" t="s">
        <v>4429</v>
      </c>
      <c r="F1277" t="s">
        <v>2740</v>
      </c>
      <c r="G1277" s="2">
        <v>45532</v>
      </c>
      <c r="H1277" t="s">
        <v>983</v>
      </c>
      <c r="I1277">
        <v>416.3</v>
      </c>
      <c r="J1277" s="1">
        <v>100000</v>
      </c>
      <c r="K1277" s="1">
        <v>100000</v>
      </c>
    </row>
    <row r="1278" spans="1:11" x14ac:dyDescent="0.25">
      <c r="A1278" t="s">
        <v>984</v>
      </c>
      <c r="B1278" t="s">
        <v>2702</v>
      </c>
      <c r="C1278" t="s">
        <v>35</v>
      </c>
      <c r="D1278" t="s">
        <v>3305</v>
      </c>
      <c r="E1278" t="s">
        <v>3304</v>
      </c>
      <c r="F1278" t="s">
        <v>2740</v>
      </c>
      <c r="G1278" s="2">
        <v>45532</v>
      </c>
      <c r="H1278" t="s">
        <v>985</v>
      </c>
      <c r="I1278">
        <v>208.1</v>
      </c>
      <c r="J1278" s="1">
        <v>50000</v>
      </c>
      <c r="K1278" s="1">
        <v>50000</v>
      </c>
    </row>
    <row r="1279" spans="1:11" x14ac:dyDescent="0.25">
      <c r="A1279" t="s">
        <v>986</v>
      </c>
      <c r="B1279" t="s">
        <v>4463</v>
      </c>
      <c r="C1279" t="s">
        <v>35</v>
      </c>
      <c r="D1279" t="s">
        <v>4464</v>
      </c>
      <c r="E1279" t="s">
        <v>3304</v>
      </c>
      <c r="F1279" t="s">
        <v>2740</v>
      </c>
      <c r="G1279" s="2">
        <v>45532</v>
      </c>
      <c r="H1279" t="s">
        <v>987</v>
      </c>
      <c r="I1279">
        <v>416.3</v>
      </c>
      <c r="J1279" s="1">
        <v>100000</v>
      </c>
      <c r="K1279" s="1">
        <v>100000</v>
      </c>
    </row>
    <row r="1280" spans="1:11" x14ac:dyDescent="0.25">
      <c r="A1280" t="s">
        <v>988</v>
      </c>
      <c r="B1280" t="s">
        <v>2727</v>
      </c>
      <c r="C1280" t="s">
        <v>16</v>
      </c>
      <c r="D1280" t="s">
        <v>4465</v>
      </c>
      <c r="E1280" t="s">
        <v>4445</v>
      </c>
      <c r="F1280" t="s">
        <v>2740</v>
      </c>
      <c r="G1280" s="2">
        <v>45532</v>
      </c>
      <c r="H1280" t="s">
        <v>989</v>
      </c>
      <c r="I1280">
        <v>166.5</v>
      </c>
      <c r="J1280" s="1">
        <v>40000</v>
      </c>
      <c r="K1280" s="1">
        <v>40000</v>
      </c>
    </row>
    <row r="1281" spans="1:11" x14ac:dyDescent="0.25">
      <c r="A1281" t="s">
        <v>990</v>
      </c>
      <c r="B1281" t="s">
        <v>133</v>
      </c>
      <c r="C1281" t="s">
        <v>35</v>
      </c>
      <c r="D1281" t="s">
        <v>4461</v>
      </c>
      <c r="E1281" t="s">
        <v>3304</v>
      </c>
      <c r="F1281" t="s">
        <v>2740</v>
      </c>
      <c r="G1281" s="2">
        <v>45532</v>
      </c>
      <c r="H1281" t="s">
        <v>991</v>
      </c>
      <c r="I1281">
        <v>208.1</v>
      </c>
      <c r="J1281" s="1">
        <v>50000</v>
      </c>
      <c r="K1281" s="1">
        <v>50000</v>
      </c>
    </row>
    <row r="1282" spans="1:11" x14ac:dyDescent="0.25">
      <c r="A1282" t="s">
        <v>969</v>
      </c>
      <c r="B1282" t="s">
        <v>2707</v>
      </c>
      <c r="C1282" t="s">
        <v>16</v>
      </c>
      <c r="D1282" t="s">
        <v>4462</v>
      </c>
      <c r="E1282" t="s">
        <v>4433</v>
      </c>
      <c r="F1282" t="s">
        <v>2740</v>
      </c>
      <c r="G1282" s="2">
        <v>45533</v>
      </c>
      <c r="H1282" t="s">
        <v>970</v>
      </c>
      <c r="I1282">
        <v>291.39999999999998</v>
      </c>
      <c r="J1282" s="1">
        <v>70000</v>
      </c>
      <c r="K1282" s="1">
        <v>70000</v>
      </c>
    </row>
    <row r="1283" spans="1:11" x14ac:dyDescent="0.25">
      <c r="A1283" t="s">
        <v>971</v>
      </c>
      <c r="B1283" t="s">
        <v>2730</v>
      </c>
      <c r="C1283" t="s">
        <v>42</v>
      </c>
      <c r="D1283" t="s">
        <v>4467</v>
      </c>
      <c r="E1283" t="s">
        <v>4441</v>
      </c>
      <c r="F1283" t="s">
        <v>2740</v>
      </c>
      <c r="G1283" s="2">
        <v>45533</v>
      </c>
      <c r="H1283" t="s">
        <v>972</v>
      </c>
      <c r="I1283">
        <v>208.2</v>
      </c>
      <c r="J1283" s="1">
        <v>50000</v>
      </c>
      <c r="K1283" s="1">
        <v>50000</v>
      </c>
    </row>
    <row r="1284" spans="1:11" x14ac:dyDescent="0.25">
      <c r="A1284" t="s">
        <v>958</v>
      </c>
      <c r="B1284" t="s">
        <v>2733</v>
      </c>
      <c r="C1284" t="s">
        <v>16</v>
      </c>
      <c r="D1284" t="s">
        <v>4465</v>
      </c>
      <c r="E1284" t="s">
        <v>4448</v>
      </c>
      <c r="F1284" t="s">
        <v>2740</v>
      </c>
      <c r="G1284" s="2">
        <v>45534</v>
      </c>
      <c r="H1284" t="s">
        <v>959</v>
      </c>
      <c r="I1284">
        <v>416.3</v>
      </c>
      <c r="J1284" s="1">
        <v>100000</v>
      </c>
      <c r="K1284" s="1">
        <v>100000</v>
      </c>
    </row>
    <row r="1285" spans="1:11" x14ac:dyDescent="0.25">
      <c r="A1285" t="s">
        <v>962</v>
      </c>
      <c r="B1285" t="s">
        <v>2733</v>
      </c>
      <c r="C1285" t="s">
        <v>16</v>
      </c>
      <c r="D1285" t="s">
        <v>4465</v>
      </c>
      <c r="E1285" t="s">
        <v>4448</v>
      </c>
      <c r="F1285" t="s">
        <v>2740</v>
      </c>
      <c r="G1285" s="2">
        <v>45534</v>
      </c>
      <c r="H1285" t="s">
        <v>963</v>
      </c>
      <c r="I1285">
        <v>41.7</v>
      </c>
      <c r="J1285" s="1">
        <v>10000</v>
      </c>
      <c r="K1285" s="1">
        <v>10000</v>
      </c>
    </row>
    <row r="1286" spans="1:11" x14ac:dyDescent="0.25">
      <c r="A1286" t="s">
        <v>965</v>
      </c>
      <c r="B1286" t="s">
        <v>2712</v>
      </c>
      <c r="C1286" t="s">
        <v>16</v>
      </c>
      <c r="D1286" t="s">
        <v>4461</v>
      </c>
      <c r="E1286" t="s">
        <v>4449</v>
      </c>
      <c r="F1286" t="s">
        <v>2740</v>
      </c>
      <c r="G1286" s="2">
        <v>45534</v>
      </c>
      <c r="H1286" t="s">
        <v>966</v>
      </c>
      <c r="I1286">
        <v>208.2</v>
      </c>
      <c r="J1286" s="1">
        <v>50000</v>
      </c>
      <c r="K1286" s="1">
        <v>50000</v>
      </c>
    </row>
    <row r="1287" spans="1:11" x14ac:dyDescent="0.25">
      <c r="A1287" t="s">
        <v>954</v>
      </c>
      <c r="B1287" t="s">
        <v>2705</v>
      </c>
      <c r="C1287" t="s">
        <v>42</v>
      </c>
      <c r="D1287" t="s">
        <v>4467</v>
      </c>
      <c r="E1287" t="s">
        <v>4435</v>
      </c>
      <c r="F1287" t="s">
        <v>2740</v>
      </c>
      <c r="G1287" s="2">
        <v>45535</v>
      </c>
      <c r="H1287" t="s">
        <v>955</v>
      </c>
      <c r="I1287">
        <v>41.6</v>
      </c>
      <c r="J1287" s="1">
        <v>10000</v>
      </c>
      <c r="K1287" s="1">
        <v>10000</v>
      </c>
    </row>
    <row r="1288" spans="1:11" x14ac:dyDescent="0.25">
      <c r="A1288" t="s">
        <v>943</v>
      </c>
      <c r="B1288" t="s">
        <v>2701</v>
      </c>
      <c r="C1288" t="s">
        <v>16</v>
      </c>
      <c r="D1288" t="s">
        <v>4466</v>
      </c>
      <c r="E1288" t="s">
        <v>4453</v>
      </c>
      <c r="F1288" t="s">
        <v>2740</v>
      </c>
      <c r="G1288" s="2">
        <v>45537</v>
      </c>
      <c r="H1288" t="s">
        <v>944</v>
      </c>
      <c r="I1288">
        <v>62.4</v>
      </c>
      <c r="J1288" s="1">
        <v>15000</v>
      </c>
      <c r="K1288" s="1">
        <v>15000</v>
      </c>
    </row>
    <row r="1289" spans="1:11" x14ac:dyDescent="0.25">
      <c r="A1289" t="s">
        <v>945</v>
      </c>
      <c r="B1289" t="s">
        <v>2701</v>
      </c>
      <c r="C1289" t="s">
        <v>16</v>
      </c>
      <c r="D1289" t="s">
        <v>4466</v>
      </c>
      <c r="E1289" t="s">
        <v>4453</v>
      </c>
      <c r="F1289" t="s">
        <v>2740</v>
      </c>
      <c r="G1289" s="2">
        <v>45537</v>
      </c>
      <c r="H1289" t="s">
        <v>946</v>
      </c>
      <c r="I1289">
        <v>62.5</v>
      </c>
      <c r="J1289" s="1">
        <v>15000</v>
      </c>
      <c r="K1289" s="1">
        <v>15000</v>
      </c>
    </row>
    <row r="1290" spans="1:11" x14ac:dyDescent="0.25">
      <c r="A1290" t="s">
        <v>937</v>
      </c>
      <c r="B1290" t="s">
        <v>2698</v>
      </c>
      <c r="C1290" t="s">
        <v>16</v>
      </c>
      <c r="D1290" t="s">
        <v>4465</v>
      </c>
      <c r="E1290" t="s">
        <v>4442</v>
      </c>
      <c r="F1290" t="s">
        <v>2740</v>
      </c>
      <c r="G1290" s="2">
        <v>45538</v>
      </c>
      <c r="H1290" t="s">
        <v>938</v>
      </c>
      <c r="I1290">
        <v>208.1</v>
      </c>
      <c r="J1290" s="1">
        <v>50000</v>
      </c>
      <c r="K1290" s="1">
        <v>50000</v>
      </c>
    </row>
    <row r="1291" spans="1:11" x14ac:dyDescent="0.25">
      <c r="A1291" t="s">
        <v>939</v>
      </c>
      <c r="B1291" t="s">
        <v>2701</v>
      </c>
      <c r="C1291" t="s">
        <v>16</v>
      </c>
      <c r="D1291" t="s">
        <v>4466</v>
      </c>
      <c r="E1291" t="s">
        <v>4453</v>
      </c>
      <c r="F1291" t="s">
        <v>2740</v>
      </c>
      <c r="G1291" s="2">
        <v>45538</v>
      </c>
      <c r="H1291" t="s">
        <v>940</v>
      </c>
      <c r="I1291">
        <v>62.5</v>
      </c>
      <c r="J1291" s="1">
        <v>15000</v>
      </c>
      <c r="K1291" s="1">
        <v>15000</v>
      </c>
    </row>
    <row r="1292" spans="1:11" x14ac:dyDescent="0.25">
      <c r="A1292" t="s">
        <v>932</v>
      </c>
      <c r="B1292" t="s">
        <v>66</v>
      </c>
      <c r="C1292" t="s">
        <v>35</v>
      </c>
      <c r="D1292" t="s">
        <v>4466</v>
      </c>
      <c r="E1292" t="s">
        <v>3304</v>
      </c>
      <c r="F1292" t="s">
        <v>2740</v>
      </c>
      <c r="G1292" s="2">
        <v>45539</v>
      </c>
      <c r="H1292" t="s">
        <v>933</v>
      </c>
      <c r="I1292">
        <v>416.3</v>
      </c>
      <c r="J1292" s="1">
        <v>100000</v>
      </c>
      <c r="K1292" s="1">
        <v>100000</v>
      </c>
    </row>
    <row r="1293" spans="1:11" x14ac:dyDescent="0.25">
      <c r="A1293" t="s">
        <v>934</v>
      </c>
      <c r="B1293" t="s">
        <v>2705</v>
      </c>
      <c r="C1293" t="s">
        <v>42</v>
      </c>
      <c r="D1293" t="s">
        <v>4467</v>
      </c>
      <c r="E1293" t="s">
        <v>4435</v>
      </c>
      <c r="F1293" t="s">
        <v>2740</v>
      </c>
      <c r="G1293" s="2">
        <v>45539</v>
      </c>
      <c r="H1293" t="s">
        <v>935</v>
      </c>
      <c r="I1293">
        <v>104.1</v>
      </c>
      <c r="J1293" s="1">
        <v>25000</v>
      </c>
      <c r="K1293" s="1">
        <v>25000</v>
      </c>
    </row>
    <row r="1294" spans="1:11" x14ac:dyDescent="0.25">
      <c r="A1294" t="s">
        <v>927</v>
      </c>
      <c r="B1294" t="s">
        <v>2701</v>
      </c>
      <c r="C1294" t="s">
        <v>16</v>
      </c>
      <c r="D1294" t="s">
        <v>4466</v>
      </c>
      <c r="E1294" t="s">
        <v>4453</v>
      </c>
      <c r="F1294" t="s">
        <v>2740</v>
      </c>
      <c r="G1294" s="2">
        <v>45540</v>
      </c>
      <c r="H1294" t="s">
        <v>928</v>
      </c>
      <c r="I1294">
        <v>62.4</v>
      </c>
      <c r="J1294" s="1">
        <v>15000</v>
      </c>
      <c r="K1294" s="1">
        <v>15000</v>
      </c>
    </row>
    <row r="1295" spans="1:11" x14ac:dyDescent="0.25">
      <c r="A1295" t="s">
        <v>929</v>
      </c>
      <c r="B1295" t="s">
        <v>2730</v>
      </c>
      <c r="C1295" t="s">
        <v>42</v>
      </c>
      <c r="D1295" t="s">
        <v>4467</v>
      </c>
      <c r="E1295" t="s">
        <v>4441</v>
      </c>
      <c r="F1295" t="s">
        <v>2740</v>
      </c>
      <c r="G1295" s="2">
        <v>45540</v>
      </c>
      <c r="H1295" t="s">
        <v>930</v>
      </c>
      <c r="I1295">
        <v>208.1</v>
      </c>
      <c r="J1295" s="1">
        <v>50000</v>
      </c>
      <c r="K1295" s="1">
        <v>50000</v>
      </c>
    </row>
    <row r="1296" spans="1:11" x14ac:dyDescent="0.25">
      <c r="A1296" t="s">
        <v>912</v>
      </c>
      <c r="B1296" t="s">
        <v>4463</v>
      </c>
      <c r="C1296" t="s">
        <v>35</v>
      </c>
      <c r="D1296" t="s">
        <v>4464</v>
      </c>
      <c r="E1296" t="s">
        <v>3304</v>
      </c>
      <c r="F1296" t="s">
        <v>2740</v>
      </c>
      <c r="G1296" s="2">
        <v>45541</v>
      </c>
      <c r="H1296" t="s">
        <v>913</v>
      </c>
      <c r="I1296">
        <v>208.2</v>
      </c>
      <c r="J1296" s="1">
        <v>50000</v>
      </c>
      <c r="K1296" s="1">
        <v>50000</v>
      </c>
    </row>
    <row r="1297" spans="1:11" x14ac:dyDescent="0.25">
      <c r="A1297" t="s">
        <v>900</v>
      </c>
      <c r="B1297" t="s">
        <v>2719</v>
      </c>
      <c r="C1297" t="s">
        <v>16</v>
      </c>
      <c r="D1297" t="s">
        <v>4466</v>
      </c>
      <c r="E1297" t="s">
        <v>4430</v>
      </c>
      <c r="F1297" t="s">
        <v>2740</v>
      </c>
      <c r="G1297" s="2">
        <v>45543</v>
      </c>
      <c r="H1297" t="s">
        <v>901</v>
      </c>
      <c r="I1297">
        <v>208.1</v>
      </c>
      <c r="J1297" s="1">
        <v>50000</v>
      </c>
      <c r="K1297" s="1">
        <v>50000</v>
      </c>
    </row>
    <row r="1298" spans="1:11" x14ac:dyDescent="0.25">
      <c r="A1298" t="s">
        <v>902</v>
      </c>
      <c r="B1298" t="s">
        <v>2700</v>
      </c>
      <c r="C1298" t="s">
        <v>27</v>
      </c>
      <c r="D1298" t="s">
        <v>4466</v>
      </c>
      <c r="E1298" t="s">
        <v>4450</v>
      </c>
      <c r="F1298" t="s">
        <v>2740</v>
      </c>
      <c r="G1298" s="2">
        <v>45543</v>
      </c>
      <c r="H1298" t="s">
        <v>903</v>
      </c>
      <c r="I1298">
        <v>416.3</v>
      </c>
      <c r="J1298" s="1">
        <v>100000</v>
      </c>
      <c r="K1298" s="1">
        <v>100000</v>
      </c>
    </row>
    <row r="1299" spans="1:11" x14ac:dyDescent="0.25">
      <c r="A1299" t="s">
        <v>905</v>
      </c>
      <c r="B1299" t="s">
        <v>2699</v>
      </c>
      <c r="C1299" t="s">
        <v>16</v>
      </c>
      <c r="D1299" t="s">
        <v>4462</v>
      </c>
      <c r="E1299" t="s">
        <v>4440</v>
      </c>
      <c r="F1299" t="s">
        <v>2740</v>
      </c>
      <c r="G1299" s="2">
        <v>45543</v>
      </c>
      <c r="H1299" t="s">
        <v>906</v>
      </c>
      <c r="I1299">
        <v>124.9</v>
      </c>
      <c r="J1299" s="1">
        <v>30000</v>
      </c>
      <c r="K1299" s="1">
        <v>30000</v>
      </c>
    </row>
    <row r="1300" spans="1:11" x14ac:dyDescent="0.25">
      <c r="A1300" t="s">
        <v>893</v>
      </c>
      <c r="B1300" t="s">
        <v>2730</v>
      </c>
      <c r="C1300" t="s">
        <v>42</v>
      </c>
      <c r="D1300" t="s">
        <v>4467</v>
      </c>
      <c r="E1300" t="s">
        <v>4441</v>
      </c>
      <c r="F1300" t="s">
        <v>2740</v>
      </c>
      <c r="G1300" s="2">
        <v>45545</v>
      </c>
      <c r="H1300" t="s">
        <v>894</v>
      </c>
      <c r="I1300">
        <v>416.3</v>
      </c>
      <c r="J1300" s="1">
        <v>100000</v>
      </c>
      <c r="K1300" s="1">
        <v>100000</v>
      </c>
    </row>
    <row r="1301" spans="1:11" x14ac:dyDescent="0.25">
      <c r="A1301" t="s">
        <v>896</v>
      </c>
      <c r="B1301" t="s">
        <v>66</v>
      </c>
      <c r="C1301" t="s">
        <v>35</v>
      </c>
      <c r="D1301" t="s">
        <v>4466</v>
      </c>
      <c r="E1301" t="s">
        <v>3304</v>
      </c>
      <c r="F1301" t="s">
        <v>2740</v>
      </c>
      <c r="G1301" s="2">
        <v>45545</v>
      </c>
      <c r="H1301" t="s">
        <v>897</v>
      </c>
      <c r="I1301">
        <v>416.3</v>
      </c>
      <c r="J1301" s="1">
        <v>100000</v>
      </c>
      <c r="K1301" s="1">
        <v>100000</v>
      </c>
    </row>
    <row r="1302" spans="1:11" x14ac:dyDescent="0.25">
      <c r="A1302" t="s">
        <v>883</v>
      </c>
      <c r="B1302" t="s">
        <v>2724</v>
      </c>
      <c r="C1302" t="s">
        <v>16</v>
      </c>
      <c r="D1302" t="s">
        <v>4462</v>
      </c>
      <c r="E1302" t="s">
        <v>4451</v>
      </c>
      <c r="F1302" t="s">
        <v>2740</v>
      </c>
      <c r="G1302" s="2">
        <v>45546</v>
      </c>
      <c r="H1302" t="s">
        <v>884</v>
      </c>
      <c r="I1302">
        <v>208.2</v>
      </c>
      <c r="J1302" s="1">
        <v>50000</v>
      </c>
      <c r="K1302" s="1">
        <v>50000</v>
      </c>
    </row>
    <row r="1303" spans="1:11" x14ac:dyDescent="0.25">
      <c r="A1303" t="s">
        <v>885</v>
      </c>
      <c r="B1303" t="s">
        <v>136</v>
      </c>
      <c r="C1303" t="s">
        <v>35</v>
      </c>
      <c r="D1303" t="s">
        <v>4462</v>
      </c>
      <c r="E1303" t="s">
        <v>3304</v>
      </c>
      <c r="F1303" t="s">
        <v>2740</v>
      </c>
      <c r="G1303" s="2">
        <v>45546</v>
      </c>
      <c r="H1303" t="s">
        <v>886</v>
      </c>
      <c r="I1303">
        <v>208.2</v>
      </c>
      <c r="J1303" s="1">
        <v>50000</v>
      </c>
      <c r="K1303" s="1">
        <v>50000</v>
      </c>
    </row>
    <row r="1304" spans="1:11" x14ac:dyDescent="0.25">
      <c r="A1304" t="s">
        <v>887</v>
      </c>
      <c r="B1304" t="s">
        <v>133</v>
      </c>
      <c r="C1304" t="s">
        <v>35</v>
      </c>
      <c r="D1304" t="s">
        <v>4461</v>
      </c>
      <c r="E1304" t="s">
        <v>3304</v>
      </c>
      <c r="F1304" t="s">
        <v>2740</v>
      </c>
      <c r="G1304" s="2">
        <v>45546</v>
      </c>
      <c r="H1304" t="s">
        <v>888</v>
      </c>
      <c r="I1304">
        <v>208.2</v>
      </c>
      <c r="J1304" s="1">
        <v>50000</v>
      </c>
      <c r="K1304" s="1">
        <v>50000</v>
      </c>
    </row>
    <row r="1305" spans="1:11" x14ac:dyDescent="0.25">
      <c r="A1305" t="s">
        <v>889</v>
      </c>
      <c r="B1305" t="s">
        <v>4471</v>
      </c>
      <c r="C1305" t="s">
        <v>35</v>
      </c>
      <c r="D1305" t="s">
        <v>4470</v>
      </c>
      <c r="E1305" t="s">
        <v>35</v>
      </c>
      <c r="F1305" t="s">
        <v>2740</v>
      </c>
      <c r="G1305" s="2">
        <v>45546</v>
      </c>
      <c r="H1305" t="s">
        <v>890</v>
      </c>
      <c r="I1305">
        <v>208.1</v>
      </c>
      <c r="J1305" s="1">
        <v>50000</v>
      </c>
      <c r="K1305" s="1">
        <v>50000</v>
      </c>
    </row>
    <row r="1306" spans="1:11" x14ac:dyDescent="0.25">
      <c r="A1306" t="s">
        <v>891</v>
      </c>
      <c r="B1306" t="s">
        <v>2713</v>
      </c>
      <c r="C1306" t="s">
        <v>16</v>
      </c>
      <c r="D1306" t="s">
        <v>4465</v>
      </c>
      <c r="E1306" t="s">
        <v>4428</v>
      </c>
      <c r="F1306" t="s">
        <v>2740</v>
      </c>
      <c r="G1306" s="2">
        <v>45546</v>
      </c>
      <c r="H1306" t="s">
        <v>892</v>
      </c>
      <c r="I1306">
        <v>208.1</v>
      </c>
      <c r="J1306" s="1">
        <v>50000</v>
      </c>
      <c r="K1306" s="1">
        <v>50000</v>
      </c>
    </row>
    <row r="1307" spans="1:11" x14ac:dyDescent="0.25">
      <c r="A1307" t="s">
        <v>878</v>
      </c>
      <c r="B1307" t="s">
        <v>2734</v>
      </c>
      <c r="C1307" t="s">
        <v>16</v>
      </c>
      <c r="D1307" t="s">
        <v>4461</v>
      </c>
      <c r="E1307" t="s">
        <v>4455</v>
      </c>
      <c r="F1307" t="s">
        <v>2740</v>
      </c>
      <c r="G1307" s="2">
        <v>45547</v>
      </c>
      <c r="H1307" t="s">
        <v>879</v>
      </c>
      <c r="I1307">
        <v>416.3</v>
      </c>
      <c r="J1307" s="1">
        <v>100000</v>
      </c>
      <c r="K1307" s="1">
        <v>100000</v>
      </c>
    </row>
    <row r="1308" spans="1:11" x14ac:dyDescent="0.25">
      <c r="A1308" t="s">
        <v>880</v>
      </c>
      <c r="B1308" t="s">
        <v>2705</v>
      </c>
      <c r="C1308" t="s">
        <v>42</v>
      </c>
      <c r="D1308" t="s">
        <v>4467</v>
      </c>
      <c r="E1308" t="s">
        <v>4435</v>
      </c>
      <c r="F1308" t="s">
        <v>2740</v>
      </c>
      <c r="G1308" s="2">
        <v>45547</v>
      </c>
      <c r="H1308" t="s">
        <v>881</v>
      </c>
      <c r="I1308">
        <v>41.6</v>
      </c>
      <c r="J1308" s="1">
        <v>10000</v>
      </c>
      <c r="K1308" s="1">
        <v>10000</v>
      </c>
    </row>
    <row r="1309" spans="1:11" x14ac:dyDescent="0.25">
      <c r="A1309" t="s">
        <v>876</v>
      </c>
      <c r="B1309" t="s">
        <v>4463</v>
      </c>
      <c r="C1309" t="s">
        <v>35</v>
      </c>
      <c r="D1309" t="s">
        <v>4464</v>
      </c>
      <c r="E1309" t="s">
        <v>3304</v>
      </c>
      <c r="F1309" t="s">
        <v>2740</v>
      </c>
      <c r="G1309" s="2">
        <v>45548</v>
      </c>
      <c r="H1309" t="s">
        <v>877</v>
      </c>
      <c r="I1309">
        <v>166.5</v>
      </c>
      <c r="J1309" s="1">
        <v>40000</v>
      </c>
      <c r="K1309" s="1">
        <v>40000</v>
      </c>
    </row>
    <row r="1310" spans="1:11" x14ac:dyDescent="0.25">
      <c r="A1310" t="s">
        <v>862</v>
      </c>
      <c r="B1310" t="s">
        <v>2729</v>
      </c>
      <c r="C1310" t="s">
        <v>16</v>
      </c>
      <c r="D1310" t="s">
        <v>4465</v>
      </c>
      <c r="E1310" t="s">
        <v>4427</v>
      </c>
      <c r="F1310" t="s">
        <v>2740</v>
      </c>
      <c r="G1310" s="2">
        <v>45549</v>
      </c>
      <c r="H1310" t="s">
        <v>863</v>
      </c>
      <c r="I1310">
        <v>146.1</v>
      </c>
      <c r="J1310" s="1">
        <v>35100</v>
      </c>
      <c r="K1310" s="1">
        <v>35100</v>
      </c>
    </row>
    <row r="1311" spans="1:11" x14ac:dyDescent="0.25">
      <c r="A1311" t="s">
        <v>864</v>
      </c>
      <c r="B1311" t="s">
        <v>93</v>
      </c>
      <c r="C1311" t="s">
        <v>35</v>
      </c>
      <c r="D1311" t="s">
        <v>4465</v>
      </c>
      <c r="E1311" t="s">
        <v>3304</v>
      </c>
      <c r="F1311" t="s">
        <v>2740</v>
      </c>
      <c r="G1311" s="2">
        <v>45549</v>
      </c>
      <c r="H1311" t="s">
        <v>865</v>
      </c>
      <c r="I1311">
        <v>208.1</v>
      </c>
      <c r="J1311" s="1">
        <v>50000</v>
      </c>
      <c r="K1311" s="1">
        <v>50000</v>
      </c>
    </row>
    <row r="1312" spans="1:11" x14ac:dyDescent="0.25">
      <c r="A1312" t="s">
        <v>866</v>
      </c>
      <c r="B1312" t="s">
        <v>66</v>
      </c>
      <c r="C1312" t="s">
        <v>35</v>
      </c>
      <c r="D1312" t="s">
        <v>4466</v>
      </c>
      <c r="E1312" t="s">
        <v>3304</v>
      </c>
      <c r="F1312" t="s">
        <v>2740</v>
      </c>
      <c r="G1312" s="2">
        <v>45549</v>
      </c>
      <c r="H1312" t="s">
        <v>867</v>
      </c>
      <c r="I1312">
        <v>208.1</v>
      </c>
      <c r="J1312" s="1">
        <v>50000</v>
      </c>
      <c r="K1312" s="1">
        <v>50000</v>
      </c>
    </row>
    <row r="1313" spans="1:11" x14ac:dyDescent="0.25">
      <c r="A1313" t="s">
        <v>868</v>
      </c>
      <c r="B1313" t="s">
        <v>2702</v>
      </c>
      <c r="C1313" t="s">
        <v>35</v>
      </c>
      <c r="D1313" t="s">
        <v>3305</v>
      </c>
      <c r="E1313" t="s">
        <v>3304</v>
      </c>
      <c r="F1313" t="s">
        <v>2740</v>
      </c>
      <c r="G1313" s="2">
        <v>45549</v>
      </c>
      <c r="H1313" t="s">
        <v>869</v>
      </c>
      <c r="I1313">
        <v>208.2</v>
      </c>
      <c r="J1313" s="1">
        <v>50000</v>
      </c>
      <c r="K1313" s="1">
        <v>50000</v>
      </c>
    </row>
    <row r="1314" spans="1:11" x14ac:dyDescent="0.25">
      <c r="A1314" t="s">
        <v>870</v>
      </c>
      <c r="B1314" t="s">
        <v>4463</v>
      </c>
      <c r="C1314" t="s">
        <v>35</v>
      </c>
      <c r="D1314" t="s">
        <v>4464</v>
      </c>
      <c r="E1314" t="s">
        <v>3304</v>
      </c>
      <c r="F1314" t="s">
        <v>2740</v>
      </c>
      <c r="G1314" s="2">
        <v>45549</v>
      </c>
      <c r="H1314" t="s">
        <v>871</v>
      </c>
      <c r="I1314">
        <v>208.2</v>
      </c>
      <c r="J1314" s="1">
        <v>50000</v>
      </c>
      <c r="K1314" s="1">
        <v>50000</v>
      </c>
    </row>
    <row r="1315" spans="1:11" x14ac:dyDescent="0.25">
      <c r="A1315" t="s">
        <v>872</v>
      </c>
      <c r="B1315" t="s">
        <v>2722</v>
      </c>
      <c r="C1315" t="s">
        <v>16</v>
      </c>
      <c r="D1315" t="s">
        <v>4462</v>
      </c>
      <c r="E1315" t="s">
        <v>4446</v>
      </c>
      <c r="F1315" t="s">
        <v>2740</v>
      </c>
      <c r="G1315" s="2">
        <v>45549</v>
      </c>
      <c r="H1315" t="s">
        <v>873</v>
      </c>
      <c r="I1315">
        <v>145.69999999999999</v>
      </c>
      <c r="J1315" s="1">
        <v>35000</v>
      </c>
      <c r="K1315" s="1">
        <v>35000</v>
      </c>
    </row>
    <row r="1316" spans="1:11" x14ac:dyDescent="0.25">
      <c r="A1316" t="s">
        <v>874</v>
      </c>
      <c r="B1316" t="s">
        <v>2705</v>
      </c>
      <c r="C1316" t="s">
        <v>42</v>
      </c>
      <c r="D1316" t="s">
        <v>4467</v>
      </c>
      <c r="E1316" t="s">
        <v>4435</v>
      </c>
      <c r="F1316" t="s">
        <v>2740</v>
      </c>
      <c r="G1316" s="2">
        <v>45549</v>
      </c>
      <c r="H1316" t="s">
        <v>875</v>
      </c>
      <c r="I1316">
        <v>62.5</v>
      </c>
      <c r="J1316" s="1">
        <v>15000</v>
      </c>
      <c r="K1316" s="1">
        <v>15000</v>
      </c>
    </row>
    <row r="1317" spans="1:11" x14ac:dyDescent="0.25">
      <c r="A1317" t="s">
        <v>858</v>
      </c>
      <c r="B1317" t="s">
        <v>2701</v>
      </c>
      <c r="C1317" t="s">
        <v>16</v>
      </c>
      <c r="D1317" t="s">
        <v>4466</v>
      </c>
      <c r="E1317" t="s">
        <v>4453</v>
      </c>
      <c r="F1317" t="s">
        <v>2740</v>
      </c>
      <c r="G1317" s="2">
        <v>45550</v>
      </c>
      <c r="H1317" t="s">
        <v>859</v>
      </c>
      <c r="I1317">
        <v>41.7</v>
      </c>
      <c r="J1317" s="1">
        <v>10000</v>
      </c>
      <c r="K1317" s="1">
        <v>10000</v>
      </c>
    </row>
    <row r="1318" spans="1:11" x14ac:dyDescent="0.25">
      <c r="A1318" t="s">
        <v>860</v>
      </c>
      <c r="B1318" t="s">
        <v>2709</v>
      </c>
      <c r="C1318" t="s">
        <v>42</v>
      </c>
      <c r="D1318" t="s">
        <v>4467</v>
      </c>
      <c r="E1318" t="s">
        <v>4456</v>
      </c>
      <c r="F1318" t="s">
        <v>2740</v>
      </c>
      <c r="G1318" s="2">
        <v>45550</v>
      </c>
      <c r="H1318" t="s">
        <v>861</v>
      </c>
      <c r="I1318">
        <v>166.5</v>
      </c>
      <c r="J1318" s="1">
        <v>40000</v>
      </c>
      <c r="K1318" s="1">
        <v>40000</v>
      </c>
    </row>
    <row r="1319" spans="1:11" x14ac:dyDescent="0.25">
      <c r="A1319" t="s">
        <v>853</v>
      </c>
      <c r="B1319" t="s">
        <v>2731</v>
      </c>
      <c r="C1319" t="s">
        <v>16</v>
      </c>
      <c r="D1319" t="s">
        <v>4465</v>
      </c>
      <c r="E1319" t="s">
        <v>4460</v>
      </c>
      <c r="F1319" t="s">
        <v>2740</v>
      </c>
      <c r="G1319" s="2">
        <v>45551</v>
      </c>
      <c r="H1319" t="s">
        <v>854</v>
      </c>
      <c r="I1319">
        <v>749.3</v>
      </c>
      <c r="J1319" s="1">
        <v>180000</v>
      </c>
      <c r="K1319" s="1">
        <v>180000</v>
      </c>
    </row>
    <row r="1320" spans="1:11" x14ac:dyDescent="0.25">
      <c r="A1320" t="s">
        <v>856</v>
      </c>
      <c r="B1320" t="s">
        <v>2705</v>
      </c>
      <c r="C1320" t="s">
        <v>42</v>
      </c>
      <c r="D1320" t="s">
        <v>4467</v>
      </c>
      <c r="E1320" t="s">
        <v>4435</v>
      </c>
      <c r="F1320" t="s">
        <v>2740</v>
      </c>
      <c r="G1320" s="2">
        <v>45551</v>
      </c>
      <c r="H1320" t="s">
        <v>857</v>
      </c>
      <c r="I1320">
        <v>104</v>
      </c>
      <c r="J1320" s="1">
        <v>25000</v>
      </c>
      <c r="K1320" s="1">
        <v>25000</v>
      </c>
    </row>
    <row r="1321" spans="1:11" x14ac:dyDescent="0.25">
      <c r="A1321" t="s">
        <v>851</v>
      </c>
      <c r="B1321" t="s">
        <v>2718</v>
      </c>
      <c r="C1321" t="s">
        <v>16</v>
      </c>
      <c r="D1321" t="s">
        <v>4466</v>
      </c>
      <c r="E1321" t="s">
        <v>4438</v>
      </c>
      <c r="F1321" t="s">
        <v>2740</v>
      </c>
      <c r="G1321" s="2">
        <v>45552</v>
      </c>
      <c r="H1321" t="s">
        <v>852</v>
      </c>
      <c r="I1321">
        <v>187.3</v>
      </c>
      <c r="J1321" s="1">
        <v>45000</v>
      </c>
      <c r="K1321" s="1">
        <v>45000</v>
      </c>
    </row>
    <row r="1322" spans="1:11" x14ac:dyDescent="0.25">
      <c r="A1322" t="s">
        <v>845</v>
      </c>
      <c r="B1322" t="s">
        <v>2701</v>
      </c>
      <c r="C1322" t="s">
        <v>16</v>
      </c>
      <c r="D1322" t="s">
        <v>4466</v>
      </c>
      <c r="E1322" t="s">
        <v>4453</v>
      </c>
      <c r="F1322" t="s">
        <v>2740</v>
      </c>
      <c r="G1322" s="2">
        <v>45553</v>
      </c>
      <c r="H1322" t="s">
        <v>846</v>
      </c>
      <c r="I1322">
        <v>41.6</v>
      </c>
      <c r="J1322" s="1">
        <v>10000</v>
      </c>
      <c r="K1322" s="1">
        <v>10000</v>
      </c>
    </row>
    <row r="1323" spans="1:11" x14ac:dyDescent="0.25">
      <c r="A1323" t="s">
        <v>847</v>
      </c>
      <c r="B1323" t="s">
        <v>2705</v>
      </c>
      <c r="C1323" t="s">
        <v>42</v>
      </c>
      <c r="D1323" t="s">
        <v>4467</v>
      </c>
      <c r="E1323" t="s">
        <v>4435</v>
      </c>
      <c r="F1323" t="s">
        <v>2740</v>
      </c>
      <c r="G1323" s="2">
        <v>45553</v>
      </c>
      <c r="H1323" t="s">
        <v>848</v>
      </c>
      <c r="I1323">
        <v>41.7</v>
      </c>
      <c r="J1323" s="1">
        <v>10000</v>
      </c>
      <c r="K1323" s="1">
        <v>10000</v>
      </c>
    </row>
    <row r="1324" spans="1:11" x14ac:dyDescent="0.25">
      <c r="A1324" t="s">
        <v>849</v>
      </c>
      <c r="B1324" t="s">
        <v>66</v>
      </c>
      <c r="C1324" t="s">
        <v>35</v>
      </c>
      <c r="D1324" t="s">
        <v>4466</v>
      </c>
      <c r="E1324" t="s">
        <v>3304</v>
      </c>
      <c r="F1324" t="s">
        <v>2740</v>
      </c>
      <c r="G1324" s="2">
        <v>45553</v>
      </c>
      <c r="H1324" t="s">
        <v>850</v>
      </c>
      <c r="I1324">
        <v>416.3</v>
      </c>
      <c r="J1324" s="1">
        <v>100000</v>
      </c>
      <c r="K1324" s="1">
        <v>100000</v>
      </c>
    </row>
    <row r="1325" spans="1:11" x14ac:dyDescent="0.25">
      <c r="A1325" t="s">
        <v>841</v>
      </c>
      <c r="B1325" t="s">
        <v>2710</v>
      </c>
      <c r="C1325" t="s">
        <v>42</v>
      </c>
      <c r="D1325" t="s">
        <v>4467</v>
      </c>
      <c r="E1325" t="s">
        <v>4436</v>
      </c>
      <c r="F1325" t="s">
        <v>2740</v>
      </c>
      <c r="G1325" s="2">
        <v>45554</v>
      </c>
      <c r="H1325" t="s">
        <v>842</v>
      </c>
      <c r="I1325">
        <v>624.5</v>
      </c>
      <c r="J1325" s="1">
        <v>150000</v>
      </c>
      <c r="K1325" s="1">
        <v>150000</v>
      </c>
    </row>
    <row r="1326" spans="1:11" x14ac:dyDescent="0.25">
      <c r="A1326" t="s">
        <v>843</v>
      </c>
      <c r="B1326" t="s">
        <v>2729</v>
      </c>
      <c r="C1326" t="s">
        <v>16</v>
      </c>
      <c r="D1326" t="s">
        <v>4465</v>
      </c>
      <c r="E1326" t="s">
        <v>4427</v>
      </c>
      <c r="F1326" t="s">
        <v>2740</v>
      </c>
      <c r="G1326" s="2">
        <v>45554</v>
      </c>
      <c r="H1326" t="s">
        <v>844</v>
      </c>
      <c r="I1326">
        <v>145.69999999999999</v>
      </c>
      <c r="J1326" s="1">
        <v>35000</v>
      </c>
      <c r="K1326" s="1">
        <v>35000</v>
      </c>
    </row>
    <row r="1327" spans="1:11" x14ac:dyDescent="0.25">
      <c r="A1327" t="s">
        <v>827</v>
      </c>
      <c r="B1327" t="s">
        <v>2705</v>
      </c>
      <c r="C1327" t="s">
        <v>42</v>
      </c>
      <c r="D1327" t="s">
        <v>4467</v>
      </c>
      <c r="E1327" t="s">
        <v>4435</v>
      </c>
      <c r="F1327" t="s">
        <v>2740</v>
      </c>
      <c r="G1327" s="2">
        <v>45555</v>
      </c>
      <c r="H1327" t="s">
        <v>828</v>
      </c>
      <c r="I1327">
        <v>104</v>
      </c>
      <c r="J1327" s="1">
        <v>25000</v>
      </c>
      <c r="K1327" s="1">
        <v>25000</v>
      </c>
    </row>
    <row r="1328" spans="1:11" x14ac:dyDescent="0.25">
      <c r="A1328" t="s">
        <v>830</v>
      </c>
      <c r="B1328" t="s">
        <v>2699</v>
      </c>
      <c r="C1328" t="s">
        <v>16</v>
      </c>
      <c r="D1328" t="s">
        <v>4462</v>
      </c>
      <c r="E1328" t="s">
        <v>4440</v>
      </c>
      <c r="F1328" t="s">
        <v>2740</v>
      </c>
      <c r="G1328" s="2">
        <v>45555</v>
      </c>
      <c r="H1328" t="s">
        <v>831</v>
      </c>
      <c r="I1328">
        <v>124.9</v>
      </c>
      <c r="J1328" s="1">
        <v>30000</v>
      </c>
      <c r="K1328" s="1">
        <v>30000</v>
      </c>
    </row>
    <row r="1329" spans="1:11" x14ac:dyDescent="0.25">
      <c r="A1329" t="s">
        <v>834</v>
      </c>
      <c r="B1329" t="s">
        <v>4463</v>
      </c>
      <c r="C1329" t="s">
        <v>35</v>
      </c>
      <c r="D1329" t="s">
        <v>4464</v>
      </c>
      <c r="E1329" t="s">
        <v>3304</v>
      </c>
      <c r="F1329" t="s">
        <v>2740</v>
      </c>
      <c r="G1329" s="2">
        <v>45555</v>
      </c>
      <c r="H1329" t="s">
        <v>835</v>
      </c>
      <c r="I1329">
        <v>416.3</v>
      </c>
      <c r="J1329" s="1">
        <v>100000</v>
      </c>
      <c r="K1329" s="1">
        <v>100000</v>
      </c>
    </row>
    <row r="1330" spans="1:11" x14ac:dyDescent="0.25">
      <c r="A1330" t="s">
        <v>836</v>
      </c>
      <c r="B1330" t="s">
        <v>4471</v>
      </c>
      <c r="C1330" t="s">
        <v>35</v>
      </c>
      <c r="D1330" t="s">
        <v>4470</v>
      </c>
      <c r="E1330" t="s">
        <v>35</v>
      </c>
      <c r="F1330" t="s">
        <v>2740</v>
      </c>
      <c r="G1330" s="2">
        <v>45555</v>
      </c>
      <c r="H1330" t="s">
        <v>837</v>
      </c>
      <c r="I1330">
        <v>208.2</v>
      </c>
      <c r="J1330" s="1">
        <v>50000</v>
      </c>
      <c r="K1330" s="1">
        <v>50000</v>
      </c>
    </row>
    <row r="1331" spans="1:11" x14ac:dyDescent="0.25">
      <c r="A1331" t="s">
        <v>838</v>
      </c>
      <c r="B1331" t="s">
        <v>2732</v>
      </c>
      <c r="C1331" t="s">
        <v>16</v>
      </c>
      <c r="D1331" t="s">
        <v>4461</v>
      </c>
      <c r="E1331" t="s">
        <v>4444</v>
      </c>
      <c r="F1331" t="s">
        <v>2740</v>
      </c>
      <c r="G1331" s="2">
        <v>45555</v>
      </c>
      <c r="H1331" t="s">
        <v>839</v>
      </c>
      <c r="I1331">
        <v>62.5</v>
      </c>
      <c r="J1331" s="1">
        <v>15000</v>
      </c>
      <c r="K1331" s="1">
        <v>15000</v>
      </c>
    </row>
    <row r="1332" spans="1:11" x14ac:dyDescent="0.25">
      <c r="A1332" t="s">
        <v>815</v>
      </c>
      <c r="B1332" t="s">
        <v>2700</v>
      </c>
      <c r="C1332" t="s">
        <v>27</v>
      </c>
      <c r="D1332" t="s">
        <v>4466</v>
      </c>
      <c r="E1332" t="s">
        <v>4450</v>
      </c>
      <c r="F1332" t="s">
        <v>2740</v>
      </c>
      <c r="G1332" s="2">
        <v>45556</v>
      </c>
      <c r="H1332" t="s">
        <v>816</v>
      </c>
      <c r="I1332">
        <v>208.2</v>
      </c>
      <c r="J1332" s="1">
        <v>50000</v>
      </c>
      <c r="K1332" s="1">
        <v>50000</v>
      </c>
    </row>
    <row r="1333" spans="1:11" x14ac:dyDescent="0.25">
      <c r="A1333" t="s">
        <v>817</v>
      </c>
      <c r="B1333" t="s">
        <v>133</v>
      </c>
      <c r="C1333" t="s">
        <v>35</v>
      </c>
      <c r="D1333" t="s">
        <v>4461</v>
      </c>
      <c r="E1333" t="s">
        <v>3304</v>
      </c>
      <c r="F1333" t="s">
        <v>2740</v>
      </c>
      <c r="G1333" s="2">
        <v>45556</v>
      </c>
      <c r="H1333" t="s">
        <v>818</v>
      </c>
      <c r="I1333">
        <v>416.3</v>
      </c>
      <c r="J1333" s="1">
        <v>100000</v>
      </c>
      <c r="K1333" s="1">
        <v>100000</v>
      </c>
    </row>
    <row r="1334" spans="1:11" x14ac:dyDescent="0.25">
      <c r="A1334" t="s">
        <v>819</v>
      </c>
      <c r="B1334" t="s">
        <v>136</v>
      </c>
      <c r="C1334" t="s">
        <v>35</v>
      </c>
      <c r="D1334" t="s">
        <v>4462</v>
      </c>
      <c r="E1334" t="s">
        <v>3304</v>
      </c>
      <c r="F1334" t="s">
        <v>2740</v>
      </c>
      <c r="G1334" s="2">
        <v>45556</v>
      </c>
      <c r="H1334" t="s">
        <v>820</v>
      </c>
      <c r="I1334">
        <v>416.3</v>
      </c>
      <c r="J1334" s="1">
        <v>100000</v>
      </c>
      <c r="K1334" s="1">
        <v>100000</v>
      </c>
    </row>
    <row r="1335" spans="1:11" x14ac:dyDescent="0.25">
      <c r="A1335" t="s">
        <v>821</v>
      </c>
      <c r="B1335" t="s">
        <v>66</v>
      </c>
      <c r="C1335" t="s">
        <v>35</v>
      </c>
      <c r="D1335" t="s">
        <v>4466</v>
      </c>
      <c r="E1335" t="s">
        <v>3304</v>
      </c>
      <c r="F1335" t="s">
        <v>2740</v>
      </c>
      <c r="G1335" s="2">
        <v>45556</v>
      </c>
      <c r="H1335" t="s">
        <v>822</v>
      </c>
      <c r="I1335">
        <v>416.3</v>
      </c>
      <c r="J1335" s="1">
        <v>100000</v>
      </c>
      <c r="K1335" s="1">
        <v>100000</v>
      </c>
    </row>
    <row r="1336" spans="1:11" x14ac:dyDescent="0.25">
      <c r="A1336" t="s">
        <v>823</v>
      </c>
      <c r="B1336" t="s">
        <v>2702</v>
      </c>
      <c r="C1336" t="s">
        <v>35</v>
      </c>
      <c r="D1336" t="s">
        <v>3305</v>
      </c>
      <c r="E1336" t="s">
        <v>3304</v>
      </c>
      <c r="F1336" t="s">
        <v>2740</v>
      </c>
      <c r="G1336" s="2">
        <v>45556</v>
      </c>
      <c r="H1336" t="s">
        <v>824</v>
      </c>
      <c r="I1336">
        <v>416.3</v>
      </c>
      <c r="J1336" s="1">
        <v>100000</v>
      </c>
      <c r="K1336" s="1">
        <v>100000</v>
      </c>
    </row>
    <row r="1337" spans="1:11" x14ac:dyDescent="0.25">
      <c r="A1337" t="s">
        <v>825</v>
      </c>
      <c r="B1337" t="s">
        <v>4463</v>
      </c>
      <c r="C1337" t="s">
        <v>35</v>
      </c>
      <c r="D1337" t="s">
        <v>4464</v>
      </c>
      <c r="E1337" t="s">
        <v>3304</v>
      </c>
      <c r="F1337" t="s">
        <v>2740</v>
      </c>
      <c r="G1337" s="2">
        <v>45556</v>
      </c>
      <c r="H1337" t="s">
        <v>826</v>
      </c>
      <c r="I1337">
        <v>832.6</v>
      </c>
      <c r="J1337" s="1">
        <v>200000</v>
      </c>
      <c r="K1337" s="1">
        <v>200000</v>
      </c>
    </row>
    <row r="1338" spans="1:11" x14ac:dyDescent="0.25">
      <c r="A1338" t="s">
        <v>807</v>
      </c>
      <c r="B1338" t="s">
        <v>2722</v>
      </c>
      <c r="C1338" t="s">
        <v>16</v>
      </c>
      <c r="D1338" t="s">
        <v>4462</v>
      </c>
      <c r="E1338" t="s">
        <v>4446</v>
      </c>
      <c r="F1338" t="s">
        <v>2740</v>
      </c>
      <c r="G1338" s="2">
        <v>45557</v>
      </c>
      <c r="H1338" t="s">
        <v>808</v>
      </c>
      <c r="I1338">
        <v>62.5</v>
      </c>
      <c r="J1338" s="1">
        <v>15000</v>
      </c>
      <c r="K1338" s="1">
        <v>15000</v>
      </c>
    </row>
    <row r="1339" spans="1:11" x14ac:dyDescent="0.25">
      <c r="A1339" t="s">
        <v>809</v>
      </c>
      <c r="B1339" t="s">
        <v>2713</v>
      </c>
      <c r="C1339" t="s">
        <v>16</v>
      </c>
      <c r="D1339" t="s">
        <v>4465</v>
      </c>
      <c r="E1339" t="s">
        <v>4428</v>
      </c>
      <c r="F1339" t="s">
        <v>2740</v>
      </c>
      <c r="G1339" s="2">
        <v>45557</v>
      </c>
      <c r="H1339" t="s">
        <v>810</v>
      </c>
      <c r="I1339">
        <v>104.1</v>
      </c>
      <c r="J1339" s="1">
        <v>25000</v>
      </c>
      <c r="K1339" s="1">
        <v>25000</v>
      </c>
    </row>
    <row r="1340" spans="1:11" x14ac:dyDescent="0.25">
      <c r="A1340" t="s">
        <v>811</v>
      </c>
      <c r="B1340" t="s">
        <v>2719</v>
      </c>
      <c r="C1340" t="s">
        <v>16</v>
      </c>
      <c r="D1340" t="s">
        <v>4466</v>
      </c>
      <c r="E1340" t="s">
        <v>4430</v>
      </c>
      <c r="F1340" t="s">
        <v>2740</v>
      </c>
      <c r="G1340" s="2">
        <v>45557</v>
      </c>
      <c r="H1340" t="s">
        <v>812</v>
      </c>
      <c r="I1340">
        <v>104.1</v>
      </c>
      <c r="J1340" s="1">
        <v>25000</v>
      </c>
      <c r="K1340" s="1">
        <v>25000</v>
      </c>
    </row>
    <row r="1341" spans="1:11" x14ac:dyDescent="0.25">
      <c r="A1341" t="s">
        <v>813</v>
      </c>
      <c r="B1341" t="s">
        <v>2728</v>
      </c>
      <c r="C1341" t="s">
        <v>16</v>
      </c>
      <c r="D1341" t="s">
        <v>4465</v>
      </c>
      <c r="E1341" t="s">
        <v>4439</v>
      </c>
      <c r="F1341" t="s">
        <v>2740</v>
      </c>
      <c r="G1341" s="2">
        <v>45557</v>
      </c>
      <c r="H1341" t="s">
        <v>814</v>
      </c>
      <c r="I1341">
        <v>208.1</v>
      </c>
      <c r="J1341" s="1">
        <v>50000</v>
      </c>
      <c r="K1341" s="1">
        <v>50000</v>
      </c>
    </row>
    <row r="1342" spans="1:11" x14ac:dyDescent="0.25">
      <c r="A1342" t="s">
        <v>801</v>
      </c>
      <c r="B1342" t="s">
        <v>2698</v>
      </c>
      <c r="C1342" t="s">
        <v>16</v>
      </c>
      <c r="D1342" t="s">
        <v>4465</v>
      </c>
      <c r="E1342" t="s">
        <v>4442</v>
      </c>
      <c r="F1342" t="s">
        <v>2740</v>
      </c>
      <c r="G1342" s="2">
        <v>45558</v>
      </c>
      <c r="H1342" t="s">
        <v>802</v>
      </c>
      <c r="I1342">
        <v>166.5</v>
      </c>
      <c r="J1342" s="1">
        <v>40000</v>
      </c>
      <c r="K1342" s="1">
        <v>40000</v>
      </c>
    </row>
    <row r="1343" spans="1:11" x14ac:dyDescent="0.25">
      <c r="A1343" t="s">
        <v>804</v>
      </c>
      <c r="B1343" t="s">
        <v>2737</v>
      </c>
      <c r="C1343" t="s">
        <v>16</v>
      </c>
      <c r="D1343" t="s">
        <v>4466</v>
      </c>
      <c r="E1343" t="s">
        <v>4432</v>
      </c>
      <c r="F1343" t="s">
        <v>2740</v>
      </c>
      <c r="G1343" s="2">
        <v>45558</v>
      </c>
      <c r="H1343" t="s">
        <v>805</v>
      </c>
      <c r="I1343">
        <v>271</v>
      </c>
      <c r="J1343" s="1">
        <v>65100</v>
      </c>
      <c r="K1343" s="1">
        <v>65100</v>
      </c>
    </row>
    <row r="1344" spans="1:11" x14ac:dyDescent="0.25">
      <c r="A1344" t="s">
        <v>793</v>
      </c>
      <c r="B1344" t="s">
        <v>2736</v>
      </c>
      <c r="C1344" t="s">
        <v>16</v>
      </c>
      <c r="D1344" t="s">
        <v>4461</v>
      </c>
      <c r="E1344" t="s">
        <v>4459</v>
      </c>
      <c r="F1344" t="s">
        <v>2740</v>
      </c>
      <c r="G1344" s="2">
        <v>45559</v>
      </c>
      <c r="H1344" t="s">
        <v>795</v>
      </c>
      <c r="I1344">
        <v>416.3</v>
      </c>
      <c r="J1344" s="1">
        <v>100000</v>
      </c>
      <c r="K1344" s="1">
        <v>100000</v>
      </c>
    </row>
    <row r="1345" spans="1:11" x14ac:dyDescent="0.25">
      <c r="A1345" t="s">
        <v>796</v>
      </c>
      <c r="B1345" t="s">
        <v>2736</v>
      </c>
      <c r="C1345" t="s">
        <v>16</v>
      </c>
      <c r="D1345" t="s">
        <v>4461</v>
      </c>
      <c r="E1345" t="s">
        <v>4459</v>
      </c>
      <c r="F1345" t="s">
        <v>2740</v>
      </c>
      <c r="G1345" s="2">
        <v>45559</v>
      </c>
      <c r="H1345" t="s">
        <v>797</v>
      </c>
      <c r="I1345">
        <v>41.6</v>
      </c>
      <c r="J1345" s="1">
        <v>10000</v>
      </c>
      <c r="K1345" s="1">
        <v>10000</v>
      </c>
    </row>
    <row r="1346" spans="1:11" x14ac:dyDescent="0.25">
      <c r="A1346" t="s">
        <v>799</v>
      </c>
      <c r="B1346" t="s">
        <v>2705</v>
      </c>
      <c r="C1346" t="s">
        <v>42</v>
      </c>
      <c r="D1346" t="s">
        <v>4467</v>
      </c>
      <c r="E1346" t="s">
        <v>4435</v>
      </c>
      <c r="F1346" t="s">
        <v>2740</v>
      </c>
      <c r="G1346" s="2">
        <v>45559</v>
      </c>
      <c r="H1346" t="s">
        <v>800</v>
      </c>
      <c r="I1346">
        <v>104.1</v>
      </c>
      <c r="J1346" s="1">
        <v>25000</v>
      </c>
      <c r="K1346" s="1">
        <v>25000</v>
      </c>
    </row>
    <row r="1347" spans="1:11" x14ac:dyDescent="0.25">
      <c r="A1347" t="s">
        <v>785</v>
      </c>
      <c r="B1347" t="s">
        <v>2732</v>
      </c>
      <c r="C1347" t="s">
        <v>16</v>
      </c>
      <c r="D1347" t="s">
        <v>4461</v>
      </c>
      <c r="E1347" t="s">
        <v>4444</v>
      </c>
      <c r="F1347" t="s">
        <v>2740</v>
      </c>
      <c r="G1347" s="2">
        <v>45560</v>
      </c>
      <c r="H1347" t="s">
        <v>786</v>
      </c>
      <c r="I1347">
        <v>83.2</v>
      </c>
      <c r="J1347" s="1">
        <v>20000</v>
      </c>
      <c r="K1347" s="1">
        <v>20000</v>
      </c>
    </row>
    <row r="1348" spans="1:11" x14ac:dyDescent="0.25">
      <c r="A1348" t="s">
        <v>787</v>
      </c>
      <c r="B1348" t="s">
        <v>2714</v>
      </c>
      <c r="C1348" t="s">
        <v>16</v>
      </c>
      <c r="D1348" t="s">
        <v>4466</v>
      </c>
      <c r="E1348" t="s">
        <v>4434</v>
      </c>
      <c r="F1348" t="s">
        <v>2740</v>
      </c>
      <c r="G1348" s="2">
        <v>45560</v>
      </c>
      <c r="H1348" t="s">
        <v>788</v>
      </c>
      <c r="I1348">
        <v>416.3</v>
      </c>
      <c r="J1348" s="1">
        <v>100000</v>
      </c>
      <c r="K1348" s="1">
        <v>100000</v>
      </c>
    </row>
    <row r="1349" spans="1:11" x14ac:dyDescent="0.25">
      <c r="A1349" t="s">
        <v>789</v>
      </c>
      <c r="B1349" t="s">
        <v>2725</v>
      </c>
      <c r="C1349" t="s">
        <v>16</v>
      </c>
      <c r="D1349" t="s">
        <v>4465</v>
      </c>
      <c r="E1349" t="s">
        <v>4429</v>
      </c>
      <c r="F1349" t="s">
        <v>2740</v>
      </c>
      <c r="G1349" s="2">
        <v>45560</v>
      </c>
      <c r="H1349" t="s">
        <v>790</v>
      </c>
      <c r="I1349">
        <v>782.6</v>
      </c>
      <c r="J1349" s="1">
        <v>188000</v>
      </c>
      <c r="K1349" s="1">
        <v>188000</v>
      </c>
    </row>
    <row r="1350" spans="1:11" x14ac:dyDescent="0.25">
      <c r="A1350" t="s">
        <v>791</v>
      </c>
      <c r="B1350" t="s">
        <v>2701</v>
      </c>
      <c r="C1350" t="s">
        <v>16</v>
      </c>
      <c r="D1350" t="s">
        <v>4466</v>
      </c>
      <c r="E1350" t="s">
        <v>4453</v>
      </c>
      <c r="F1350" t="s">
        <v>2740</v>
      </c>
      <c r="G1350" s="2">
        <v>45560</v>
      </c>
      <c r="H1350" t="s">
        <v>792</v>
      </c>
      <c r="I1350">
        <v>41.6</v>
      </c>
      <c r="J1350" s="1">
        <v>10000</v>
      </c>
      <c r="K1350" s="1">
        <v>10000</v>
      </c>
    </row>
    <row r="1351" spans="1:11" x14ac:dyDescent="0.25">
      <c r="A1351" t="s">
        <v>781</v>
      </c>
      <c r="B1351" t="s">
        <v>2709</v>
      </c>
      <c r="C1351" t="s">
        <v>42</v>
      </c>
      <c r="D1351" t="s">
        <v>4467</v>
      </c>
      <c r="E1351" t="s">
        <v>4456</v>
      </c>
      <c r="F1351" t="s">
        <v>2740</v>
      </c>
      <c r="G1351" s="2">
        <v>45561</v>
      </c>
      <c r="H1351" t="s">
        <v>782</v>
      </c>
      <c r="I1351">
        <v>333.1</v>
      </c>
      <c r="J1351" s="1">
        <v>80000</v>
      </c>
      <c r="K1351" s="1">
        <v>80000</v>
      </c>
    </row>
    <row r="1352" spans="1:11" x14ac:dyDescent="0.25">
      <c r="A1352" t="s">
        <v>783</v>
      </c>
      <c r="B1352" t="s">
        <v>2705</v>
      </c>
      <c r="C1352" t="s">
        <v>42</v>
      </c>
      <c r="D1352" t="s">
        <v>4467</v>
      </c>
      <c r="E1352" t="s">
        <v>4435</v>
      </c>
      <c r="F1352" t="s">
        <v>2740</v>
      </c>
      <c r="G1352" s="2">
        <v>45561</v>
      </c>
      <c r="H1352" t="s">
        <v>784</v>
      </c>
      <c r="I1352">
        <v>104.1</v>
      </c>
      <c r="J1352" s="1">
        <v>25000</v>
      </c>
      <c r="K1352" s="1">
        <v>25000</v>
      </c>
    </row>
    <row r="1353" spans="1:11" x14ac:dyDescent="0.25">
      <c r="A1353" t="s">
        <v>770</v>
      </c>
      <c r="B1353" t="s">
        <v>2705</v>
      </c>
      <c r="C1353" t="s">
        <v>42</v>
      </c>
      <c r="D1353" t="s">
        <v>4467</v>
      </c>
      <c r="E1353" t="s">
        <v>4435</v>
      </c>
      <c r="F1353" t="s">
        <v>2740</v>
      </c>
      <c r="G1353" s="2">
        <v>45562</v>
      </c>
      <c r="H1353" t="s">
        <v>771</v>
      </c>
      <c r="I1353">
        <v>208.2</v>
      </c>
      <c r="J1353" s="1">
        <v>50000</v>
      </c>
      <c r="K1353" s="1">
        <v>50000</v>
      </c>
    </row>
    <row r="1354" spans="1:11" x14ac:dyDescent="0.25">
      <c r="A1354" t="s">
        <v>773</v>
      </c>
      <c r="B1354" t="s">
        <v>2722</v>
      </c>
      <c r="C1354" t="s">
        <v>16</v>
      </c>
      <c r="D1354" t="s">
        <v>4462</v>
      </c>
      <c r="E1354" t="s">
        <v>4446</v>
      </c>
      <c r="F1354" t="s">
        <v>2740</v>
      </c>
      <c r="G1354" s="2">
        <v>45562</v>
      </c>
      <c r="H1354" t="s">
        <v>774</v>
      </c>
      <c r="I1354">
        <v>208.1</v>
      </c>
      <c r="J1354" s="1">
        <v>50000</v>
      </c>
      <c r="K1354" s="1">
        <v>50000</v>
      </c>
    </row>
    <row r="1355" spans="1:11" x14ac:dyDescent="0.25">
      <c r="A1355" t="s">
        <v>776</v>
      </c>
      <c r="B1355" t="s">
        <v>2727</v>
      </c>
      <c r="C1355" t="s">
        <v>16</v>
      </c>
      <c r="D1355" t="s">
        <v>4465</v>
      </c>
      <c r="E1355" t="s">
        <v>4445</v>
      </c>
      <c r="F1355" t="s">
        <v>2740</v>
      </c>
      <c r="G1355" s="2">
        <v>45562</v>
      </c>
      <c r="H1355" t="s">
        <v>777</v>
      </c>
      <c r="I1355">
        <v>166.5</v>
      </c>
      <c r="J1355" s="1">
        <v>40000</v>
      </c>
      <c r="K1355" s="1">
        <v>40000</v>
      </c>
    </row>
    <row r="1356" spans="1:11" x14ac:dyDescent="0.25">
      <c r="A1356" t="s">
        <v>778</v>
      </c>
      <c r="B1356" t="s">
        <v>2707</v>
      </c>
      <c r="C1356" t="s">
        <v>16</v>
      </c>
      <c r="D1356" t="s">
        <v>4462</v>
      </c>
      <c r="E1356" t="s">
        <v>4433</v>
      </c>
      <c r="F1356" t="s">
        <v>2740</v>
      </c>
      <c r="G1356" s="2">
        <v>45562</v>
      </c>
      <c r="H1356" t="s">
        <v>779</v>
      </c>
      <c r="I1356">
        <v>707.7</v>
      </c>
      <c r="J1356" s="1">
        <v>170000</v>
      </c>
      <c r="K1356" s="1">
        <v>170000</v>
      </c>
    </row>
    <row r="1357" spans="1:11" x14ac:dyDescent="0.25">
      <c r="A1357" t="s">
        <v>751</v>
      </c>
      <c r="B1357" t="s">
        <v>2719</v>
      </c>
      <c r="C1357" t="s">
        <v>16</v>
      </c>
      <c r="D1357" t="s">
        <v>4466</v>
      </c>
      <c r="E1357" t="s">
        <v>4430</v>
      </c>
      <c r="F1357" t="s">
        <v>2740</v>
      </c>
      <c r="G1357" s="2">
        <v>45563</v>
      </c>
      <c r="H1357" t="s">
        <v>752</v>
      </c>
      <c r="I1357">
        <v>104.1</v>
      </c>
      <c r="J1357" s="1">
        <v>25000</v>
      </c>
      <c r="K1357" s="1">
        <v>25000</v>
      </c>
    </row>
    <row r="1358" spans="1:11" x14ac:dyDescent="0.25">
      <c r="A1358" t="s">
        <v>756</v>
      </c>
      <c r="B1358" t="s">
        <v>2708</v>
      </c>
      <c r="C1358" t="s">
        <v>16</v>
      </c>
      <c r="D1358" t="s">
        <v>4466</v>
      </c>
      <c r="E1358" t="s">
        <v>4457</v>
      </c>
      <c r="F1358" t="s">
        <v>2740</v>
      </c>
      <c r="G1358" s="2">
        <v>45563</v>
      </c>
      <c r="H1358" t="s">
        <v>757</v>
      </c>
      <c r="I1358">
        <v>208.2</v>
      </c>
      <c r="J1358" s="1">
        <v>50000</v>
      </c>
      <c r="K1358" s="1">
        <v>50000</v>
      </c>
    </row>
    <row r="1359" spans="1:11" x14ac:dyDescent="0.25">
      <c r="A1359" t="s">
        <v>761</v>
      </c>
      <c r="B1359" t="s">
        <v>2730</v>
      </c>
      <c r="C1359" t="s">
        <v>42</v>
      </c>
      <c r="D1359" t="s">
        <v>4467</v>
      </c>
      <c r="E1359" t="s">
        <v>4441</v>
      </c>
      <c r="F1359" t="s">
        <v>2740</v>
      </c>
      <c r="G1359" s="2">
        <v>45563</v>
      </c>
      <c r="H1359" t="s">
        <v>762</v>
      </c>
      <c r="I1359">
        <v>208.2</v>
      </c>
      <c r="J1359" s="1">
        <v>50000</v>
      </c>
      <c r="K1359" s="1">
        <v>50000</v>
      </c>
    </row>
    <row r="1360" spans="1:11" x14ac:dyDescent="0.25">
      <c r="A1360" t="s">
        <v>764</v>
      </c>
      <c r="B1360" t="s">
        <v>66</v>
      </c>
      <c r="C1360" t="s">
        <v>35</v>
      </c>
      <c r="D1360" t="s">
        <v>4466</v>
      </c>
      <c r="E1360" t="s">
        <v>3304</v>
      </c>
      <c r="F1360" t="s">
        <v>2740</v>
      </c>
      <c r="G1360" s="2">
        <v>45563</v>
      </c>
      <c r="H1360" t="s">
        <v>765</v>
      </c>
      <c r="I1360">
        <v>416.3</v>
      </c>
      <c r="J1360" s="1">
        <v>100000</v>
      </c>
      <c r="K1360" s="1">
        <v>100000</v>
      </c>
    </row>
    <row r="1361" spans="1:11" x14ac:dyDescent="0.25">
      <c r="A1361" t="s">
        <v>767</v>
      </c>
      <c r="B1361" t="s">
        <v>2713</v>
      </c>
      <c r="C1361" t="s">
        <v>16</v>
      </c>
      <c r="D1361" t="s">
        <v>4465</v>
      </c>
      <c r="E1361" t="s">
        <v>4428</v>
      </c>
      <c r="F1361" t="s">
        <v>2740</v>
      </c>
      <c r="G1361" s="2">
        <v>45563</v>
      </c>
      <c r="H1361" t="s">
        <v>768</v>
      </c>
      <c r="I1361">
        <v>199.8</v>
      </c>
      <c r="J1361" s="1">
        <v>48000</v>
      </c>
      <c r="K1361" s="1">
        <v>48000</v>
      </c>
    </row>
    <row r="1362" spans="1:11" x14ac:dyDescent="0.25">
      <c r="A1362" t="s">
        <v>749</v>
      </c>
      <c r="B1362" t="s">
        <v>2705</v>
      </c>
      <c r="C1362" t="s">
        <v>42</v>
      </c>
      <c r="D1362" t="s">
        <v>4467</v>
      </c>
      <c r="E1362" t="s">
        <v>4435</v>
      </c>
      <c r="F1362" t="s">
        <v>2740</v>
      </c>
      <c r="G1362" s="2">
        <v>45564</v>
      </c>
      <c r="H1362" t="s">
        <v>750</v>
      </c>
      <c r="I1362">
        <v>208.1</v>
      </c>
      <c r="J1362" s="1">
        <v>50000</v>
      </c>
      <c r="K1362" s="1">
        <v>50000</v>
      </c>
    </row>
    <row r="1363" spans="1:11" x14ac:dyDescent="0.25">
      <c r="A1363" t="s">
        <v>722</v>
      </c>
      <c r="B1363" t="s">
        <v>2707</v>
      </c>
      <c r="C1363" t="s">
        <v>16</v>
      </c>
      <c r="D1363" t="s">
        <v>4462</v>
      </c>
      <c r="E1363" t="s">
        <v>4433</v>
      </c>
      <c r="F1363" t="s">
        <v>2740</v>
      </c>
      <c r="G1363" s="2">
        <v>45567</v>
      </c>
      <c r="H1363" t="s">
        <v>723</v>
      </c>
      <c r="I1363">
        <v>208.2</v>
      </c>
      <c r="J1363" s="1">
        <v>50000</v>
      </c>
      <c r="K1363" s="1">
        <v>50000</v>
      </c>
    </row>
    <row r="1364" spans="1:11" x14ac:dyDescent="0.25">
      <c r="A1364" t="s">
        <v>728</v>
      </c>
      <c r="B1364" t="s">
        <v>4463</v>
      </c>
      <c r="C1364" t="s">
        <v>35</v>
      </c>
      <c r="D1364" t="s">
        <v>4464</v>
      </c>
      <c r="E1364" t="s">
        <v>3304</v>
      </c>
      <c r="F1364" t="s">
        <v>2740</v>
      </c>
      <c r="G1364" s="2">
        <v>45567</v>
      </c>
      <c r="H1364" t="s">
        <v>729</v>
      </c>
      <c r="I1364">
        <v>416.3</v>
      </c>
      <c r="J1364" s="1">
        <v>100000</v>
      </c>
      <c r="K1364" s="1">
        <v>100000</v>
      </c>
    </row>
    <row r="1365" spans="1:11" x14ac:dyDescent="0.25">
      <c r="A1365" t="s">
        <v>730</v>
      </c>
      <c r="B1365" t="s">
        <v>2710</v>
      </c>
      <c r="C1365" t="s">
        <v>42</v>
      </c>
      <c r="D1365" t="s">
        <v>4467</v>
      </c>
      <c r="E1365" t="s">
        <v>4436</v>
      </c>
      <c r="F1365" t="s">
        <v>2740</v>
      </c>
      <c r="G1365" s="2">
        <v>45567</v>
      </c>
      <c r="H1365" t="s">
        <v>731</v>
      </c>
      <c r="I1365">
        <v>416.3</v>
      </c>
      <c r="J1365" s="1">
        <v>100000</v>
      </c>
      <c r="K1365" s="1">
        <v>100000</v>
      </c>
    </row>
    <row r="1366" spans="1:11" x14ac:dyDescent="0.25">
      <c r="A1366" t="s">
        <v>717</v>
      </c>
      <c r="B1366" t="s">
        <v>66</v>
      </c>
      <c r="C1366" t="s">
        <v>35</v>
      </c>
      <c r="D1366" t="s">
        <v>4466</v>
      </c>
      <c r="E1366" t="s">
        <v>3304</v>
      </c>
      <c r="F1366" t="s">
        <v>2740</v>
      </c>
      <c r="G1366" s="2">
        <v>45568</v>
      </c>
      <c r="H1366" t="s">
        <v>718</v>
      </c>
      <c r="I1366">
        <v>208.2</v>
      </c>
      <c r="J1366" s="1">
        <v>50000</v>
      </c>
      <c r="K1366" s="1">
        <v>50000</v>
      </c>
    </row>
    <row r="1367" spans="1:11" x14ac:dyDescent="0.25">
      <c r="A1367" t="s">
        <v>719</v>
      </c>
      <c r="B1367" t="s">
        <v>2712</v>
      </c>
      <c r="C1367" t="s">
        <v>16</v>
      </c>
      <c r="D1367" t="s">
        <v>4461</v>
      </c>
      <c r="E1367" t="s">
        <v>4449</v>
      </c>
      <c r="F1367" t="s">
        <v>2740</v>
      </c>
      <c r="G1367" s="2">
        <v>45568</v>
      </c>
      <c r="H1367" t="s">
        <v>720</v>
      </c>
      <c r="I1367">
        <v>374.6</v>
      </c>
      <c r="J1367" s="1">
        <v>90000</v>
      </c>
      <c r="K1367" s="1">
        <v>90000</v>
      </c>
    </row>
    <row r="1368" spans="1:11" x14ac:dyDescent="0.25">
      <c r="A1368" t="s">
        <v>711</v>
      </c>
      <c r="B1368" t="s">
        <v>2729</v>
      </c>
      <c r="C1368" t="s">
        <v>16</v>
      </c>
      <c r="D1368" t="s">
        <v>4465</v>
      </c>
      <c r="E1368" t="s">
        <v>4427</v>
      </c>
      <c r="F1368" t="s">
        <v>2740</v>
      </c>
      <c r="G1368" s="2">
        <v>45569</v>
      </c>
      <c r="H1368" t="s">
        <v>712</v>
      </c>
      <c r="I1368">
        <v>124.9</v>
      </c>
      <c r="J1368" s="1">
        <v>30000</v>
      </c>
      <c r="K1368" s="1">
        <v>30000</v>
      </c>
    </row>
    <row r="1369" spans="1:11" x14ac:dyDescent="0.25">
      <c r="A1369" t="s">
        <v>713</v>
      </c>
      <c r="B1369" t="s">
        <v>2716</v>
      </c>
      <c r="C1369" t="s">
        <v>16</v>
      </c>
      <c r="D1369" t="s">
        <v>4462</v>
      </c>
      <c r="E1369" t="s">
        <v>4458</v>
      </c>
      <c r="F1369" t="s">
        <v>2740</v>
      </c>
      <c r="G1369" s="2">
        <v>45569</v>
      </c>
      <c r="H1369" t="s">
        <v>714</v>
      </c>
      <c r="I1369">
        <v>41.6</v>
      </c>
      <c r="J1369" s="1">
        <v>10000</v>
      </c>
      <c r="K1369" s="1">
        <v>10000</v>
      </c>
    </row>
    <row r="1370" spans="1:11" x14ac:dyDescent="0.25">
      <c r="A1370" t="s">
        <v>715</v>
      </c>
      <c r="B1370" t="s">
        <v>2719</v>
      </c>
      <c r="C1370" t="s">
        <v>16</v>
      </c>
      <c r="D1370" t="s">
        <v>4466</v>
      </c>
      <c r="E1370" t="s">
        <v>4430</v>
      </c>
      <c r="F1370" t="s">
        <v>2740</v>
      </c>
      <c r="G1370" s="2">
        <v>45569</v>
      </c>
      <c r="H1370" t="s">
        <v>716</v>
      </c>
      <c r="I1370">
        <v>208.2</v>
      </c>
      <c r="J1370" s="1">
        <v>50000</v>
      </c>
      <c r="K1370" s="1">
        <v>50000</v>
      </c>
    </row>
    <row r="1371" spans="1:11" x14ac:dyDescent="0.25">
      <c r="A1371" t="s">
        <v>700</v>
      </c>
      <c r="B1371" t="s">
        <v>2699</v>
      </c>
      <c r="C1371" t="s">
        <v>16</v>
      </c>
      <c r="D1371" t="s">
        <v>4462</v>
      </c>
      <c r="E1371" t="s">
        <v>4440</v>
      </c>
      <c r="F1371" t="s">
        <v>2740</v>
      </c>
      <c r="G1371" s="2">
        <v>45570</v>
      </c>
      <c r="H1371" t="s">
        <v>701</v>
      </c>
      <c r="I1371">
        <v>83.3</v>
      </c>
      <c r="J1371" s="1">
        <v>20000</v>
      </c>
      <c r="K1371" s="1">
        <v>20000</v>
      </c>
    </row>
    <row r="1372" spans="1:11" x14ac:dyDescent="0.25">
      <c r="A1372" t="s">
        <v>703</v>
      </c>
      <c r="B1372" t="s">
        <v>2698</v>
      </c>
      <c r="C1372" t="s">
        <v>16</v>
      </c>
      <c r="D1372" t="s">
        <v>4465</v>
      </c>
      <c r="E1372" t="s">
        <v>4442</v>
      </c>
      <c r="F1372" t="s">
        <v>2740</v>
      </c>
      <c r="G1372" s="2">
        <v>45570</v>
      </c>
      <c r="H1372" t="s">
        <v>704</v>
      </c>
      <c r="I1372">
        <v>333.1</v>
      </c>
      <c r="J1372" s="1">
        <v>80000</v>
      </c>
      <c r="K1372" s="1">
        <v>80000</v>
      </c>
    </row>
    <row r="1373" spans="1:11" x14ac:dyDescent="0.25">
      <c r="A1373" t="s">
        <v>705</v>
      </c>
      <c r="B1373" t="s">
        <v>93</v>
      </c>
      <c r="C1373" t="s">
        <v>35</v>
      </c>
      <c r="D1373" t="s">
        <v>4465</v>
      </c>
      <c r="E1373" t="s">
        <v>3304</v>
      </c>
      <c r="F1373" t="s">
        <v>2740</v>
      </c>
      <c r="G1373" s="2">
        <v>45570</v>
      </c>
      <c r="H1373" t="s">
        <v>706</v>
      </c>
      <c r="I1373">
        <v>416.3</v>
      </c>
      <c r="J1373" s="1">
        <v>100000</v>
      </c>
      <c r="K1373" s="1">
        <v>100000</v>
      </c>
    </row>
    <row r="1374" spans="1:11" x14ac:dyDescent="0.25">
      <c r="A1374" t="s">
        <v>707</v>
      </c>
      <c r="B1374" t="s">
        <v>66</v>
      </c>
      <c r="C1374" t="s">
        <v>35</v>
      </c>
      <c r="D1374" t="s">
        <v>4466</v>
      </c>
      <c r="E1374" t="s">
        <v>3304</v>
      </c>
      <c r="F1374" t="s">
        <v>2740</v>
      </c>
      <c r="G1374" s="2">
        <v>45570</v>
      </c>
      <c r="H1374" t="s">
        <v>708</v>
      </c>
      <c r="I1374">
        <v>832.6</v>
      </c>
      <c r="J1374" s="1">
        <v>200000</v>
      </c>
      <c r="K1374" s="1">
        <v>200000</v>
      </c>
    </row>
    <row r="1375" spans="1:11" x14ac:dyDescent="0.25">
      <c r="A1375" t="s">
        <v>709</v>
      </c>
      <c r="B1375" t="s">
        <v>4463</v>
      </c>
      <c r="C1375" t="s">
        <v>35</v>
      </c>
      <c r="D1375" t="s">
        <v>4464</v>
      </c>
      <c r="E1375" t="s">
        <v>3304</v>
      </c>
      <c r="F1375" t="s">
        <v>2740</v>
      </c>
      <c r="G1375" s="2">
        <v>45570</v>
      </c>
      <c r="H1375" t="s">
        <v>710</v>
      </c>
      <c r="I1375">
        <v>832.6</v>
      </c>
      <c r="J1375" s="1">
        <v>200000</v>
      </c>
      <c r="K1375" s="1">
        <v>200000</v>
      </c>
    </row>
    <row r="1376" spans="1:11" x14ac:dyDescent="0.25">
      <c r="A1376" t="s">
        <v>695</v>
      </c>
      <c r="B1376" t="s">
        <v>2723</v>
      </c>
      <c r="C1376" t="s">
        <v>16</v>
      </c>
      <c r="D1376" t="s">
        <v>4462</v>
      </c>
      <c r="E1376" t="s">
        <v>4443</v>
      </c>
      <c r="F1376" t="s">
        <v>2740</v>
      </c>
      <c r="G1376" s="2">
        <v>45572</v>
      </c>
      <c r="H1376" t="s">
        <v>696</v>
      </c>
      <c r="I1376">
        <v>416.3</v>
      </c>
      <c r="J1376" s="1">
        <v>100000</v>
      </c>
      <c r="K1376" s="1">
        <v>100000</v>
      </c>
    </row>
    <row r="1377" spans="1:11" x14ac:dyDescent="0.25">
      <c r="A1377" t="s">
        <v>683</v>
      </c>
      <c r="B1377" t="s">
        <v>2705</v>
      </c>
      <c r="C1377" t="s">
        <v>42</v>
      </c>
      <c r="D1377" t="s">
        <v>4467</v>
      </c>
      <c r="E1377" t="s">
        <v>4435</v>
      </c>
      <c r="F1377" t="s">
        <v>2740</v>
      </c>
      <c r="G1377" s="2">
        <v>45573</v>
      </c>
      <c r="H1377" t="s">
        <v>684</v>
      </c>
      <c r="I1377">
        <v>104.1</v>
      </c>
      <c r="J1377" s="1">
        <v>25000</v>
      </c>
      <c r="K1377" s="1">
        <v>25000</v>
      </c>
    </row>
    <row r="1378" spans="1:11" x14ac:dyDescent="0.25">
      <c r="A1378" t="s">
        <v>686</v>
      </c>
      <c r="B1378" t="s">
        <v>2722</v>
      </c>
      <c r="C1378" t="s">
        <v>16</v>
      </c>
      <c r="D1378" t="s">
        <v>4462</v>
      </c>
      <c r="E1378" t="s">
        <v>4446</v>
      </c>
      <c r="F1378" t="s">
        <v>2740</v>
      </c>
      <c r="G1378" s="2">
        <v>45573</v>
      </c>
      <c r="H1378" t="s">
        <v>687</v>
      </c>
      <c r="I1378">
        <v>291.39999999999998</v>
      </c>
      <c r="J1378" s="1">
        <v>70000</v>
      </c>
      <c r="K1378" s="1">
        <v>70000</v>
      </c>
    </row>
    <row r="1379" spans="1:11" x14ac:dyDescent="0.25">
      <c r="A1379" t="s">
        <v>688</v>
      </c>
      <c r="B1379" t="s">
        <v>2731</v>
      </c>
      <c r="C1379" t="s">
        <v>16</v>
      </c>
      <c r="D1379" t="s">
        <v>4465</v>
      </c>
      <c r="E1379" t="s">
        <v>4460</v>
      </c>
      <c r="F1379" t="s">
        <v>2740</v>
      </c>
      <c r="G1379" s="2">
        <v>45573</v>
      </c>
      <c r="H1379" t="s">
        <v>689</v>
      </c>
      <c r="I1379">
        <v>41.6</v>
      </c>
      <c r="J1379" s="1">
        <v>10000</v>
      </c>
      <c r="K1379" s="1">
        <v>10000</v>
      </c>
    </row>
    <row r="1380" spans="1:11" x14ac:dyDescent="0.25">
      <c r="A1380" t="s">
        <v>691</v>
      </c>
      <c r="B1380" t="s">
        <v>2705</v>
      </c>
      <c r="C1380" t="s">
        <v>42</v>
      </c>
      <c r="D1380" t="s">
        <v>4467</v>
      </c>
      <c r="E1380" t="s">
        <v>4435</v>
      </c>
      <c r="F1380" t="s">
        <v>2740</v>
      </c>
      <c r="G1380" s="2">
        <v>45573</v>
      </c>
      <c r="H1380" t="s">
        <v>692</v>
      </c>
      <c r="I1380">
        <v>41.6</v>
      </c>
      <c r="J1380" s="1">
        <v>10000</v>
      </c>
      <c r="K1380" s="1">
        <v>10000</v>
      </c>
    </row>
    <row r="1381" spans="1:11" x14ac:dyDescent="0.25">
      <c r="A1381" t="s">
        <v>678</v>
      </c>
      <c r="B1381" t="s">
        <v>2705</v>
      </c>
      <c r="C1381" t="s">
        <v>42</v>
      </c>
      <c r="D1381" t="s">
        <v>4467</v>
      </c>
      <c r="E1381" t="s">
        <v>4435</v>
      </c>
      <c r="F1381" t="s">
        <v>2740</v>
      </c>
      <c r="G1381" s="2">
        <v>45575</v>
      </c>
      <c r="H1381" t="s">
        <v>679</v>
      </c>
      <c r="I1381">
        <v>104.1</v>
      </c>
      <c r="J1381" s="1">
        <v>25000</v>
      </c>
      <c r="K1381" s="1">
        <v>25000</v>
      </c>
    </row>
    <row r="1382" spans="1:11" x14ac:dyDescent="0.25">
      <c r="A1382" t="s">
        <v>680</v>
      </c>
      <c r="B1382" t="s">
        <v>2713</v>
      </c>
      <c r="C1382" t="s">
        <v>16</v>
      </c>
      <c r="D1382" t="s">
        <v>4465</v>
      </c>
      <c r="E1382" t="s">
        <v>4428</v>
      </c>
      <c r="F1382" t="s">
        <v>2740</v>
      </c>
      <c r="G1382" s="2">
        <v>45575</v>
      </c>
      <c r="H1382" t="s">
        <v>681</v>
      </c>
      <c r="I1382">
        <v>208.2</v>
      </c>
      <c r="J1382" s="1">
        <v>50000</v>
      </c>
      <c r="K1382" s="1">
        <v>50000</v>
      </c>
    </row>
    <row r="1383" spans="1:11" x14ac:dyDescent="0.25">
      <c r="A1383" t="s">
        <v>671</v>
      </c>
      <c r="B1383" t="s">
        <v>2733</v>
      </c>
      <c r="C1383" t="s">
        <v>16</v>
      </c>
      <c r="D1383" t="s">
        <v>4465</v>
      </c>
      <c r="E1383" t="s">
        <v>4448</v>
      </c>
      <c r="F1383" t="s">
        <v>2740</v>
      </c>
      <c r="G1383" s="2">
        <v>45576</v>
      </c>
      <c r="H1383" t="s">
        <v>672</v>
      </c>
      <c r="I1383">
        <v>166.5</v>
      </c>
      <c r="J1383" s="1">
        <v>40000</v>
      </c>
      <c r="K1383" s="1">
        <v>40000</v>
      </c>
    </row>
    <row r="1384" spans="1:11" x14ac:dyDescent="0.25">
      <c r="A1384" t="s">
        <v>674</v>
      </c>
      <c r="B1384" t="s">
        <v>2729</v>
      </c>
      <c r="C1384" t="s">
        <v>16</v>
      </c>
      <c r="D1384" t="s">
        <v>4465</v>
      </c>
      <c r="E1384" t="s">
        <v>4427</v>
      </c>
      <c r="F1384" t="s">
        <v>2740</v>
      </c>
      <c r="G1384" s="2">
        <v>45576</v>
      </c>
      <c r="H1384" t="s">
        <v>675</v>
      </c>
      <c r="I1384">
        <v>124.9</v>
      </c>
      <c r="J1384" s="1">
        <v>30000</v>
      </c>
      <c r="K1384" s="1">
        <v>30000</v>
      </c>
    </row>
    <row r="1385" spans="1:11" x14ac:dyDescent="0.25">
      <c r="A1385" t="s">
        <v>669</v>
      </c>
      <c r="B1385" t="s">
        <v>4463</v>
      </c>
      <c r="C1385" t="s">
        <v>35</v>
      </c>
      <c r="D1385" t="s">
        <v>4464</v>
      </c>
      <c r="E1385" t="s">
        <v>3304</v>
      </c>
      <c r="F1385" t="s">
        <v>2740</v>
      </c>
      <c r="G1385" s="2">
        <v>45577</v>
      </c>
      <c r="H1385" t="s">
        <v>670</v>
      </c>
      <c r="I1385">
        <v>1040.7</v>
      </c>
      <c r="J1385" s="1">
        <v>250000</v>
      </c>
      <c r="K1385" s="1">
        <v>250000</v>
      </c>
    </row>
    <row r="1386" spans="1:11" x14ac:dyDescent="0.25">
      <c r="A1386" t="s">
        <v>663</v>
      </c>
      <c r="B1386" t="s">
        <v>2724</v>
      </c>
      <c r="C1386" t="s">
        <v>16</v>
      </c>
      <c r="D1386" t="s">
        <v>4462</v>
      </c>
      <c r="E1386" t="s">
        <v>4451</v>
      </c>
      <c r="F1386" t="s">
        <v>2740</v>
      </c>
      <c r="G1386" s="2">
        <v>45579</v>
      </c>
      <c r="H1386" t="s">
        <v>664</v>
      </c>
      <c r="I1386">
        <v>208.1</v>
      </c>
      <c r="J1386" s="1">
        <v>50000</v>
      </c>
      <c r="K1386" s="1">
        <v>50000</v>
      </c>
    </row>
    <row r="1387" spans="1:11" x14ac:dyDescent="0.25">
      <c r="A1387" t="s">
        <v>665</v>
      </c>
      <c r="B1387" t="s">
        <v>2705</v>
      </c>
      <c r="C1387" t="s">
        <v>42</v>
      </c>
      <c r="D1387" t="s">
        <v>4467</v>
      </c>
      <c r="E1387" t="s">
        <v>4435</v>
      </c>
      <c r="F1387" t="s">
        <v>2740</v>
      </c>
      <c r="G1387" s="2">
        <v>45579</v>
      </c>
      <c r="H1387" t="s">
        <v>666</v>
      </c>
      <c r="I1387">
        <v>41.6</v>
      </c>
      <c r="J1387" s="1">
        <v>10000</v>
      </c>
      <c r="K1387" s="1">
        <v>10000</v>
      </c>
    </row>
    <row r="1388" spans="1:11" x14ac:dyDescent="0.25">
      <c r="A1388" t="s">
        <v>660</v>
      </c>
      <c r="B1388" t="s">
        <v>2699</v>
      </c>
      <c r="C1388" t="s">
        <v>16</v>
      </c>
      <c r="D1388" t="s">
        <v>4462</v>
      </c>
      <c r="E1388" t="s">
        <v>4440</v>
      </c>
      <c r="F1388" t="s">
        <v>2740</v>
      </c>
      <c r="G1388" s="2">
        <v>45580</v>
      </c>
      <c r="H1388" t="s">
        <v>661</v>
      </c>
      <c r="I1388">
        <v>104</v>
      </c>
      <c r="J1388" s="1">
        <v>25000</v>
      </c>
      <c r="K1388" s="1">
        <v>25000</v>
      </c>
    </row>
    <row r="1389" spans="1:11" x14ac:dyDescent="0.25">
      <c r="A1389" t="s">
        <v>651</v>
      </c>
      <c r="B1389" t="s">
        <v>2719</v>
      </c>
      <c r="C1389" t="s">
        <v>16</v>
      </c>
      <c r="D1389" t="s">
        <v>4466</v>
      </c>
      <c r="E1389" t="s">
        <v>4430</v>
      </c>
      <c r="F1389" t="s">
        <v>2740</v>
      </c>
      <c r="G1389" s="2">
        <v>45581</v>
      </c>
      <c r="H1389" t="s">
        <v>652</v>
      </c>
      <c r="I1389">
        <v>83.2</v>
      </c>
      <c r="J1389" s="1">
        <v>20000</v>
      </c>
      <c r="K1389" s="1">
        <v>20000</v>
      </c>
    </row>
    <row r="1390" spans="1:11" x14ac:dyDescent="0.25">
      <c r="A1390" t="s">
        <v>653</v>
      </c>
      <c r="B1390" t="s">
        <v>2703</v>
      </c>
      <c r="C1390" t="s">
        <v>35</v>
      </c>
      <c r="D1390" t="s">
        <v>4404</v>
      </c>
      <c r="E1390" t="s">
        <v>3275</v>
      </c>
      <c r="F1390" t="s">
        <v>2740</v>
      </c>
      <c r="G1390" s="2">
        <v>45581</v>
      </c>
      <c r="H1390" t="s">
        <v>655</v>
      </c>
      <c r="I1390">
        <v>416.3</v>
      </c>
      <c r="J1390" s="1">
        <v>100000</v>
      </c>
      <c r="K1390" s="1">
        <v>100000</v>
      </c>
    </row>
    <row r="1391" spans="1:11" x14ac:dyDescent="0.25">
      <c r="A1391" t="s">
        <v>656</v>
      </c>
      <c r="B1391" t="s">
        <v>2731</v>
      </c>
      <c r="C1391" t="s">
        <v>16</v>
      </c>
      <c r="D1391" t="s">
        <v>4465</v>
      </c>
      <c r="E1391" t="s">
        <v>4460</v>
      </c>
      <c r="F1391" t="s">
        <v>2740</v>
      </c>
      <c r="G1391" s="2">
        <v>45581</v>
      </c>
      <c r="H1391" t="s">
        <v>657</v>
      </c>
      <c r="I1391">
        <v>957.5</v>
      </c>
      <c r="J1391" s="1">
        <v>230000</v>
      </c>
      <c r="K1391" s="1">
        <v>230000</v>
      </c>
    </row>
    <row r="1392" spans="1:11" x14ac:dyDescent="0.25">
      <c r="A1392" t="s">
        <v>658</v>
      </c>
      <c r="B1392" t="s">
        <v>2705</v>
      </c>
      <c r="C1392" t="s">
        <v>42</v>
      </c>
      <c r="D1392" t="s">
        <v>4467</v>
      </c>
      <c r="E1392" t="s">
        <v>4435</v>
      </c>
      <c r="F1392" t="s">
        <v>2740</v>
      </c>
      <c r="G1392" s="2">
        <v>45581</v>
      </c>
      <c r="H1392" t="s">
        <v>659</v>
      </c>
      <c r="I1392">
        <v>104.1</v>
      </c>
      <c r="J1392" s="1">
        <v>25000</v>
      </c>
      <c r="K1392" s="1">
        <v>25000</v>
      </c>
    </row>
    <row r="1393" spans="1:11" x14ac:dyDescent="0.25">
      <c r="A1393" t="s">
        <v>649</v>
      </c>
      <c r="B1393" t="s">
        <v>2729</v>
      </c>
      <c r="C1393" t="s">
        <v>16</v>
      </c>
      <c r="D1393" t="s">
        <v>4465</v>
      </c>
      <c r="E1393" t="s">
        <v>4427</v>
      </c>
      <c r="F1393" t="s">
        <v>2740</v>
      </c>
      <c r="G1393" s="2">
        <v>45582</v>
      </c>
      <c r="H1393" t="s">
        <v>650</v>
      </c>
      <c r="I1393">
        <v>124.9</v>
      </c>
      <c r="J1393" s="1">
        <v>30000</v>
      </c>
      <c r="K1393" s="1">
        <v>30000</v>
      </c>
    </row>
    <row r="1394" spans="1:11" x14ac:dyDescent="0.25">
      <c r="A1394" t="s">
        <v>645</v>
      </c>
      <c r="B1394" t="s">
        <v>2705</v>
      </c>
      <c r="C1394" t="s">
        <v>42</v>
      </c>
      <c r="D1394" t="s">
        <v>4467</v>
      </c>
      <c r="E1394" t="s">
        <v>4435</v>
      </c>
      <c r="F1394" t="s">
        <v>2740</v>
      </c>
      <c r="G1394" s="2">
        <v>45583</v>
      </c>
      <c r="H1394" t="s">
        <v>646</v>
      </c>
      <c r="I1394">
        <v>104.1</v>
      </c>
      <c r="J1394" s="1">
        <v>25000</v>
      </c>
      <c r="K1394" s="1">
        <v>25000</v>
      </c>
    </row>
    <row r="1395" spans="1:11" x14ac:dyDescent="0.25">
      <c r="A1395" t="s">
        <v>647</v>
      </c>
      <c r="B1395" t="s">
        <v>66</v>
      </c>
      <c r="C1395" t="s">
        <v>35</v>
      </c>
      <c r="D1395" t="s">
        <v>4466</v>
      </c>
      <c r="E1395" t="s">
        <v>3304</v>
      </c>
      <c r="F1395" t="s">
        <v>2740</v>
      </c>
      <c r="G1395" s="2">
        <v>45583</v>
      </c>
      <c r="H1395" t="s">
        <v>648</v>
      </c>
      <c r="I1395">
        <v>416.3</v>
      </c>
      <c r="J1395" s="1">
        <v>100000</v>
      </c>
      <c r="K1395" s="1">
        <v>100000</v>
      </c>
    </row>
    <row r="1396" spans="1:11" x14ac:dyDescent="0.25">
      <c r="A1396" t="s">
        <v>638</v>
      </c>
      <c r="B1396" t="s">
        <v>2700</v>
      </c>
      <c r="C1396" t="s">
        <v>27</v>
      </c>
      <c r="D1396" t="s">
        <v>4466</v>
      </c>
      <c r="E1396" t="s">
        <v>4450</v>
      </c>
      <c r="F1396" t="s">
        <v>2740</v>
      </c>
      <c r="G1396" s="2">
        <v>45584</v>
      </c>
      <c r="H1396" t="s">
        <v>639</v>
      </c>
      <c r="I1396">
        <v>145.69999999999999</v>
      </c>
      <c r="J1396" s="1">
        <v>35000</v>
      </c>
      <c r="K1396" s="1">
        <v>35000</v>
      </c>
    </row>
    <row r="1397" spans="1:11" x14ac:dyDescent="0.25">
      <c r="A1397" t="s">
        <v>640</v>
      </c>
      <c r="B1397" t="s">
        <v>2701</v>
      </c>
      <c r="C1397" t="s">
        <v>16</v>
      </c>
      <c r="D1397" t="s">
        <v>4466</v>
      </c>
      <c r="E1397" t="s">
        <v>4453</v>
      </c>
      <c r="F1397" t="s">
        <v>2740</v>
      </c>
      <c r="G1397" s="2">
        <v>45584</v>
      </c>
      <c r="H1397" t="s">
        <v>641</v>
      </c>
      <c r="I1397">
        <v>62.5</v>
      </c>
      <c r="J1397" s="1">
        <v>15000</v>
      </c>
      <c r="K1397" s="1">
        <v>15000</v>
      </c>
    </row>
    <row r="1398" spans="1:11" x14ac:dyDescent="0.25">
      <c r="A1398" t="s">
        <v>642</v>
      </c>
      <c r="B1398" t="s">
        <v>2710</v>
      </c>
      <c r="C1398" t="s">
        <v>42</v>
      </c>
      <c r="D1398" t="s">
        <v>4467</v>
      </c>
      <c r="E1398" t="s">
        <v>4436</v>
      </c>
      <c r="F1398" t="s">
        <v>2740</v>
      </c>
      <c r="G1398" s="2">
        <v>45584</v>
      </c>
      <c r="H1398" t="s">
        <v>643</v>
      </c>
      <c r="I1398">
        <v>457.9</v>
      </c>
      <c r="J1398" s="1">
        <v>110000</v>
      </c>
      <c r="K1398" s="1">
        <v>110000</v>
      </c>
    </row>
    <row r="1399" spans="1:11" x14ac:dyDescent="0.25">
      <c r="A1399" t="s">
        <v>632</v>
      </c>
      <c r="B1399" t="s">
        <v>2719</v>
      </c>
      <c r="C1399" t="s">
        <v>16</v>
      </c>
      <c r="D1399" t="s">
        <v>4466</v>
      </c>
      <c r="E1399" t="s">
        <v>4430</v>
      </c>
      <c r="F1399" t="s">
        <v>2740</v>
      </c>
      <c r="G1399" s="2">
        <v>45585</v>
      </c>
      <c r="H1399" t="s">
        <v>633</v>
      </c>
      <c r="I1399">
        <v>124.9</v>
      </c>
      <c r="J1399" s="1">
        <v>30000</v>
      </c>
      <c r="K1399" s="1">
        <v>30000</v>
      </c>
    </row>
    <row r="1400" spans="1:11" x14ac:dyDescent="0.25">
      <c r="A1400" t="s">
        <v>634</v>
      </c>
      <c r="B1400" t="s">
        <v>2718</v>
      </c>
      <c r="C1400" t="s">
        <v>16</v>
      </c>
      <c r="D1400" t="s">
        <v>4466</v>
      </c>
      <c r="E1400" t="s">
        <v>4438</v>
      </c>
      <c r="F1400" t="s">
        <v>2740</v>
      </c>
      <c r="G1400" s="2">
        <v>45585</v>
      </c>
      <c r="H1400" t="s">
        <v>635</v>
      </c>
      <c r="I1400">
        <v>166.5</v>
      </c>
      <c r="J1400" s="1">
        <v>40000</v>
      </c>
      <c r="K1400" s="1">
        <v>40000</v>
      </c>
    </row>
    <row r="1401" spans="1:11" x14ac:dyDescent="0.25">
      <c r="A1401" t="s">
        <v>636</v>
      </c>
      <c r="B1401" t="s">
        <v>2721</v>
      </c>
      <c r="C1401" t="s">
        <v>16</v>
      </c>
      <c r="D1401" t="s">
        <v>4466</v>
      </c>
      <c r="E1401" t="s">
        <v>4438</v>
      </c>
      <c r="F1401" t="s">
        <v>2740</v>
      </c>
      <c r="G1401" s="2">
        <v>45585</v>
      </c>
      <c r="H1401" t="s">
        <v>637</v>
      </c>
      <c r="I1401">
        <v>208.1</v>
      </c>
      <c r="J1401" s="1">
        <v>50000</v>
      </c>
      <c r="K1401" s="1">
        <v>50000</v>
      </c>
    </row>
    <row r="1402" spans="1:11" x14ac:dyDescent="0.25">
      <c r="A1402" t="s">
        <v>630</v>
      </c>
      <c r="B1402" t="s">
        <v>2726</v>
      </c>
      <c r="C1402" t="s">
        <v>16</v>
      </c>
      <c r="D1402" t="s">
        <v>4466</v>
      </c>
      <c r="E1402" t="s">
        <v>4437</v>
      </c>
      <c r="F1402" t="s">
        <v>2740</v>
      </c>
      <c r="G1402" s="2">
        <v>45586</v>
      </c>
      <c r="H1402" t="s">
        <v>631</v>
      </c>
      <c r="I1402">
        <v>41.6</v>
      </c>
      <c r="J1402" s="1">
        <v>10000</v>
      </c>
      <c r="K1402" s="1">
        <v>10000</v>
      </c>
    </row>
    <row r="1403" spans="1:11" x14ac:dyDescent="0.25">
      <c r="A1403" t="s">
        <v>616</v>
      </c>
      <c r="B1403" t="s">
        <v>2705</v>
      </c>
      <c r="C1403" t="s">
        <v>42</v>
      </c>
      <c r="D1403" t="s">
        <v>4467</v>
      </c>
      <c r="E1403" t="s">
        <v>4435</v>
      </c>
      <c r="F1403" t="s">
        <v>2740</v>
      </c>
      <c r="G1403" s="2">
        <v>45587</v>
      </c>
      <c r="H1403" t="s">
        <v>617</v>
      </c>
      <c r="I1403">
        <v>104.1</v>
      </c>
      <c r="J1403" s="1">
        <v>25000</v>
      </c>
      <c r="K1403" s="1">
        <v>25000</v>
      </c>
    </row>
    <row r="1404" spans="1:11" x14ac:dyDescent="0.25">
      <c r="A1404" t="s">
        <v>618</v>
      </c>
      <c r="B1404" t="s">
        <v>2735</v>
      </c>
      <c r="C1404" t="s">
        <v>16</v>
      </c>
      <c r="D1404" t="s">
        <v>4462</v>
      </c>
      <c r="E1404" t="s">
        <v>4426</v>
      </c>
      <c r="F1404" t="s">
        <v>2740</v>
      </c>
      <c r="G1404" s="2">
        <v>45587</v>
      </c>
      <c r="H1404" t="s">
        <v>619</v>
      </c>
      <c r="I1404">
        <v>168.6</v>
      </c>
      <c r="J1404" s="1">
        <v>40500</v>
      </c>
      <c r="K1404" s="1">
        <v>40500</v>
      </c>
    </row>
    <row r="1405" spans="1:11" x14ac:dyDescent="0.25">
      <c r="A1405" t="s">
        <v>620</v>
      </c>
      <c r="B1405" t="s">
        <v>2735</v>
      </c>
      <c r="C1405" t="s">
        <v>16</v>
      </c>
      <c r="D1405" t="s">
        <v>4462</v>
      </c>
      <c r="E1405" t="s">
        <v>4426</v>
      </c>
      <c r="F1405" t="s">
        <v>2740</v>
      </c>
      <c r="G1405" s="2">
        <v>45587</v>
      </c>
      <c r="H1405" t="s">
        <v>621</v>
      </c>
      <c r="I1405">
        <v>208.1</v>
      </c>
      <c r="J1405" s="1">
        <v>50000</v>
      </c>
      <c r="K1405" s="1">
        <v>50000</v>
      </c>
    </row>
    <row r="1406" spans="1:11" x14ac:dyDescent="0.25">
      <c r="A1406" t="s">
        <v>622</v>
      </c>
      <c r="B1406" t="s">
        <v>2735</v>
      </c>
      <c r="C1406" t="s">
        <v>16</v>
      </c>
      <c r="D1406" t="s">
        <v>4462</v>
      </c>
      <c r="E1406" t="s">
        <v>4426</v>
      </c>
      <c r="F1406" t="s">
        <v>2740</v>
      </c>
      <c r="G1406" s="2">
        <v>45587</v>
      </c>
      <c r="H1406" t="s">
        <v>623</v>
      </c>
      <c r="I1406">
        <v>624.5</v>
      </c>
      <c r="J1406" s="1">
        <v>150000</v>
      </c>
      <c r="K1406" s="1">
        <v>150000</v>
      </c>
    </row>
    <row r="1407" spans="1:11" x14ac:dyDescent="0.25">
      <c r="A1407" t="s">
        <v>624</v>
      </c>
      <c r="B1407" t="s">
        <v>2709</v>
      </c>
      <c r="C1407" t="s">
        <v>42</v>
      </c>
      <c r="D1407" t="s">
        <v>4467</v>
      </c>
      <c r="E1407" t="s">
        <v>4456</v>
      </c>
      <c r="F1407" t="s">
        <v>2740</v>
      </c>
      <c r="G1407" s="2">
        <v>45587</v>
      </c>
      <c r="H1407" t="s">
        <v>625</v>
      </c>
      <c r="I1407">
        <v>124.9</v>
      </c>
      <c r="J1407" s="1">
        <v>30000</v>
      </c>
      <c r="K1407" s="1">
        <v>30000</v>
      </c>
    </row>
    <row r="1408" spans="1:11" x14ac:dyDescent="0.25">
      <c r="A1408" t="s">
        <v>626</v>
      </c>
      <c r="B1408" t="s">
        <v>2737</v>
      </c>
      <c r="C1408" t="s">
        <v>16</v>
      </c>
      <c r="D1408" t="s">
        <v>4466</v>
      </c>
      <c r="E1408" t="s">
        <v>4432</v>
      </c>
      <c r="F1408" t="s">
        <v>2740</v>
      </c>
      <c r="G1408" s="2">
        <v>45587</v>
      </c>
      <c r="H1408" t="s">
        <v>627</v>
      </c>
      <c r="I1408">
        <v>541.20000000000005</v>
      </c>
      <c r="J1408" s="1">
        <v>130000</v>
      </c>
      <c r="K1408" s="1">
        <v>130000</v>
      </c>
    </row>
    <row r="1409" spans="1:11" x14ac:dyDescent="0.25">
      <c r="A1409" t="s">
        <v>628</v>
      </c>
      <c r="B1409" t="s">
        <v>2717</v>
      </c>
      <c r="C1409" t="s">
        <v>16</v>
      </c>
      <c r="D1409" t="s">
        <v>4466</v>
      </c>
      <c r="E1409" t="s">
        <v>4431</v>
      </c>
      <c r="F1409" t="s">
        <v>2740</v>
      </c>
      <c r="G1409" s="2">
        <v>45587</v>
      </c>
      <c r="H1409" t="s">
        <v>629</v>
      </c>
      <c r="I1409">
        <v>416.3</v>
      </c>
      <c r="J1409" s="1">
        <v>100000</v>
      </c>
      <c r="K1409" s="1">
        <v>100000</v>
      </c>
    </row>
    <row r="1410" spans="1:11" x14ac:dyDescent="0.25">
      <c r="A1410" t="s">
        <v>610</v>
      </c>
      <c r="B1410" t="s">
        <v>2730</v>
      </c>
      <c r="C1410" t="s">
        <v>42</v>
      </c>
      <c r="D1410" t="s">
        <v>4467</v>
      </c>
      <c r="E1410" t="s">
        <v>4441</v>
      </c>
      <c r="F1410" t="s">
        <v>2740</v>
      </c>
      <c r="G1410" s="2">
        <v>45588</v>
      </c>
      <c r="H1410" t="s">
        <v>611</v>
      </c>
      <c r="I1410">
        <v>416.3</v>
      </c>
      <c r="J1410" s="1">
        <v>100000</v>
      </c>
      <c r="K1410" s="1">
        <v>100000</v>
      </c>
    </row>
    <row r="1411" spans="1:11" x14ac:dyDescent="0.25">
      <c r="A1411" t="s">
        <v>612</v>
      </c>
      <c r="B1411" t="s">
        <v>66</v>
      </c>
      <c r="C1411" t="s">
        <v>35</v>
      </c>
      <c r="D1411" t="s">
        <v>4466</v>
      </c>
      <c r="E1411" t="s">
        <v>3304</v>
      </c>
      <c r="F1411" t="s">
        <v>2740</v>
      </c>
      <c r="G1411" s="2">
        <v>45588</v>
      </c>
      <c r="H1411" t="s">
        <v>613</v>
      </c>
      <c r="I1411">
        <v>208.1</v>
      </c>
      <c r="J1411" s="1">
        <v>50000</v>
      </c>
      <c r="K1411" s="1">
        <v>50000</v>
      </c>
    </row>
    <row r="1412" spans="1:11" x14ac:dyDescent="0.25">
      <c r="A1412" t="s">
        <v>614</v>
      </c>
      <c r="B1412" t="s">
        <v>4463</v>
      </c>
      <c r="C1412" t="s">
        <v>35</v>
      </c>
      <c r="D1412" t="s">
        <v>4464</v>
      </c>
      <c r="E1412" t="s">
        <v>3304</v>
      </c>
      <c r="F1412" t="s">
        <v>2740</v>
      </c>
      <c r="G1412" s="2">
        <v>45588</v>
      </c>
      <c r="H1412" t="s">
        <v>615</v>
      </c>
      <c r="I1412">
        <v>416.3</v>
      </c>
      <c r="J1412" s="1">
        <v>100000</v>
      </c>
      <c r="K1412" s="1">
        <v>100000</v>
      </c>
    </row>
    <row r="1413" spans="1:11" x14ac:dyDescent="0.25">
      <c r="A1413" t="s">
        <v>600</v>
      </c>
      <c r="B1413" t="s">
        <v>2708</v>
      </c>
      <c r="C1413" t="s">
        <v>16</v>
      </c>
      <c r="D1413" t="s">
        <v>4466</v>
      </c>
      <c r="E1413" t="s">
        <v>4457</v>
      </c>
      <c r="F1413" t="s">
        <v>2740</v>
      </c>
      <c r="G1413" s="2">
        <v>45589</v>
      </c>
      <c r="H1413" t="s">
        <v>601</v>
      </c>
      <c r="I1413">
        <v>208.1</v>
      </c>
      <c r="J1413" s="1">
        <v>50000</v>
      </c>
      <c r="K1413" s="1">
        <v>50000</v>
      </c>
    </row>
    <row r="1414" spans="1:11" x14ac:dyDescent="0.25">
      <c r="A1414" t="s">
        <v>602</v>
      </c>
      <c r="B1414" t="s">
        <v>2698</v>
      </c>
      <c r="C1414" t="s">
        <v>16</v>
      </c>
      <c r="D1414" t="s">
        <v>4465</v>
      </c>
      <c r="E1414" t="s">
        <v>4442</v>
      </c>
      <c r="F1414" t="s">
        <v>2740</v>
      </c>
      <c r="G1414" s="2">
        <v>45589</v>
      </c>
      <c r="H1414" t="s">
        <v>603</v>
      </c>
      <c r="I1414">
        <v>83.2</v>
      </c>
      <c r="J1414" s="1">
        <v>20000</v>
      </c>
      <c r="K1414" s="1">
        <v>20000</v>
      </c>
    </row>
    <row r="1415" spans="1:11" x14ac:dyDescent="0.25">
      <c r="A1415" t="s">
        <v>604</v>
      </c>
      <c r="B1415" t="s">
        <v>2705</v>
      </c>
      <c r="C1415" t="s">
        <v>42</v>
      </c>
      <c r="D1415" t="s">
        <v>4467</v>
      </c>
      <c r="E1415" t="s">
        <v>4435</v>
      </c>
      <c r="F1415" t="s">
        <v>2740</v>
      </c>
      <c r="G1415" s="2">
        <v>45589</v>
      </c>
      <c r="H1415" t="s">
        <v>605</v>
      </c>
      <c r="I1415">
        <v>104</v>
      </c>
      <c r="J1415" s="1">
        <v>25000</v>
      </c>
      <c r="K1415" s="1">
        <v>25000</v>
      </c>
    </row>
    <row r="1416" spans="1:11" x14ac:dyDescent="0.25">
      <c r="A1416" t="s">
        <v>608</v>
      </c>
      <c r="B1416" t="s">
        <v>2732</v>
      </c>
      <c r="C1416" t="s">
        <v>16</v>
      </c>
      <c r="D1416" t="s">
        <v>4461</v>
      </c>
      <c r="E1416" t="s">
        <v>4444</v>
      </c>
      <c r="F1416" t="s">
        <v>2740</v>
      </c>
      <c r="G1416" s="2">
        <v>45589</v>
      </c>
      <c r="H1416" t="s">
        <v>609</v>
      </c>
      <c r="I1416">
        <v>291.39999999999998</v>
      </c>
      <c r="J1416" s="1">
        <v>70000</v>
      </c>
      <c r="K1416" s="1">
        <v>70000</v>
      </c>
    </row>
    <row r="1417" spans="1:11" x14ac:dyDescent="0.25">
      <c r="A1417" t="s">
        <v>594</v>
      </c>
      <c r="B1417" t="s">
        <v>2702</v>
      </c>
      <c r="C1417" t="s">
        <v>35</v>
      </c>
      <c r="D1417" t="s">
        <v>3305</v>
      </c>
      <c r="E1417" t="s">
        <v>3304</v>
      </c>
      <c r="F1417" t="s">
        <v>2740</v>
      </c>
      <c r="G1417" s="2">
        <v>45590</v>
      </c>
      <c r="H1417" t="s">
        <v>595</v>
      </c>
      <c r="I1417">
        <v>208.1</v>
      </c>
      <c r="J1417" s="1">
        <v>50000</v>
      </c>
      <c r="K1417" s="1">
        <v>50000</v>
      </c>
    </row>
    <row r="1418" spans="1:11" x14ac:dyDescent="0.25">
      <c r="A1418" t="s">
        <v>596</v>
      </c>
      <c r="B1418" t="s">
        <v>136</v>
      </c>
      <c r="C1418" t="s">
        <v>35</v>
      </c>
      <c r="D1418" t="s">
        <v>4462</v>
      </c>
      <c r="E1418" t="s">
        <v>3304</v>
      </c>
      <c r="F1418" t="s">
        <v>2740</v>
      </c>
      <c r="G1418" s="2">
        <v>45590</v>
      </c>
      <c r="H1418" t="s">
        <v>597</v>
      </c>
      <c r="I1418">
        <v>208.1</v>
      </c>
      <c r="J1418" s="1">
        <v>50000</v>
      </c>
      <c r="K1418" s="1">
        <v>50000</v>
      </c>
    </row>
    <row r="1419" spans="1:11" x14ac:dyDescent="0.25">
      <c r="A1419" t="s">
        <v>598</v>
      </c>
      <c r="B1419" t="s">
        <v>2722</v>
      </c>
      <c r="C1419" t="s">
        <v>16</v>
      </c>
      <c r="D1419" t="s">
        <v>4462</v>
      </c>
      <c r="E1419" t="s">
        <v>4446</v>
      </c>
      <c r="F1419" t="s">
        <v>2740</v>
      </c>
      <c r="G1419" s="2">
        <v>45590</v>
      </c>
      <c r="H1419" t="s">
        <v>599</v>
      </c>
      <c r="I1419">
        <v>220.7</v>
      </c>
      <c r="J1419" s="1">
        <v>53000</v>
      </c>
      <c r="K1419" s="1">
        <v>53000</v>
      </c>
    </row>
    <row r="1420" spans="1:11" x14ac:dyDescent="0.25">
      <c r="A1420" t="s">
        <v>575</v>
      </c>
      <c r="B1420" t="s">
        <v>2705</v>
      </c>
      <c r="C1420" t="s">
        <v>42</v>
      </c>
      <c r="D1420" t="s">
        <v>4467</v>
      </c>
      <c r="E1420" t="s">
        <v>4435</v>
      </c>
      <c r="F1420" t="s">
        <v>2740</v>
      </c>
      <c r="G1420" s="2">
        <v>45591</v>
      </c>
      <c r="H1420" t="s">
        <v>576</v>
      </c>
      <c r="I1420">
        <v>208.2</v>
      </c>
      <c r="J1420" s="1">
        <v>50000</v>
      </c>
      <c r="K1420" s="1">
        <v>50000</v>
      </c>
    </row>
    <row r="1421" spans="1:11" x14ac:dyDescent="0.25">
      <c r="A1421" t="s">
        <v>577</v>
      </c>
      <c r="B1421" t="s">
        <v>2701</v>
      </c>
      <c r="C1421" t="s">
        <v>16</v>
      </c>
      <c r="D1421" t="s">
        <v>4466</v>
      </c>
      <c r="E1421" t="s">
        <v>4453</v>
      </c>
      <c r="F1421" t="s">
        <v>2740</v>
      </c>
      <c r="G1421" s="2">
        <v>45591</v>
      </c>
      <c r="H1421" t="s">
        <v>578</v>
      </c>
      <c r="I1421">
        <v>62.4</v>
      </c>
      <c r="J1421" s="1">
        <v>15000</v>
      </c>
      <c r="K1421" s="1">
        <v>15000</v>
      </c>
    </row>
    <row r="1422" spans="1:11" x14ac:dyDescent="0.25">
      <c r="A1422" t="s">
        <v>580</v>
      </c>
      <c r="B1422" t="s">
        <v>2709</v>
      </c>
      <c r="C1422" t="s">
        <v>42</v>
      </c>
      <c r="D1422" t="s">
        <v>4467</v>
      </c>
      <c r="E1422" t="s">
        <v>4456</v>
      </c>
      <c r="F1422" t="s">
        <v>2740</v>
      </c>
      <c r="G1422" s="2">
        <v>45591</v>
      </c>
      <c r="H1422" t="s">
        <v>581</v>
      </c>
      <c r="I1422">
        <v>208.1</v>
      </c>
      <c r="J1422" s="1">
        <v>50000</v>
      </c>
      <c r="K1422" s="1">
        <v>50000</v>
      </c>
    </row>
    <row r="1423" spans="1:11" x14ac:dyDescent="0.25">
      <c r="A1423" t="s">
        <v>583</v>
      </c>
      <c r="B1423" t="s">
        <v>2707</v>
      </c>
      <c r="C1423" t="s">
        <v>16</v>
      </c>
      <c r="D1423" t="s">
        <v>4462</v>
      </c>
      <c r="E1423" t="s">
        <v>4433</v>
      </c>
      <c r="F1423" t="s">
        <v>2740</v>
      </c>
      <c r="G1423" s="2">
        <v>45591</v>
      </c>
      <c r="H1423" t="s">
        <v>584</v>
      </c>
      <c r="I1423">
        <v>437.1</v>
      </c>
      <c r="J1423" s="1">
        <v>105000</v>
      </c>
      <c r="K1423" s="1">
        <v>105000</v>
      </c>
    </row>
    <row r="1424" spans="1:11" x14ac:dyDescent="0.25">
      <c r="A1424" t="s">
        <v>586</v>
      </c>
      <c r="B1424" t="s">
        <v>133</v>
      </c>
      <c r="C1424" t="s">
        <v>35</v>
      </c>
      <c r="D1424" t="s">
        <v>4461</v>
      </c>
      <c r="E1424" t="s">
        <v>3304</v>
      </c>
      <c r="F1424" t="s">
        <v>2740</v>
      </c>
      <c r="G1424" s="2">
        <v>45591</v>
      </c>
      <c r="H1424" t="s">
        <v>587</v>
      </c>
      <c r="I1424">
        <v>208.1</v>
      </c>
      <c r="J1424" s="1">
        <v>50000</v>
      </c>
      <c r="K1424" s="1">
        <v>50000</v>
      </c>
    </row>
    <row r="1425" spans="1:11" x14ac:dyDescent="0.25">
      <c r="A1425" t="s">
        <v>588</v>
      </c>
      <c r="B1425" t="s">
        <v>4463</v>
      </c>
      <c r="C1425" t="s">
        <v>35</v>
      </c>
      <c r="D1425" t="s">
        <v>4464</v>
      </c>
      <c r="E1425" t="s">
        <v>3304</v>
      </c>
      <c r="F1425" t="s">
        <v>2740</v>
      </c>
      <c r="G1425" s="2">
        <v>45591</v>
      </c>
      <c r="H1425" t="s">
        <v>589</v>
      </c>
      <c r="I1425">
        <v>416.3</v>
      </c>
      <c r="J1425" s="1">
        <v>100000</v>
      </c>
      <c r="K1425" s="1">
        <v>100000</v>
      </c>
    </row>
    <row r="1426" spans="1:11" x14ac:dyDescent="0.25">
      <c r="A1426" t="s">
        <v>590</v>
      </c>
      <c r="B1426" t="s">
        <v>66</v>
      </c>
      <c r="C1426" t="s">
        <v>35</v>
      </c>
      <c r="D1426" t="s">
        <v>4466</v>
      </c>
      <c r="E1426" t="s">
        <v>3304</v>
      </c>
      <c r="F1426" t="s">
        <v>2740</v>
      </c>
      <c r="G1426" s="2">
        <v>45591</v>
      </c>
      <c r="H1426" t="s">
        <v>591</v>
      </c>
      <c r="I1426">
        <v>208.2</v>
      </c>
      <c r="J1426" s="1">
        <v>50000</v>
      </c>
      <c r="K1426" s="1">
        <v>50000</v>
      </c>
    </row>
    <row r="1427" spans="1:11" x14ac:dyDescent="0.25">
      <c r="A1427" t="s">
        <v>592</v>
      </c>
      <c r="B1427" t="s">
        <v>2700</v>
      </c>
      <c r="C1427" t="s">
        <v>27</v>
      </c>
      <c r="D1427" t="s">
        <v>4466</v>
      </c>
      <c r="E1427" t="s">
        <v>4450</v>
      </c>
      <c r="F1427" t="s">
        <v>2740</v>
      </c>
      <c r="G1427" s="2">
        <v>45591</v>
      </c>
      <c r="H1427" t="s">
        <v>593</v>
      </c>
      <c r="I1427">
        <v>449.6</v>
      </c>
      <c r="J1427" s="1">
        <v>108000</v>
      </c>
      <c r="K1427" s="1">
        <v>108000</v>
      </c>
    </row>
    <row r="1428" spans="1:11" x14ac:dyDescent="0.25">
      <c r="A1428" t="s">
        <v>566</v>
      </c>
      <c r="B1428" t="s">
        <v>2734</v>
      </c>
      <c r="C1428" t="s">
        <v>16</v>
      </c>
      <c r="D1428" t="s">
        <v>4461</v>
      </c>
      <c r="E1428" t="s">
        <v>4455</v>
      </c>
      <c r="F1428" t="s">
        <v>2740</v>
      </c>
      <c r="G1428" s="2">
        <v>45592</v>
      </c>
      <c r="H1428" t="s">
        <v>567</v>
      </c>
      <c r="I1428">
        <v>41.7</v>
      </c>
      <c r="J1428" s="1">
        <v>10000</v>
      </c>
      <c r="K1428" s="1">
        <v>10000</v>
      </c>
    </row>
    <row r="1429" spans="1:11" x14ac:dyDescent="0.25">
      <c r="A1429" t="s">
        <v>568</v>
      </c>
      <c r="B1429" t="s">
        <v>2730</v>
      </c>
      <c r="C1429" t="s">
        <v>42</v>
      </c>
      <c r="D1429" t="s">
        <v>4467</v>
      </c>
      <c r="E1429" t="s">
        <v>4441</v>
      </c>
      <c r="F1429" t="s">
        <v>2740</v>
      </c>
      <c r="G1429" s="2">
        <v>45592</v>
      </c>
      <c r="H1429" t="s">
        <v>569</v>
      </c>
      <c r="I1429">
        <v>208.1</v>
      </c>
      <c r="J1429" s="1">
        <v>50000</v>
      </c>
      <c r="K1429" s="1">
        <v>50000</v>
      </c>
    </row>
    <row r="1430" spans="1:11" x14ac:dyDescent="0.25">
      <c r="A1430" t="s">
        <v>571</v>
      </c>
      <c r="B1430" t="s">
        <v>2712</v>
      </c>
      <c r="C1430" t="s">
        <v>16</v>
      </c>
      <c r="D1430" t="s">
        <v>4461</v>
      </c>
      <c r="E1430" t="s">
        <v>4449</v>
      </c>
      <c r="F1430" t="s">
        <v>2740</v>
      </c>
      <c r="G1430" s="2">
        <v>45592</v>
      </c>
      <c r="H1430" t="s">
        <v>572</v>
      </c>
      <c r="I1430">
        <v>124.9</v>
      </c>
      <c r="J1430" s="1">
        <v>30000</v>
      </c>
      <c r="K1430" s="1">
        <v>30000</v>
      </c>
    </row>
    <row r="1431" spans="1:11" x14ac:dyDescent="0.25">
      <c r="A1431" t="s">
        <v>573</v>
      </c>
      <c r="B1431" t="s">
        <v>2712</v>
      </c>
      <c r="C1431" t="s">
        <v>16</v>
      </c>
      <c r="D1431" t="s">
        <v>4461</v>
      </c>
      <c r="E1431" t="s">
        <v>4449</v>
      </c>
      <c r="F1431" t="s">
        <v>2740</v>
      </c>
      <c r="G1431" s="2">
        <v>45592</v>
      </c>
      <c r="H1431" t="s">
        <v>574</v>
      </c>
      <c r="I1431">
        <v>208.2</v>
      </c>
      <c r="J1431" s="1">
        <v>50000</v>
      </c>
      <c r="K1431" s="1">
        <v>50000</v>
      </c>
    </row>
    <row r="1432" spans="1:11" x14ac:dyDescent="0.25">
      <c r="A1432" t="s">
        <v>560</v>
      </c>
      <c r="B1432" t="s">
        <v>2725</v>
      </c>
      <c r="C1432" t="s">
        <v>16</v>
      </c>
      <c r="D1432" t="s">
        <v>4465</v>
      </c>
      <c r="E1432" t="s">
        <v>4429</v>
      </c>
      <c r="F1432" t="s">
        <v>2740</v>
      </c>
      <c r="G1432" s="2">
        <v>45593</v>
      </c>
      <c r="H1432" t="s">
        <v>561</v>
      </c>
      <c r="I1432">
        <v>208.2</v>
      </c>
      <c r="J1432" s="1">
        <v>50000</v>
      </c>
      <c r="K1432" s="1">
        <v>50000</v>
      </c>
    </row>
    <row r="1433" spans="1:11" x14ac:dyDescent="0.25">
      <c r="A1433" t="s">
        <v>562</v>
      </c>
      <c r="B1433" t="s">
        <v>4471</v>
      </c>
      <c r="C1433" t="s">
        <v>35</v>
      </c>
      <c r="D1433" t="s">
        <v>4470</v>
      </c>
      <c r="E1433" t="s">
        <v>35</v>
      </c>
      <c r="F1433" t="s">
        <v>2740</v>
      </c>
      <c r="G1433" s="2">
        <v>45593</v>
      </c>
      <c r="H1433" t="s">
        <v>563</v>
      </c>
      <c r="I1433">
        <v>208.1</v>
      </c>
      <c r="J1433" s="1">
        <v>50000</v>
      </c>
      <c r="K1433" s="1">
        <v>50000</v>
      </c>
    </row>
    <row r="1434" spans="1:11" x14ac:dyDescent="0.25">
      <c r="A1434" t="s">
        <v>564</v>
      </c>
      <c r="B1434" t="s">
        <v>2727</v>
      </c>
      <c r="C1434" t="s">
        <v>16</v>
      </c>
      <c r="D1434" t="s">
        <v>4465</v>
      </c>
      <c r="E1434" t="s">
        <v>4445</v>
      </c>
      <c r="F1434" t="s">
        <v>2740</v>
      </c>
      <c r="G1434" s="2">
        <v>45593</v>
      </c>
      <c r="H1434" t="s">
        <v>565</v>
      </c>
      <c r="I1434">
        <v>83.3</v>
      </c>
      <c r="J1434" s="1">
        <v>20000</v>
      </c>
      <c r="K1434" s="1">
        <v>20000</v>
      </c>
    </row>
    <row r="1435" spans="1:11" x14ac:dyDescent="0.25">
      <c r="A1435" t="s">
        <v>554</v>
      </c>
      <c r="B1435" t="s">
        <v>2719</v>
      </c>
      <c r="C1435" t="s">
        <v>16</v>
      </c>
      <c r="D1435" t="s">
        <v>4466</v>
      </c>
      <c r="E1435" t="s">
        <v>4430</v>
      </c>
      <c r="F1435" t="s">
        <v>2740</v>
      </c>
      <c r="G1435" s="2">
        <v>45594</v>
      </c>
      <c r="H1435" t="s">
        <v>555</v>
      </c>
      <c r="I1435">
        <v>208.2</v>
      </c>
      <c r="J1435" s="1">
        <v>50000</v>
      </c>
      <c r="K1435" s="1">
        <v>50000</v>
      </c>
    </row>
    <row r="1436" spans="1:11" x14ac:dyDescent="0.25">
      <c r="A1436" t="s">
        <v>556</v>
      </c>
      <c r="B1436" t="s">
        <v>66</v>
      </c>
      <c r="C1436" t="s">
        <v>35</v>
      </c>
      <c r="D1436" t="s">
        <v>4466</v>
      </c>
      <c r="E1436" t="s">
        <v>3304</v>
      </c>
      <c r="F1436" t="s">
        <v>2740</v>
      </c>
      <c r="G1436" s="2">
        <v>45594</v>
      </c>
      <c r="H1436" t="s">
        <v>557</v>
      </c>
      <c r="I1436">
        <v>416.3</v>
      </c>
      <c r="J1436" s="1">
        <v>100000</v>
      </c>
      <c r="K1436" s="1">
        <v>100000</v>
      </c>
    </row>
    <row r="1437" spans="1:11" x14ac:dyDescent="0.25">
      <c r="A1437" t="s">
        <v>558</v>
      </c>
      <c r="B1437" t="s">
        <v>2729</v>
      </c>
      <c r="C1437" t="s">
        <v>16</v>
      </c>
      <c r="D1437" t="s">
        <v>4465</v>
      </c>
      <c r="E1437" t="s">
        <v>4427</v>
      </c>
      <c r="F1437" t="s">
        <v>2740</v>
      </c>
      <c r="G1437" s="2">
        <v>45594</v>
      </c>
      <c r="H1437" t="s">
        <v>559</v>
      </c>
      <c r="I1437">
        <v>154</v>
      </c>
      <c r="J1437" s="1">
        <v>37000</v>
      </c>
      <c r="K1437" s="1">
        <v>37000</v>
      </c>
    </row>
    <row r="1438" spans="1:11" x14ac:dyDescent="0.25">
      <c r="A1438" t="s">
        <v>548</v>
      </c>
      <c r="B1438" t="s">
        <v>2711</v>
      </c>
      <c r="C1438" t="s">
        <v>16</v>
      </c>
      <c r="D1438" t="s">
        <v>4461</v>
      </c>
      <c r="E1438" t="s">
        <v>4447</v>
      </c>
      <c r="F1438" t="s">
        <v>2740</v>
      </c>
      <c r="G1438" s="2">
        <v>45595</v>
      </c>
      <c r="H1438" t="s">
        <v>549</v>
      </c>
      <c r="I1438">
        <v>208.2</v>
      </c>
      <c r="J1438" s="1">
        <v>50000</v>
      </c>
      <c r="K1438" s="1">
        <v>50000</v>
      </c>
    </row>
    <row r="1439" spans="1:11" x14ac:dyDescent="0.25">
      <c r="A1439" t="s">
        <v>550</v>
      </c>
      <c r="B1439" t="s">
        <v>2701</v>
      </c>
      <c r="C1439" t="s">
        <v>16</v>
      </c>
      <c r="D1439" t="s">
        <v>4466</v>
      </c>
      <c r="E1439" t="s">
        <v>4453</v>
      </c>
      <c r="F1439" t="s">
        <v>2740</v>
      </c>
      <c r="G1439" s="2">
        <v>45595</v>
      </c>
      <c r="H1439" t="s">
        <v>551</v>
      </c>
      <c r="I1439">
        <v>83.3</v>
      </c>
      <c r="J1439" s="1">
        <v>20000</v>
      </c>
      <c r="K1439" s="1">
        <v>20000</v>
      </c>
    </row>
    <row r="1440" spans="1:11" x14ac:dyDescent="0.25">
      <c r="A1440" t="s">
        <v>552</v>
      </c>
      <c r="B1440" t="s">
        <v>2706</v>
      </c>
      <c r="C1440" t="s">
        <v>27</v>
      </c>
      <c r="D1440" t="s">
        <v>4461</v>
      </c>
      <c r="E1440" t="s">
        <v>4452</v>
      </c>
      <c r="F1440" t="s">
        <v>2740</v>
      </c>
      <c r="G1440" s="2">
        <v>45595</v>
      </c>
      <c r="H1440" t="s">
        <v>553</v>
      </c>
      <c r="I1440">
        <v>249.8</v>
      </c>
      <c r="J1440" s="1">
        <v>60000</v>
      </c>
      <c r="K1440" s="1">
        <v>60000</v>
      </c>
    </row>
    <row r="1441" spans="1:11" x14ac:dyDescent="0.25">
      <c r="A1441" t="s">
        <v>535</v>
      </c>
      <c r="B1441" t="s">
        <v>2699</v>
      </c>
      <c r="C1441" t="s">
        <v>16</v>
      </c>
      <c r="D1441" t="s">
        <v>4462</v>
      </c>
      <c r="E1441" t="s">
        <v>4440</v>
      </c>
      <c r="F1441" t="s">
        <v>2740</v>
      </c>
      <c r="G1441" s="2">
        <v>45596</v>
      </c>
      <c r="H1441" t="s">
        <v>536</v>
      </c>
      <c r="I1441">
        <v>62.5</v>
      </c>
      <c r="J1441" s="1">
        <v>15000</v>
      </c>
      <c r="K1441" s="1">
        <v>15000</v>
      </c>
    </row>
    <row r="1442" spans="1:11" x14ac:dyDescent="0.25">
      <c r="A1442" t="s">
        <v>537</v>
      </c>
      <c r="B1442" t="s">
        <v>2709</v>
      </c>
      <c r="C1442" t="s">
        <v>42</v>
      </c>
      <c r="D1442" t="s">
        <v>4467</v>
      </c>
      <c r="E1442" t="s">
        <v>4456</v>
      </c>
      <c r="F1442" t="s">
        <v>2740</v>
      </c>
      <c r="G1442" s="2">
        <v>45596</v>
      </c>
      <c r="H1442" t="s">
        <v>538</v>
      </c>
      <c r="I1442">
        <v>124.9</v>
      </c>
      <c r="J1442" s="1">
        <v>30000</v>
      </c>
      <c r="K1442" s="1">
        <v>30000</v>
      </c>
    </row>
    <row r="1443" spans="1:11" x14ac:dyDescent="0.25">
      <c r="A1443" t="s">
        <v>539</v>
      </c>
      <c r="B1443" t="s">
        <v>2701</v>
      </c>
      <c r="C1443" t="s">
        <v>16</v>
      </c>
      <c r="D1443" t="s">
        <v>4466</v>
      </c>
      <c r="E1443" t="s">
        <v>4453</v>
      </c>
      <c r="F1443" t="s">
        <v>2740</v>
      </c>
      <c r="G1443" s="2">
        <v>45596</v>
      </c>
      <c r="H1443" t="s">
        <v>540</v>
      </c>
      <c r="I1443">
        <v>62.4</v>
      </c>
      <c r="J1443" s="1">
        <v>15000</v>
      </c>
      <c r="K1443" s="1">
        <v>15000</v>
      </c>
    </row>
    <row r="1444" spans="1:11" x14ac:dyDescent="0.25">
      <c r="A1444" t="s">
        <v>542</v>
      </c>
      <c r="B1444" t="s">
        <v>2729</v>
      </c>
      <c r="C1444" t="s">
        <v>16</v>
      </c>
      <c r="D1444" t="s">
        <v>4465</v>
      </c>
      <c r="E1444" t="s">
        <v>4427</v>
      </c>
      <c r="F1444" t="s">
        <v>2740</v>
      </c>
      <c r="G1444" s="2">
        <v>45596</v>
      </c>
      <c r="H1444" t="s">
        <v>543</v>
      </c>
      <c r="I1444">
        <v>124.9</v>
      </c>
      <c r="J1444" s="1">
        <v>30000</v>
      </c>
      <c r="K1444" s="1">
        <v>30000</v>
      </c>
    </row>
    <row r="1445" spans="1:11" x14ac:dyDescent="0.25">
      <c r="A1445" t="s">
        <v>544</v>
      </c>
      <c r="B1445" t="s">
        <v>4463</v>
      </c>
      <c r="C1445" t="s">
        <v>35</v>
      </c>
      <c r="D1445" t="s">
        <v>4464</v>
      </c>
      <c r="E1445" t="s">
        <v>3304</v>
      </c>
      <c r="F1445" t="s">
        <v>2740</v>
      </c>
      <c r="G1445" s="2">
        <v>45596</v>
      </c>
      <c r="H1445" t="s">
        <v>545</v>
      </c>
      <c r="I1445">
        <v>208.2</v>
      </c>
      <c r="J1445" s="1">
        <v>50000</v>
      </c>
      <c r="K1445" s="1">
        <v>50000</v>
      </c>
    </row>
    <row r="1446" spans="1:11" x14ac:dyDescent="0.25">
      <c r="A1446" t="s">
        <v>531</v>
      </c>
      <c r="B1446" t="s">
        <v>2716</v>
      </c>
      <c r="C1446" t="s">
        <v>16</v>
      </c>
      <c r="D1446" t="s">
        <v>4462</v>
      </c>
      <c r="E1446" t="s">
        <v>4458</v>
      </c>
      <c r="F1446" t="s">
        <v>2740</v>
      </c>
      <c r="G1446" s="2">
        <v>45597</v>
      </c>
      <c r="H1446" t="s">
        <v>532</v>
      </c>
      <c r="I1446">
        <v>83.3</v>
      </c>
      <c r="J1446" s="1">
        <v>20000</v>
      </c>
      <c r="K1446" s="1">
        <v>20000</v>
      </c>
    </row>
    <row r="1447" spans="1:11" x14ac:dyDescent="0.25">
      <c r="A1447" t="s">
        <v>517</v>
      </c>
      <c r="B1447" t="s">
        <v>2698</v>
      </c>
      <c r="C1447" t="s">
        <v>16</v>
      </c>
      <c r="D1447" t="s">
        <v>4465</v>
      </c>
      <c r="E1447" t="s">
        <v>4442</v>
      </c>
      <c r="F1447" t="s">
        <v>2740</v>
      </c>
      <c r="G1447" s="2">
        <v>45598</v>
      </c>
      <c r="H1447" t="s">
        <v>518</v>
      </c>
      <c r="I1447">
        <v>208.2</v>
      </c>
      <c r="J1447" s="1">
        <v>50000</v>
      </c>
      <c r="K1447" s="1">
        <v>50000</v>
      </c>
    </row>
    <row r="1448" spans="1:11" x14ac:dyDescent="0.25">
      <c r="A1448" t="s">
        <v>521</v>
      </c>
      <c r="B1448" t="s">
        <v>93</v>
      </c>
      <c r="C1448" t="s">
        <v>35</v>
      </c>
      <c r="D1448" t="s">
        <v>4465</v>
      </c>
      <c r="E1448" t="s">
        <v>3304</v>
      </c>
      <c r="F1448" t="s">
        <v>2740</v>
      </c>
      <c r="G1448" s="2">
        <v>45598</v>
      </c>
      <c r="H1448" t="s">
        <v>522</v>
      </c>
      <c r="I1448">
        <v>208.2</v>
      </c>
      <c r="J1448" s="1">
        <v>50000</v>
      </c>
      <c r="K1448" s="1">
        <v>50000</v>
      </c>
    </row>
    <row r="1449" spans="1:11" x14ac:dyDescent="0.25">
      <c r="A1449" t="s">
        <v>523</v>
      </c>
      <c r="B1449" t="s">
        <v>66</v>
      </c>
      <c r="C1449" t="s">
        <v>35</v>
      </c>
      <c r="D1449" t="s">
        <v>4466</v>
      </c>
      <c r="E1449" t="s">
        <v>3304</v>
      </c>
      <c r="F1449" t="s">
        <v>2740</v>
      </c>
      <c r="G1449" s="2">
        <v>45598</v>
      </c>
      <c r="H1449" t="s">
        <v>524</v>
      </c>
      <c r="I1449">
        <v>416.3</v>
      </c>
      <c r="J1449" s="1">
        <v>100000</v>
      </c>
      <c r="K1449" s="1">
        <v>100000</v>
      </c>
    </row>
    <row r="1450" spans="1:11" x14ac:dyDescent="0.25">
      <c r="A1450" t="s">
        <v>525</v>
      </c>
      <c r="B1450" t="s">
        <v>4463</v>
      </c>
      <c r="C1450" t="s">
        <v>35</v>
      </c>
      <c r="D1450" t="s">
        <v>4464</v>
      </c>
      <c r="E1450" t="s">
        <v>3304</v>
      </c>
      <c r="F1450" t="s">
        <v>2740</v>
      </c>
      <c r="G1450" s="2">
        <v>45598</v>
      </c>
      <c r="H1450" t="s">
        <v>526</v>
      </c>
      <c r="I1450">
        <v>832.6</v>
      </c>
      <c r="J1450" s="1">
        <v>200000</v>
      </c>
      <c r="K1450" s="1">
        <v>200000</v>
      </c>
    </row>
    <row r="1451" spans="1:11" x14ac:dyDescent="0.25">
      <c r="A1451" t="s">
        <v>514</v>
      </c>
      <c r="B1451" t="s">
        <v>2723</v>
      </c>
      <c r="C1451" t="s">
        <v>16</v>
      </c>
      <c r="D1451" t="s">
        <v>4462</v>
      </c>
      <c r="E1451" t="s">
        <v>4443</v>
      </c>
      <c r="F1451" t="s">
        <v>2740</v>
      </c>
      <c r="G1451" s="2">
        <v>45599</v>
      </c>
      <c r="H1451" t="s">
        <v>515</v>
      </c>
      <c r="I1451">
        <v>416.3</v>
      </c>
      <c r="J1451" s="1">
        <v>100000</v>
      </c>
      <c r="K1451" s="1">
        <v>100000</v>
      </c>
    </row>
    <row r="1452" spans="1:11" x14ac:dyDescent="0.25">
      <c r="A1452" t="s">
        <v>506</v>
      </c>
      <c r="B1452" t="s">
        <v>2713</v>
      </c>
      <c r="C1452" t="s">
        <v>16</v>
      </c>
      <c r="D1452" t="s">
        <v>4465</v>
      </c>
      <c r="E1452" t="s">
        <v>4428</v>
      </c>
      <c r="F1452" t="s">
        <v>2740</v>
      </c>
      <c r="G1452" s="2">
        <v>45600</v>
      </c>
      <c r="H1452" t="s">
        <v>507</v>
      </c>
      <c r="I1452">
        <v>208.1</v>
      </c>
      <c r="J1452" s="1">
        <v>50000</v>
      </c>
      <c r="K1452" s="1">
        <v>50000</v>
      </c>
    </row>
    <row r="1453" spans="1:11" x14ac:dyDescent="0.25">
      <c r="A1453" t="s">
        <v>509</v>
      </c>
      <c r="B1453" t="s">
        <v>2705</v>
      </c>
      <c r="C1453" t="s">
        <v>42</v>
      </c>
      <c r="D1453" t="s">
        <v>4467</v>
      </c>
      <c r="E1453" t="s">
        <v>4435</v>
      </c>
      <c r="F1453" t="s">
        <v>2740</v>
      </c>
      <c r="G1453" s="2">
        <v>45600</v>
      </c>
      <c r="H1453" t="s">
        <v>510</v>
      </c>
      <c r="I1453">
        <v>104.1</v>
      </c>
      <c r="J1453" s="1">
        <v>25000</v>
      </c>
      <c r="K1453" s="1">
        <v>25000</v>
      </c>
    </row>
    <row r="1454" spans="1:11" x14ac:dyDescent="0.25">
      <c r="A1454" t="s">
        <v>511</v>
      </c>
      <c r="B1454" t="s">
        <v>2706</v>
      </c>
      <c r="C1454" t="s">
        <v>27</v>
      </c>
      <c r="D1454" t="s">
        <v>4461</v>
      </c>
      <c r="E1454" t="s">
        <v>4452</v>
      </c>
      <c r="F1454" t="s">
        <v>2740</v>
      </c>
      <c r="G1454" s="2">
        <v>45600</v>
      </c>
      <c r="H1454" t="s">
        <v>512</v>
      </c>
      <c r="I1454">
        <v>416.3</v>
      </c>
      <c r="J1454" s="1">
        <v>100000</v>
      </c>
      <c r="K1454" s="1">
        <v>100000</v>
      </c>
    </row>
    <row r="1455" spans="1:11" x14ac:dyDescent="0.25">
      <c r="A1455" t="s">
        <v>498</v>
      </c>
      <c r="B1455" t="s">
        <v>2724</v>
      </c>
      <c r="C1455" t="s">
        <v>16</v>
      </c>
      <c r="D1455" t="s">
        <v>4462</v>
      </c>
      <c r="E1455" t="s">
        <v>4451</v>
      </c>
      <c r="F1455" t="s">
        <v>2740</v>
      </c>
      <c r="G1455" s="2">
        <v>45601</v>
      </c>
      <c r="H1455" t="s">
        <v>499</v>
      </c>
      <c r="I1455">
        <v>208.2</v>
      </c>
      <c r="J1455" s="1">
        <v>50000</v>
      </c>
      <c r="K1455" s="1">
        <v>50000</v>
      </c>
    </row>
    <row r="1456" spans="1:11" x14ac:dyDescent="0.25">
      <c r="A1456" t="s">
        <v>500</v>
      </c>
      <c r="B1456" t="s">
        <v>2722</v>
      </c>
      <c r="C1456" t="s">
        <v>16</v>
      </c>
      <c r="D1456" t="s">
        <v>4462</v>
      </c>
      <c r="E1456" t="s">
        <v>4446</v>
      </c>
      <c r="F1456" t="s">
        <v>2740</v>
      </c>
      <c r="G1456" s="2">
        <v>45601</v>
      </c>
      <c r="H1456" t="s">
        <v>501</v>
      </c>
      <c r="I1456">
        <v>416.3</v>
      </c>
      <c r="J1456" s="1">
        <v>100000</v>
      </c>
      <c r="K1456" s="1">
        <v>100000</v>
      </c>
    </row>
    <row r="1457" spans="1:11" x14ac:dyDescent="0.25">
      <c r="A1457" t="s">
        <v>502</v>
      </c>
      <c r="B1457" t="s">
        <v>2700</v>
      </c>
      <c r="C1457" t="s">
        <v>27</v>
      </c>
      <c r="D1457" t="s">
        <v>4466</v>
      </c>
      <c r="E1457" t="s">
        <v>4450</v>
      </c>
      <c r="F1457" t="s">
        <v>2740</v>
      </c>
      <c r="G1457" s="2">
        <v>45601</v>
      </c>
      <c r="H1457" t="s">
        <v>503</v>
      </c>
      <c r="I1457">
        <v>83.3</v>
      </c>
      <c r="J1457" s="1">
        <v>20000</v>
      </c>
      <c r="K1457" s="1">
        <v>20000</v>
      </c>
    </row>
    <row r="1458" spans="1:11" x14ac:dyDescent="0.25">
      <c r="A1458" t="s">
        <v>504</v>
      </c>
      <c r="B1458" t="s">
        <v>2728</v>
      </c>
      <c r="C1458" t="s">
        <v>16</v>
      </c>
      <c r="D1458" t="s">
        <v>4465</v>
      </c>
      <c r="E1458" t="s">
        <v>4439</v>
      </c>
      <c r="F1458" t="s">
        <v>2740</v>
      </c>
      <c r="G1458" s="2">
        <v>45601</v>
      </c>
      <c r="H1458" t="s">
        <v>505</v>
      </c>
      <c r="I1458">
        <v>208.2</v>
      </c>
      <c r="J1458" s="1">
        <v>50000</v>
      </c>
      <c r="K1458" s="1">
        <v>50000</v>
      </c>
    </row>
    <row r="1459" spans="1:11" x14ac:dyDescent="0.25">
      <c r="A1459" t="s">
        <v>483</v>
      </c>
      <c r="B1459" t="s">
        <v>2705</v>
      </c>
      <c r="C1459" t="s">
        <v>42</v>
      </c>
      <c r="D1459" t="s">
        <v>4467</v>
      </c>
      <c r="E1459" t="s">
        <v>4435</v>
      </c>
      <c r="F1459" t="s">
        <v>2740</v>
      </c>
      <c r="G1459" s="2">
        <v>45602</v>
      </c>
      <c r="H1459" t="s">
        <v>484</v>
      </c>
      <c r="I1459">
        <v>104.1</v>
      </c>
      <c r="J1459" s="1">
        <v>25000</v>
      </c>
      <c r="K1459" s="1">
        <v>25000</v>
      </c>
    </row>
    <row r="1460" spans="1:11" x14ac:dyDescent="0.25">
      <c r="A1460" t="s">
        <v>485</v>
      </c>
      <c r="B1460" t="s">
        <v>2719</v>
      </c>
      <c r="C1460" t="s">
        <v>16</v>
      </c>
      <c r="D1460" t="s">
        <v>4466</v>
      </c>
      <c r="E1460" t="s">
        <v>4430</v>
      </c>
      <c r="F1460" t="s">
        <v>2740</v>
      </c>
      <c r="G1460" s="2">
        <v>45602</v>
      </c>
      <c r="H1460" t="s">
        <v>486</v>
      </c>
      <c r="I1460">
        <v>124.8</v>
      </c>
      <c r="J1460" s="1">
        <v>30000</v>
      </c>
      <c r="K1460" s="1">
        <v>30000</v>
      </c>
    </row>
    <row r="1461" spans="1:11" x14ac:dyDescent="0.25">
      <c r="A1461" t="s">
        <v>487</v>
      </c>
      <c r="B1461" t="s">
        <v>2716</v>
      </c>
      <c r="C1461" t="s">
        <v>16</v>
      </c>
      <c r="D1461" t="s">
        <v>4462</v>
      </c>
      <c r="E1461" t="s">
        <v>4458</v>
      </c>
      <c r="F1461" t="s">
        <v>2740</v>
      </c>
      <c r="G1461" s="2">
        <v>45602</v>
      </c>
      <c r="H1461" t="s">
        <v>488</v>
      </c>
      <c r="I1461">
        <v>41.6</v>
      </c>
      <c r="J1461" s="1">
        <v>10000</v>
      </c>
      <c r="K1461" s="1">
        <v>10000</v>
      </c>
    </row>
    <row r="1462" spans="1:11" x14ac:dyDescent="0.25">
      <c r="A1462" t="s">
        <v>491</v>
      </c>
      <c r="B1462" t="s">
        <v>2721</v>
      </c>
      <c r="C1462" t="s">
        <v>16</v>
      </c>
      <c r="D1462" t="s">
        <v>4466</v>
      </c>
      <c r="E1462" t="s">
        <v>4438</v>
      </c>
      <c r="F1462" t="s">
        <v>2740</v>
      </c>
      <c r="G1462" s="2">
        <v>45602</v>
      </c>
      <c r="H1462" t="s">
        <v>492</v>
      </c>
      <c r="I1462">
        <v>832.6</v>
      </c>
      <c r="J1462" s="1">
        <v>200000</v>
      </c>
      <c r="K1462" s="1">
        <v>200000</v>
      </c>
    </row>
    <row r="1463" spans="1:11" x14ac:dyDescent="0.25">
      <c r="A1463" t="s">
        <v>470</v>
      </c>
      <c r="B1463" t="s">
        <v>2705</v>
      </c>
      <c r="C1463" t="s">
        <v>42</v>
      </c>
      <c r="D1463" t="s">
        <v>4467</v>
      </c>
      <c r="E1463" t="s">
        <v>4435</v>
      </c>
      <c r="F1463" t="s">
        <v>2740</v>
      </c>
      <c r="G1463" s="2">
        <v>45604</v>
      </c>
      <c r="H1463" t="s">
        <v>471</v>
      </c>
      <c r="I1463">
        <v>208.1</v>
      </c>
      <c r="J1463" s="1">
        <v>50000</v>
      </c>
      <c r="K1463" s="1">
        <v>50000</v>
      </c>
    </row>
    <row r="1464" spans="1:11" x14ac:dyDescent="0.25">
      <c r="A1464" t="s">
        <v>474</v>
      </c>
      <c r="B1464" t="s">
        <v>2702</v>
      </c>
      <c r="C1464" t="s">
        <v>35</v>
      </c>
      <c r="D1464" t="s">
        <v>3305</v>
      </c>
      <c r="E1464" t="s">
        <v>3304</v>
      </c>
      <c r="F1464" t="s">
        <v>2740</v>
      </c>
      <c r="G1464" s="2">
        <v>45604</v>
      </c>
      <c r="H1464" t="s">
        <v>475</v>
      </c>
      <c r="I1464">
        <v>208.2</v>
      </c>
      <c r="J1464" s="1">
        <v>50000</v>
      </c>
      <c r="K1464" s="1">
        <v>50000</v>
      </c>
    </row>
    <row r="1465" spans="1:11" x14ac:dyDescent="0.25">
      <c r="A1465" t="s">
        <v>476</v>
      </c>
      <c r="B1465" t="s">
        <v>66</v>
      </c>
      <c r="C1465" t="s">
        <v>35</v>
      </c>
      <c r="D1465" t="s">
        <v>4466</v>
      </c>
      <c r="E1465" t="s">
        <v>3304</v>
      </c>
      <c r="F1465" t="s">
        <v>2740</v>
      </c>
      <c r="G1465" s="2">
        <v>45604</v>
      </c>
      <c r="H1465" t="s">
        <v>477</v>
      </c>
      <c r="I1465">
        <v>416.3</v>
      </c>
      <c r="J1465" s="1">
        <v>100000</v>
      </c>
      <c r="K1465" s="1">
        <v>100000</v>
      </c>
    </row>
    <row r="1466" spans="1:11" x14ac:dyDescent="0.25">
      <c r="A1466" t="s">
        <v>459</v>
      </c>
      <c r="B1466" t="s">
        <v>2699</v>
      </c>
      <c r="C1466" t="s">
        <v>16</v>
      </c>
      <c r="D1466" t="s">
        <v>4462</v>
      </c>
      <c r="E1466" t="s">
        <v>4440</v>
      </c>
      <c r="F1466" t="s">
        <v>2740</v>
      </c>
      <c r="G1466" s="2">
        <v>45605</v>
      </c>
      <c r="H1466" t="s">
        <v>460</v>
      </c>
      <c r="I1466">
        <v>83.3</v>
      </c>
      <c r="J1466" s="1">
        <v>20000</v>
      </c>
      <c r="K1466" s="1">
        <v>20000</v>
      </c>
    </row>
    <row r="1467" spans="1:11" x14ac:dyDescent="0.25">
      <c r="A1467" t="s">
        <v>461</v>
      </c>
      <c r="B1467" t="s">
        <v>2714</v>
      </c>
      <c r="C1467" t="s">
        <v>16</v>
      </c>
      <c r="D1467" t="s">
        <v>4466</v>
      </c>
      <c r="E1467" t="s">
        <v>4434</v>
      </c>
      <c r="F1467" t="s">
        <v>2740</v>
      </c>
      <c r="G1467" s="2">
        <v>45605</v>
      </c>
      <c r="H1467" t="s">
        <v>462</v>
      </c>
      <c r="I1467">
        <v>416.3</v>
      </c>
      <c r="J1467" s="1">
        <v>100000</v>
      </c>
      <c r="K1467" s="1">
        <v>100000</v>
      </c>
    </row>
    <row r="1468" spans="1:11" x14ac:dyDescent="0.25">
      <c r="A1468" t="s">
        <v>463</v>
      </c>
      <c r="B1468" t="s">
        <v>133</v>
      </c>
      <c r="C1468" t="s">
        <v>35</v>
      </c>
      <c r="D1468" t="s">
        <v>4461</v>
      </c>
      <c r="E1468" t="s">
        <v>3304</v>
      </c>
      <c r="F1468" t="s">
        <v>2740</v>
      </c>
      <c r="G1468" s="2">
        <v>45605</v>
      </c>
      <c r="H1468" t="s">
        <v>464</v>
      </c>
      <c r="I1468">
        <v>208.2</v>
      </c>
      <c r="J1468" s="1">
        <v>50000</v>
      </c>
      <c r="K1468" s="1">
        <v>50000</v>
      </c>
    </row>
    <row r="1469" spans="1:11" x14ac:dyDescent="0.25">
      <c r="A1469" t="s">
        <v>465</v>
      </c>
      <c r="B1469" t="s">
        <v>4463</v>
      </c>
      <c r="C1469" t="s">
        <v>35</v>
      </c>
      <c r="D1469" t="s">
        <v>4464</v>
      </c>
      <c r="E1469" t="s">
        <v>3304</v>
      </c>
      <c r="F1469" t="s">
        <v>2740</v>
      </c>
      <c r="G1469" s="2">
        <v>45605</v>
      </c>
      <c r="H1469" t="s">
        <v>466</v>
      </c>
      <c r="I1469">
        <v>416.3</v>
      </c>
      <c r="J1469" s="1">
        <v>100000</v>
      </c>
      <c r="K1469" s="1">
        <v>100000</v>
      </c>
    </row>
    <row r="1470" spans="1:11" x14ac:dyDescent="0.25">
      <c r="A1470" t="s">
        <v>467</v>
      </c>
      <c r="B1470" t="s">
        <v>136</v>
      </c>
      <c r="C1470" t="s">
        <v>35</v>
      </c>
      <c r="D1470" t="s">
        <v>4462</v>
      </c>
      <c r="E1470" t="s">
        <v>3304</v>
      </c>
      <c r="F1470" t="s">
        <v>2740</v>
      </c>
      <c r="G1470" s="2">
        <v>45605</v>
      </c>
      <c r="H1470" t="s">
        <v>468</v>
      </c>
      <c r="I1470">
        <v>208.2</v>
      </c>
      <c r="J1470" s="1">
        <v>50000</v>
      </c>
      <c r="K1470" s="1">
        <v>50000</v>
      </c>
    </row>
    <row r="1471" spans="1:11" x14ac:dyDescent="0.25">
      <c r="A1471" t="s">
        <v>453</v>
      </c>
      <c r="B1471" t="s">
        <v>2701</v>
      </c>
      <c r="C1471" t="s">
        <v>16</v>
      </c>
      <c r="D1471" t="s">
        <v>4466</v>
      </c>
      <c r="E1471" t="s">
        <v>4453</v>
      </c>
      <c r="F1471" t="s">
        <v>2740</v>
      </c>
      <c r="G1471" s="2">
        <v>45606</v>
      </c>
      <c r="H1471" t="s">
        <v>454</v>
      </c>
      <c r="I1471">
        <v>41.7</v>
      </c>
      <c r="J1471" s="1">
        <v>10000</v>
      </c>
      <c r="K1471" s="1">
        <v>10000</v>
      </c>
    </row>
    <row r="1472" spans="1:11" x14ac:dyDescent="0.25">
      <c r="A1472" t="s">
        <v>456</v>
      </c>
      <c r="B1472" t="s">
        <v>2733</v>
      </c>
      <c r="C1472" t="s">
        <v>16</v>
      </c>
      <c r="D1472" t="s">
        <v>4465</v>
      </c>
      <c r="E1472" t="s">
        <v>4448</v>
      </c>
      <c r="F1472" t="s">
        <v>2740</v>
      </c>
      <c r="G1472" s="2">
        <v>45606</v>
      </c>
      <c r="H1472" t="s">
        <v>457</v>
      </c>
      <c r="I1472">
        <v>229</v>
      </c>
      <c r="J1472" s="1">
        <v>55000</v>
      </c>
      <c r="K1472" s="1">
        <v>55000</v>
      </c>
    </row>
    <row r="1473" spans="1:11" x14ac:dyDescent="0.25">
      <c r="A1473" t="s">
        <v>447</v>
      </c>
      <c r="B1473" t="s">
        <v>2710</v>
      </c>
      <c r="C1473" t="s">
        <v>42</v>
      </c>
      <c r="D1473" t="s">
        <v>4467</v>
      </c>
      <c r="E1473" t="s">
        <v>4436</v>
      </c>
      <c r="F1473" t="s">
        <v>2740</v>
      </c>
      <c r="G1473" s="2">
        <v>45607</v>
      </c>
      <c r="H1473" t="s">
        <v>448</v>
      </c>
      <c r="I1473">
        <v>416.3</v>
      </c>
      <c r="J1473" s="1">
        <v>100000</v>
      </c>
      <c r="K1473" s="1">
        <v>100000</v>
      </c>
    </row>
    <row r="1474" spans="1:11" x14ac:dyDescent="0.25">
      <c r="A1474" t="s">
        <v>449</v>
      </c>
      <c r="B1474" t="s">
        <v>2729</v>
      </c>
      <c r="C1474" t="s">
        <v>16</v>
      </c>
      <c r="D1474" t="s">
        <v>4465</v>
      </c>
      <c r="E1474" t="s">
        <v>4427</v>
      </c>
      <c r="F1474" t="s">
        <v>2740</v>
      </c>
      <c r="G1474" s="2">
        <v>45607</v>
      </c>
      <c r="H1474" t="s">
        <v>450</v>
      </c>
      <c r="I1474">
        <v>166.5</v>
      </c>
      <c r="J1474" s="1">
        <v>40000</v>
      </c>
      <c r="K1474" s="1">
        <v>40000</v>
      </c>
    </row>
    <row r="1475" spans="1:11" x14ac:dyDescent="0.25">
      <c r="A1475" t="s">
        <v>451</v>
      </c>
      <c r="B1475" t="s">
        <v>66</v>
      </c>
      <c r="C1475" t="s">
        <v>35</v>
      </c>
      <c r="D1475" t="s">
        <v>4466</v>
      </c>
      <c r="E1475" t="s">
        <v>3304</v>
      </c>
      <c r="F1475" t="s">
        <v>2740</v>
      </c>
      <c r="G1475" s="2">
        <v>45607</v>
      </c>
      <c r="H1475" t="s">
        <v>452</v>
      </c>
      <c r="I1475">
        <v>208.1</v>
      </c>
      <c r="J1475" s="1">
        <v>50000</v>
      </c>
      <c r="K1475" s="1">
        <v>50000</v>
      </c>
    </row>
    <row r="1476" spans="1:11" x14ac:dyDescent="0.25">
      <c r="A1476" t="s">
        <v>439</v>
      </c>
      <c r="B1476" t="s">
        <v>2701</v>
      </c>
      <c r="C1476" t="s">
        <v>16</v>
      </c>
      <c r="D1476" t="s">
        <v>4466</v>
      </c>
      <c r="E1476" t="s">
        <v>4453</v>
      </c>
      <c r="F1476" t="s">
        <v>2740</v>
      </c>
      <c r="G1476" s="2">
        <v>45609</v>
      </c>
      <c r="H1476" t="s">
        <v>440</v>
      </c>
      <c r="I1476">
        <v>41.6</v>
      </c>
      <c r="J1476" s="1">
        <v>10000</v>
      </c>
      <c r="K1476" s="1">
        <v>10000</v>
      </c>
    </row>
    <row r="1477" spans="1:11" x14ac:dyDescent="0.25">
      <c r="A1477" t="s">
        <v>441</v>
      </c>
      <c r="B1477" t="s">
        <v>4463</v>
      </c>
      <c r="C1477" t="s">
        <v>35</v>
      </c>
      <c r="D1477" t="s">
        <v>4464</v>
      </c>
      <c r="E1477" t="s">
        <v>3304</v>
      </c>
      <c r="F1477" t="s">
        <v>2740</v>
      </c>
      <c r="G1477" s="2">
        <v>45609</v>
      </c>
      <c r="H1477" t="s">
        <v>442</v>
      </c>
      <c r="I1477">
        <v>416.3</v>
      </c>
      <c r="J1477" s="1">
        <v>100000</v>
      </c>
      <c r="K1477" s="1">
        <v>100000</v>
      </c>
    </row>
    <row r="1478" spans="1:11" x14ac:dyDescent="0.25">
      <c r="A1478" t="s">
        <v>443</v>
      </c>
      <c r="B1478" t="s">
        <v>2713</v>
      </c>
      <c r="C1478" t="s">
        <v>16</v>
      </c>
      <c r="D1478" t="s">
        <v>4465</v>
      </c>
      <c r="E1478" t="s">
        <v>4428</v>
      </c>
      <c r="F1478" t="s">
        <v>2740</v>
      </c>
      <c r="G1478" s="2">
        <v>45609</v>
      </c>
      <c r="H1478" t="s">
        <v>444</v>
      </c>
      <c r="I1478">
        <v>50</v>
      </c>
      <c r="J1478" s="1">
        <v>12000</v>
      </c>
      <c r="K1478" s="1">
        <v>12000</v>
      </c>
    </row>
    <row r="1479" spans="1:11" x14ac:dyDescent="0.25">
      <c r="A1479" t="s">
        <v>427</v>
      </c>
      <c r="B1479" t="s">
        <v>2719</v>
      </c>
      <c r="C1479" t="s">
        <v>16</v>
      </c>
      <c r="D1479" t="s">
        <v>4466</v>
      </c>
      <c r="E1479" t="s">
        <v>4430</v>
      </c>
      <c r="F1479" t="s">
        <v>2740</v>
      </c>
      <c r="G1479" s="2">
        <v>45610</v>
      </c>
      <c r="H1479" t="s">
        <v>428</v>
      </c>
      <c r="I1479">
        <v>208.2</v>
      </c>
      <c r="J1479" s="1">
        <v>50000</v>
      </c>
      <c r="K1479" s="1">
        <v>50000</v>
      </c>
    </row>
    <row r="1480" spans="1:11" x14ac:dyDescent="0.25">
      <c r="A1480" t="s">
        <v>430</v>
      </c>
      <c r="B1480" t="s">
        <v>2698</v>
      </c>
      <c r="C1480" t="s">
        <v>16</v>
      </c>
      <c r="D1480" t="s">
        <v>4465</v>
      </c>
      <c r="E1480" t="s">
        <v>4442</v>
      </c>
      <c r="F1480" t="s">
        <v>2740</v>
      </c>
      <c r="G1480" s="2">
        <v>45610</v>
      </c>
      <c r="H1480" t="s">
        <v>431</v>
      </c>
      <c r="I1480">
        <v>41.6</v>
      </c>
      <c r="J1480" s="1">
        <v>10000</v>
      </c>
      <c r="K1480" s="1">
        <v>10000</v>
      </c>
    </row>
    <row r="1481" spans="1:11" x14ac:dyDescent="0.25">
      <c r="A1481" t="s">
        <v>430</v>
      </c>
      <c r="B1481" t="s">
        <v>2698</v>
      </c>
      <c r="C1481" t="s">
        <v>16</v>
      </c>
      <c r="D1481" t="s">
        <v>4465</v>
      </c>
      <c r="E1481" t="s">
        <v>4442</v>
      </c>
      <c r="F1481" t="s">
        <v>2740</v>
      </c>
      <c r="G1481" s="2">
        <v>45610</v>
      </c>
      <c r="H1481" t="s">
        <v>432</v>
      </c>
      <c r="I1481">
        <v>41.6</v>
      </c>
      <c r="J1481" s="1">
        <v>10000</v>
      </c>
      <c r="K1481" s="1">
        <v>10000</v>
      </c>
    </row>
    <row r="1482" spans="1:11" x14ac:dyDescent="0.25">
      <c r="A1482" t="s">
        <v>433</v>
      </c>
      <c r="B1482" t="s">
        <v>66</v>
      </c>
      <c r="C1482" t="s">
        <v>35</v>
      </c>
      <c r="D1482" t="s">
        <v>4466</v>
      </c>
      <c r="E1482" t="s">
        <v>3304</v>
      </c>
      <c r="F1482" t="s">
        <v>2740</v>
      </c>
      <c r="G1482" s="2">
        <v>45610</v>
      </c>
      <c r="H1482" t="s">
        <v>434</v>
      </c>
      <c r="I1482">
        <v>208.2</v>
      </c>
      <c r="J1482" s="1">
        <v>50000</v>
      </c>
      <c r="K1482" s="1">
        <v>50000</v>
      </c>
    </row>
    <row r="1483" spans="1:11" x14ac:dyDescent="0.25">
      <c r="A1483" t="s">
        <v>435</v>
      </c>
      <c r="B1483" t="s">
        <v>2705</v>
      </c>
      <c r="C1483" t="s">
        <v>42</v>
      </c>
      <c r="D1483" t="s">
        <v>4467</v>
      </c>
      <c r="E1483" t="s">
        <v>4435</v>
      </c>
      <c r="F1483" t="s">
        <v>2740</v>
      </c>
      <c r="G1483" s="2">
        <v>45610</v>
      </c>
      <c r="H1483" t="s">
        <v>436</v>
      </c>
      <c r="I1483">
        <v>104.1</v>
      </c>
      <c r="J1483" s="1">
        <v>25000</v>
      </c>
      <c r="K1483" s="1">
        <v>25000</v>
      </c>
    </row>
    <row r="1484" spans="1:11" x14ac:dyDescent="0.25">
      <c r="A1484" t="s">
        <v>437</v>
      </c>
      <c r="B1484" t="s">
        <v>2705</v>
      </c>
      <c r="C1484" t="s">
        <v>42</v>
      </c>
      <c r="D1484" t="s">
        <v>4467</v>
      </c>
      <c r="E1484" t="s">
        <v>4435</v>
      </c>
      <c r="F1484" t="s">
        <v>2740</v>
      </c>
      <c r="G1484" s="2">
        <v>45610</v>
      </c>
      <c r="H1484" t="s">
        <v>438</v>
      </c>
      <c r="I1484">
        <v>41.6</v>
      </c>
      <c r="J1484" s="1">
        <v>10000</v>
      </c>
      <c r="K1484" s="1">
        <v>10000</v>
      </c>
    </row>
    <row r="1485" spans="1:11" x14ac:dyDescent="0.25">
      <c r="A1485" t="s">
        <v>424</v>
      </c>
      <c r="B1485" t="s">
        <v>2700</v>
      </c>
      <c r="C1485" t="s">
        <v>27</v>
      </c>
      <c r="D1485" t="s">
        <v>4466</v>
      </c>
      <c r="E1485" t="s">
        <v>4450</v>
      </c>
      <c r="F1485" t="s">
        <v>2740</v>
      </c>
      <c r="G1485" s="2">
        <v>45611</v>
      </c>
      <c r="H1485" t="s">
        <v>425</v>
      </c>
      <c r="I1485">
        <v>412.1</v>
      </c>
      <c r="J1485" s="1">
        <v>99000</v>
      </c>
      <c r="K1485" s="1">
        <v>99000</v>
      </c>
    </row>
    <row r="1486" spans="1:11" x14ac:dyDescent="0.25">
      <c r="A1486" t="s">
        <v>416</v>
      </c>
      <c r="B1486" t="s">
        <v>66</v>
      </c>
      <c r="C1486" t="s">
        <v>35</v>
      </c>
      <c r="D1486" t="s">
        <v>4466</v>
      </c>
      <c r="E1486" t="s">
        <v>3304</v>
      </c>
      <c r="F1486" t="s">
        <v>2740</v>
      </c>
      <c r="G1486" s="2">
        <v>45612</v>
      </c>
      <c r="H1486" t="s">
        <v>417</v>
      </c>
      <c r="I1486">
        <v>416.3</v>
      </c>
      <c r="J1486" s="1">
        <v>100000</v>
      </c>
      <c r="K1486" s="1">
        <v>100000</v>
      </c>
    </row>
    <row r="1487" spans="1:11" x14ac:dyDescent="0.25">
      <c r="A1487" t="s">
        <v>418</v>
      </c>
      <c r="B1487" t="s">
        <v>4463</v>
      </c>
      <c r="C1487" t="s">
        <v>35</v>
      </c>
      <c r="D1487" t="s">
        <v>4464</v>
      </c>
      <c r="E1487" t="s">
        <v>3304</v>
      </c>
      <c r="F1487" t="s">
        <v>2740</v>
      </c>
      <c r="G1487" s="2">
        <v>45612</v>
      </c>
      <c r="H1487" t="s">
        <v>419</v>
      </c>
      <c r="I1487">
        <v>416.3</v>
      </c>
      <c r="J1487" s="1">
        <v>100000</v>
      </c>
      <c r="K1487" s="1">
        <v>100000</v>
      </c>
    </row>
    <row r="1488" spans="1:11" x14ac:dyDescent="0.25">
      <c r="A1488" t="s">
        <v>420</v>
      </c>
      <c r="B1488" t="s">
        <v>4471</v>
      </c>
      <c r="C1488" t="s">
        <v>35</v>
      </c>
      <c r="D1488" t="s">
        <v>4470</v>
      </c>
      <c r="E1488" t="s">
        <v>35</v>
      </c>
      <c r="F1488" t="s">
        <v>2740</v>
      </c>
      <c r="G1488" s="2">
        <v>45612</v>
      </c>
      <c r="H1488" t="s">
        <v>421</v>
      </c>
      <c r="I1488">
        <v>208.2</v>
      </c>
      <c r="J1488" s="1">
        <v>50000</v>
      </c>
      <c r="K1488" s="1">
        <v>50000</v>
      </c>
    </row>
    <row r="1489" spans="1:11" x14ac:dyDescent="0.25">
      <c r="A1489" t="s">
        <v>422</v>
      </c>
      <c r="B1489" t="s">
        <v>2713</v>
      </c>
      <c r="C1489" t="s">
        <v>16</v>
      </c>
      <c r="D1489" t="s">
        <v>4465</v>
      </c>
      <c r="E1489" t="s">
        <v>4428</v>
      </c>
      <c r="F1489" t="s">
        <v>2740</v>
      </c>
      <c r="G1489" s="2">
        <v>45612</v>
      </c>
      <c r="H1489" t="s">
        <v>423</v>
      </c>
      <c r="I1489">
        <v>83.2</v>
      </c>
      <c r="J1489" s="1">
        <v>20000</v>
      </c>
      <c r="K1489" s="1">
        <v>20000</v>
      </c>
    </row>
    <row r="1490" spans="1:11" x14ac:dyDescent="0.25">
      <c r="A1490" t="s">
        <v>412</v>
      </c>
      <c r="B1490" t="s">
        <v>2701</v>
      </c>
      <c r="C1490" t="s">
        <v>16</v>
      </c>
      <c r="D1490" t="s">
        <v>4466</v>
      </c>
      <c r="E1490" t="s">
        <v>4453</v>
      </c>
      <c r="F1490" t="s">
        <v>2740</v>
      </c>
      <c r="G1490" s="2">
        <v>45613</v>
      </c>
      <c r="H1490" t="s">
        <v>413</v>
      </c>
      <c r="I1490">
        <v>62.5</v>
      </c>
      <c r="J1490" s="1">
        <v>15000</v>
      </c>
      <c r="K1490" s="1">
        <v>15000</v>
      </c>
    </row>
    <row r="1491" spans="1:11" x14ac:dyDescent="0.25">
      <c r="A1491" t="s">
        <v>414</v>
      </c>
      <c r="B1491" t="s">
        <v>2698</v>
      </c>
      <c r="C1491" t="s">
        <v>16</v>
      </c>
      <c r="D1491" t="s">
        <v>4465</v>
      </c>
      <c r="E1491" t="s">
        <v>4442</v>
      </c>
      <c r="F1491" t="s">
        <v>2740</v>
      </c>
      <c r="G1491" s="2">
        <v>45613</v>
      </c>
      <c r="H1491" t="s">
        <v>415</v>
      </c>
      <c r="I1491">
        <v>83.3</v>
      </c>
      <c r="J1491" s="1">
        <v>20000</v>
      </c>
      <c r="K1491" s="1">
        <v>20000</v>
      </c>
    </row>
    <row r="1492" spans="1:11" x14ac:dyDescent="0.25">
      <c r="A1492" t="s">
        <v>410</v>
      </c>
      <c r="B1492" t="s">
        <v>2705</v>
      </c>
      <c r="C1492" t="s">
        <v>42</v>
      </c>
      <c r="D1492" t="s">
        <v>4467</v>
      </c>
      <c r="E1492" t="s">
        <v>4435</v>
      </c>
      <c r="F1492" t="s">
        <v>2740</v>
      </c>
      <c r="G1492" s="2">
        <v>45614</v>
      </c>
      <c r="H1492" t="s">
        <v>411</v>
      </c>
      <c r="I1492">
        <v>104.1</v>
      </c>
      <c r="J1492" s="1">
        <v>25000</v>
      </c>
      <c r="K1492" s="1">
        <v>25000</v>
      </c>
    </row>
    <row r="1493" spans="1:11" x14ac:dyDescent="0.25">
      <c r="A1493" t="s">
        <v>402</v>
      </c>
      <c r="B1493" t="s">
        <v>2729</v>
      </c>
      <c r="C1493" t="s">
        <v>16</v>
      </c>
      <c r="D1493" t="s">
        <v>4465</v>
      </c>
      <c r="E1493" t="s">
        <v>4427</v>
      </c>
      <c r="F1493" t="s">
        <v>2740</v>
      </c>
      <c r="G1493" s="2">
        <v>45615</v>
      </c>
      <c r="H1493" t="s">
        <v>403</v>
      </c>
      <c r="I1493">
        <v>124.9</v>
      </c>
      <c r="J1493" s="1">
        <v>30000</v>
      </c>
      <c r="K1493" s="1">
        <v>30000</v>
      </c>
    </row>
    <row r="1494" spans="1:11" x14ac:dyDescent="0.25">
      <c r="A1494" t="s">
        <v>404</v>
      </c>
      <c r="B1494" t="s">
        <v>2699</v>
      </c>
      <c r="C1494" t="s">
        <v>16</v>
      </c>
      <c r="D1494" t="s">
        <v>4462</v>
      </c>
      <c r="E1494" t="s">
        <v>4440</v>
      </c>
      <c r="F1494" t="s">
        <v>2740</v>
      </c>
      <c r="G1494" s="2">
        <v>45615</v>
      </c>
      <c r="H1494" t="s">
        <v>405</v>
      </c>
      <c r="I1494">
        <v>83.2</v>
      </c>
      <c r="J1494" s="1">
        <v>20000</v>
      </c>
      <c r="K1494" s="1">
        <v>20000</v>
      </c>
    </row>
    <row r="1495" spans="1:11" x14ac:dyDescent="0.25">
      <c r="A1495" t="s">
        <v>406</v>
      </c>
      <c r="B1495" t="s">
        <v>2717</v>
      </c>
      <c r="C1495" t="s">
        <v>16</v>
      </c>
      <c r="D1495" t="s">
        <v>4466</v>
      </c>
      <c r="E1495" t="s">
        <v>4431</v>
      </c>
      <c r="F1495" t="s">
        <v>2740</v>
      </c>
      <c r="G1495" s="2">
        <v>45615</v>
      </c>
      <c r="H1495" t="s">
        <v>407</v>
      </c>
      <c r="I1495">
        <v>312.2</v>
      </c>
      <c r="J1495" s="1">
        <v>75000</v>
      </c>
      <c r="K1495" s="1">
        <v>75000</v>
      </c>
    </row>
    <row r="1496" spans="1:11" x14ac:dyDescent="0.25">
      <c r="A1496" t="s">
        <v>408</v>
      </c>
      <c r="B1496" t="s">
        <v>2713</v>
      </c>
      <c r="C1496" t="s">
        <v>16</v>
      </c>
      <c r="D1496" t="s">
        <v>4465</v>
      </c>
      <c r="E1496" t="s">
        <v>4428</v>
      </c>
      <c r="F1496" t="s">
        <v>2740</v>
      </c>
      <c r="G1496" s="2">
        <v>45615</v>
      </c>
      <c r="H1496" t="s">
        <v>409</v>
      </c>
      <c r="I1496">
        <v>208.2</v>
      </c>
      <c r="J1496" s="1">
        <v>50000</v>
      </c>
      <c r="K1496" s="1">
        <v>50000</v>
      </c>
    </row>
    <row r="1497" spans="1:11" x14ac:dyDescent="0.25">
      <c r="A1497" t="s">
        <v>398</v>
      </c>
      <c r="B1497" t="s">
        <v>2705</v>
      </c>
      <c r="C1497" t="s">
        <v>42</v>
      </c>
      <c r="D1497" t="s">
        <v>4467</v>
      </c>
      <c r="E1497" t="s">
        <v>4435</v>
      </c>
      <c r="F1497" t="s">
        <v>2740</v>
      </c>
      <c r="G1497" s="2">
        <v>45616</v>
      </c>
      <c r="H1497" t="s">
        <v>399</v>
      </c>
      <c r="I1497">
        <v>104.1</v>
      </c>
      <c r="J1497" s="1">
        <v>25000</v>
      </c>
      <c r="K1497" s="1">
        <v>25000</v>
      </c>
    </row>
    <row r="1498" spans="1:11" x14ac:dyDescent="0.25">
      <c r="A1498" t="s">
        <v>400</v>
      </c>
      <c r="B1498" t="s">
        <v>2718</v>
      </c>
      <c r="C1498" t="s">
        <v>16</v>
      </c>
      <c r="D1498" t="s">
        <v>4466</v>
      </c>
      <c r="E1498" t="s">
        <v>4438</v>
      </c>
      <c r="F1498" t="s">
        <v>2740</v>
      </c>
      <c r="G1498" s="2">
        <v>45616</v>
      </c>
      <c r="H1498" t="s">
        <v>401</v>
      </c>
      <c r="I1498">
        <v>166.6</v>
      </c>
      <c r="J1498" s="1">
        <v>40000</v>
      </c>
      <c r="K1498" s="1">
        <v>40000</v>
      </c>
    </row>
    <row r="1499" spans="1:11" x14ac:dyDescent="0.25">
      <c r="A1499" t="s">
        <v>387</v>
      </c>
      <c r="B1499" t="s">
        <v>2701</v>
      </c>
      <c r="C1499" t="s">
        <v>16</v>
      </c>
      <c r="D1499" t="s">
        <v>4466</v>
      </c>
      <c r="E1499" t="s">
        <v>4453</v>
      </c>
      <c r="F1499" t="s">
        <v>2740</v>
      </c>
      <c r="G1499" s="2">
        <v>45617</v>
      </c>
      <c r="H1499" t="s">
        <v>388</v>
      </c>
      <c r="I1499">
        <v>41.6</v>
      </c>
      <c r="J1499" s="1">
        <v>10000</v>
      </c>
      <c r="K1499" s="1">
        <v>10000</v>
      </c>
    </row>
    <row r="1500" spans="1:11" x14ac:dyDescent="0.25">
      <c r="A1500" t="s">
        <v>390</v>
      </c>
      <c r="B1500" t="s">
        <v>2737</v>
      </c>
      <c r="C1500" t="s">
        <v>16</v>
      </c>
      <c r="D1500" t="s">
        <v>4466</v>
      </c>
      <c r="E1500" t="s">
        <v>4432</v>
      </c>
      <c r="F1500" t="s">
        <v>2740</v>
      </c>
      <c r="G1500" s="2">
        <v>45617</v>
      </c>
      <c r="H1500" t="s">
        <v>391</v>
      </c>
      <c r="I1500">
        <v>158.1</v>
      </c>
      <c r="J1500" s="1">
        <v>38000</v>
      </c>
      <c r="K1500" s="1">
        <v>38000</v>
      </c>
    </row>
    <row r="1501" spans="1:11" x14ac:dyDescent="0.25">
      <c r="A1501" t="s">
        <v>392</v>
      </c>
      <c r="B1501" t="s">
        <v>2702</v>
      </c>
      <c r="C1501" t="s">
        <v>35</v>
      </c>
      <c r="D1501" t="s">
        <v>3305</v>
      </c>
      <c r="E1501" t="s">
        <v>3304</v>
      </c>
      <c r="F1501" t="s">
        <v>2740</v>
      </c>
      <c r="G1501" s="2">
        <v>45617</v>
      </c>
      <c r="H1501" t="s">
        <v>393</v>
      </c>
      <c r="I1501">
        <v>208.1</v>
      </c>
      <c r="J1501" s="1">
        <v>50000</v>
      </c>
      <c r="K1501" s="1">
        <v>50000</v>
      </c>
    </row>
    <row r="1502" spans="1:11" x14ac:dyDescent="0.25">
      <c r="A1502" t="s">
        <v>394</v>
      </c>
      <c r="B1502" t="s">
        <v>4463</v>
      </c>
      <c r="C1502" t="s">
        <v>35</v>
      </c>
      <c r="D1502" t="s">
        <v>4464</v>
      </c>
      <c r="E1502" t="s">
        <v>3304</v>
      </c>
      <c r="F1502" t="s">
        <v>2740</v>
      </c>
      <c r="G1502" s="2">
        <v>45617</v>
      </c>
      <c r="H1502" t="s">
        <v>395</v>
      </c>
      <c r="I1502">
        <v>416.3</v>
      </c>
      <c r="J1502" s="1">
        <v>100000</v>
      </c>
      <c r="K1502" s="1">
        <v>100000</v>
      </c>
    </row>
    <row r="1503" spans="1:11" x14ac:dyDescent="0.25">
      <c r="A1503" t="s">
        <v>396</v>
      </c>
      <c r="B1503" t="s">
        <v>2731</v>
      </c>
      <c r="C1503" t="s">
        <v>16</v>
      </c>
      <c r="D1503" t="s">
        <v>4465</v>
      </c>
      <c r="E1503" t="s">
        <v>4460</v>
      </c>
      <c r="F1503" t="s">
        <v>2740</v>
      </c>
      <c r="G1503" s="2">
        <v>45617</v>
      </c>
      <c r="H1503" t="s">
        <v>397</v>
      </c>
      <c r="I1503">
        <v>416.3</v>
      </c>
      <c r="J1503" s="1">
        <v>100000</v>
      </c>
      <c r="K1503" s="1">
        <v>100000</v>
      </c>
    </row>
    <row r="1504" spans="1:11" x14ac:dyDescent="0.25">
      <c r="A1504" t="s">
        <v>377</v>
      </c>
      <c r="B1504" t="s">
        <v>2706</v>
      </c>
      <c r="C1504" t="s">
        <v>27</v>
      </c>
      <c r="D1504" t="s">
        <v>4461</v>
      </c>
      <c r="E1504" t="s">
        <v>4452</v>
      </c>
      <c r="F1504" t="s">
        <v>2740</v>
      </c>
      <c r="G1504" s="2">
        <v>45618</v>
      </c>
      <c r="H1504" t="s">
        <v>378</v>
      </c>
      <c r="I1504">
        <v>208.2</v>
      </c>
      <c r="J1504" s="1">
        <v>50000</v>
      </c>
      <c r="K1504" s="1">
        <v>50000</v>
      </c>
    </row>
    <row r="1505" spans="1:11" x14ac:dyDescent="0.25">
      <c r="A1505" t="s">
        <v>379</v>
      </c>
      <c r="B1505" t="s">
        <v>93</v>
      </c>
      <c r="C1505" t="s">
        <v>35</v>
      </c>
      <c r="D1505" t="s">
        <v>4465</v>
      </c>
      <c r="E1505" t="s">
        <v>3304</v>
      </c>
      <c r="F1505" t="s">
        <v>2740</v>
      </c>
      <c r="G1505" s="2">
        <v>45618</v>
      </c>
      <c r="H1505" t="s">
        <v>380</v>
      </c>
      <c r="I1505">
        <v>208.1</v>
      </c>
      <c r="J1505" s="1">
        <v>50000</v>
      </c>
      <c r="K1505" s="1">
        <v>50000</v>
      </c>
    </row>
    <row r="1506" spans="1:11" x14ac:dyDescent="0.25">
      <c r="A1506" t="s">
        <v>381</v>
      </c>
      <c r="B1506" t="s">
        <v>136</v>
      </c>
      <c r="C1506" t="s">
        <v>35</v>
      </c>
      <c r="D1506" t="s">
        <v>4462</v>
      </c>
      <c r="E1506" t="s">
        <v>3304</v>
      </c>
      <c r="F1506" t="s">
        <v>2740</v>
      </c>
      <c r="G1506" s="2">
        <v>45618</v>
      </c>
      <c r="H1506" t="s">
        <v>382</v>
      </c>
      <c r="I1506">
        <v>208.1</v>
      </c>
      <c r="J1506" s="1">
        <v>50000</v>
      </c>
      <c r="K1506" s="1">
        <v>50000</v>
      </c>
    </row>
    <row r="1507" spans="1:11" x14ac:dyDescent="0.25">
      <c r="A1507" t="s">
        <v>383</v>
      </c>
      <c r="B1507" t="s">
        <v>66</v>
      </c>
      <c r="C1507" t="s">
        <v>35</v>
      </c>
      <c r="D1507" t="s">
        <v>4466</v>
      </c>
      <c r="E1507" t="s">
        <v>3304</v>
      </c>
      <c r="F1507" t="s">
        <v>2740</v>
      </c>
      <c r="G1507" s="2">
        <v>45618</v>
      </c>
      <c r="H1507" t="s">
        <v>384</v>
      </c>
      <c r="I1507">
        <v>416.3</v>
      </c>
      <c r="J1507" s="1">
        <v>100000</v>
      </c>
      <c r="K1507" s="1">
        <v>100000</v>
      </c>
    </row>
    <row r="1508" spans="1:11" x14ac:dyDescent="0.25">
      <c r="A1508" t="s">
        <v>385</v>
      </c>
      <c r="B1508" t="s">
        <v>2698</v>
      </c>
      <c r="C1508" t="s">
        <v>16</v>
      </c>
      <c r="D1508" t="s">
        <v>4465</v>
      </c>
      <c r="E1508" t="s">
        <v>4442</v>
      </c>
      <c r="F1508" t="s">
        <v>2740</v>
      </c>
      <c r="G1508" s="2">
        <v>45618</v>
      </c>
      <c r="H1508" t="s">
        <v>386</v>
      </c>
      <c r="I1508">
        <v>416.3</v>
      </c>
      <c r="J1508" s="1">
        <v>100000</v>
      </c>
      <c r="K1508" s="1">
        <v>100000</v>
      </c>
    </row>
    <row r="1509" spans="1:11" x14ac:dyDescent="0.25">
      <c r="A1509" t="s">
        <v>367</v>
      </c>
      <c r="B1509" t="s">
        <v>2709</v>
      </c>
      <c r="C1509" t="s">
        <v>42</v>
      </c>
      <c r="D1509" t="s">
        <v>4467</v>
      </c>
      <c r="E1509" t="s">
        <v>4456</v>
      </c>
      <c r="F1509" t="s">
        <v>2740</v>
      </c>
      <c r="G1509" s="2">
        <v>45619</v>
      </c>
      <c r="H1509" t="s">
        <v>368</v>
      </c>
      <c r="I1509">
        <v>333</v>
      </c>
      <c r="J1509" s="1">
        <v>80000</v>
      </c>
      <c r="K1509" s="1">
        <v>80000</v>
      </c>
    </row>
    <row r="1510" spans="1:11" x14ac:dyDescent="0.25">
      <c r="A1510" t="s">
        <v>369</v>
      </c>
      <c r="B1510" t="s">
        <v>2716</v>
      </c>
      <c r="C1510" t="s">
        <v>16</v>
      </c>
      <c r="D1510" t="s">
        <v>4462</v>
      </c>
      <c r="E1510" t="s">
        <v>4458</v>
      </c>
      <c r="F1510" t="s">
        <v>2740</v>
      </c>
      <c r="G1510" s="2">
        <v>45619</v>
      </c>
      <c r="H1510" t="s">
        <v>370</v>
      </c>
      <c r="I1510">
        <v>83.2</v>
      </c>
      <c r="J1510" s="1">
        <v>20000</v>
      </c>
      <c r="K1510" s="1">
        <v>20000</v>
      </c>
    </row>
    <row r="1511" spans="1:11" x14ac:dyDescent="0.25">
      <c r="A1511" t="s">
        <v>371</v>
      </c>
      <c r="B1511" t="s">
        <v>133</v>
      </c>
      <c r="C1511" t="s">
        <v>35</v>
      </c>
      <c r="D1511" t="s">
        <v>4461</v>
      </c>
      <c r="E1511" t="s">
        <v>3304</v>
      </c>
      <c r="F1511" t="s">
        <v>2740</v>
      </c>
      <c r="G1511" s="2">
        <v>45619</v>
      </c>
      <c r="H1511" t="s">
        <v>372</v>
      </c>
      <c r="I1511">
        <v>208.1</v>
      </c>
      <c r="J1511" s="1">
        <v>50000</v>
      </c>
      <c r="K1511" s="1">
        <v>50000</v>
      </c>
    </row>
    <row r="1512" spans="1:11" x14ac:dyDescent="0.25">
      <c r="A1512" t="s">
        <v>373</v>
      </c>
      <c r="B1512" t="s">
        <v>4463</v>
      </c>
      <c r="C1512" t="s">
        <v>35</v>
      </c>
      <c r="D1512" t="s">
        <v>4464</v>
      </c>
      <c r="E1512" t="s">
        <v>3304</v>
      </c>
      <c r="F1512" t="s">
        <v>2740</v>
      </c>
      <c r="G1512" s="2">
        <v>45619</v>
      </c>
      <c r="H1512" t="s">
        <v>374</v>
      </c>
      <c r="I1512">
        <v>416.3</v>
      </c>
      <c r="J1512" s="1">
        <v>100000</v>
      </c>
      <c r="K1512" s="1">
        <v>100000</v>
      </c>
    </row>
    <row r="1513" spans="1:11" x14ac:dyDescent="0.25">
      <c r="A1513" t="s">
        <v>375</v>
      </c>
      <c r="B1513" t="s">
        <v>2710</v>
      </c>
      <c r="C1513" t="s">
        <v>42</v>
      </c>
      <c r="D1513" t="s">
        <v>4467</v>
      </c>
      <c r="E1513" t="s">
        <v>4436</v>
      </c>
      <c r="F1513" t="s">
        <v>2740</v>
      </c>
      <c r="G1513" s="2">
        <v>45619</v>
      </c>
      <c r="H1513" t="s">
        <v>376</v>
      </c>
      <c r="I1513">
        <v>832.6</v>
      </c>
      <c r="J1513" s="1">
        <v>200000</v>
      </c>
      <c r="K1513" s="1">
        <v>200000</v>
      </c>
    </row>
    <row r="1514" spans="1:11" x14ac:dyDescent="0.25">
      <c r="A1514" t="s">
        <v>349</v>
      </c>
      <c r="B1514" t="s">
        <v>2708</v>
      </c>
      <c r="C1514" t="s">
        <v>16</v>
      </c>
      <c r="D1514" t="s">
        <v>4466</v>
      </c>
      <c r="E1514" t="s">
        <v>4457</v>
      </c>
      <c r="F1514" t="s">
        <v>2740</v>
      </c>
      <c r="G1514" s="2">
        <v>45620</v>
      </c>
      <c r="H1514" t="s">
        <v>350</v>
      </c>
      <c r="I1514">
        <v>208.2</v>
      </c>
      <c r="J1514" s="1">
        <v>50000</v>
      </c>
      <c r="K1514" s="1">
        <v>50000</v>
      </c>
    </row>
    <row r="1515" spans="1:11" x14ac:dyDescent="0.25">
      <c r="A1515" t="s">
        <v>351</v>
      </c>
      <c r="B1515" t="s">
        <v>2724</v>
      </c>
      <c r="C1515" t="s">
        <v>16</v>
      </c>
      <c r="D1515" t="s">
        <v>4462</v>
      </c>
      <c r="E1515" t="s">
        <v>4451</v>
      </c>
      <c r="F1515" t="s">
        <v>2740</v>
      </c>
      <c r="G1515" s="2">
        <v>45620</v>
      </c>
      <c r="H1515" t="s">
        <v>352</v>
      </c>
      <c r="I1515">
        <v>83.2</v>
      </c>
      <c r="J1515" s="1">
        <v>20000</v>
      </c>
      <c r="K1515" s="1">
        <v>20000</v>
      </c>
    </row>
    <row r="1516" spans="1:11" x14ac:dyDescent="0.25">
      <c r="A1516" t="s">
        <v>353</v>
      </c>
      <c r="B1516" t="s">
        <v>2719</v>
      </c>
      <c r="C1516" t="s">
        <v>16</v>
      </c>
      <c r="D1516" t="s">
        <v>4466</v>
      </c>
      <c r="E1516" t="s">
        <v>4430</v>
      </c>
      <c r="F1516" t="s">
        <v>2740</v>
      </c>
      <c r="G1516" s="2">
        <v>45620</v>
      </c>
      <c r="H1516" t="s">
        <v>354</v>
      </c>
      <c r="I1516">
        <v>208.1</v>
      </c>
      <c r="J1516" s="1">
        <v>50000</v>
      </c>
      <c r="K1516" s="1">
        <v>50000</v>
      </c>
    </row>
    <row r="1517" spans="1:11" x14ac:dyDescent="0.25">
      <c r="A1517" t="s">
        <v>355</v>
      </c>
      <c r="B1517" t="s">
        <v>2707</v>
      </c>
      <c r="C1517" t="s">
        <v>16</v>
      </c>
      <c r="D1517" t="s">
        <v>4462</v>
      </c>
      <c r="E1517" t="s">
        <v>4433</v>
      </c>
      <c r="F1517" t="s">
        <v>2740</v>
      </c>
      <c r="G1517" s="2">
        <v>45620</v>
      </c>
      <c r="H1517" t="s">
        <v>356</v>
      </c>
      <c r="I1517">
        <v>191.5</v>
      </c>
      <c r="J1517" s="1">
        <v>46000</v>
      </c>
      <c r="K1517" s="1">
        <v>46000</v>
      </c>
    </row>
    <row r="1518" spans="1:11" x14ac:dyDescent="0.25">
      <c r="A1518" t="s">
        <v>358</v>
      </c>
      <c r="B1518" t="s">
        <v>2735</v>
      </c>
      <c r="C1518" t="s">
        <v>16</v>
      </c>
      <c r="D1518" t="s">
        <v>4462</v>
      </c>
      <c r="E1518" t="s">
        <v>4426</v>
      </c>
      <c r="F1518" t="s">
        <v>2740</v>
      </c>
      <c r="G1518" s="2">
        <v>45620</v>
      </c>
      <c r="H1518" t="s">
        <v>360</v>
      </c>
      <c r="I1518">
        <v>366.4</v>
      </c>
      <c r="J1518" s="1">
        <v>88000</v>
      </c>
      <c r="K1518" s="1">
        <v>88000</v>
      </c>
    </row>
    <row r="1519" spans="1:11" x14ac:dyDescent="0.25">
      <c r="A1519" t="s">
        <v>358</v>
      </c>
      <c r="B1519" t="s">
        <v>2735</v>
      </c>
      <c r="C1519" t="s">
        <v>16</v>
      </c>
      <c r="D1519" t="s">
        <v>4462</v>
      </c>
      <c r="E1519" t="s">
        <v>4426</v>
      </c>
      <c r="F1519" t="s">
        <v>2740</v>
      </c>
      <c r="G1519" s="2">
        <v>45620</v>
      </c>
      <c r="H1519" t="s">
        <v>361</v>
      </c>
      <c r="I1519">
        <v>208.1</v>
      </c>
      <c r="J1519" s="1">
        <v>50000</v>
      </c>
      <c r="K1519" s="1">
        <v>50000</v>
      </c>
    </row>
    <row r="1520" spans="1:11" x14ac:dyDescent="0.25">
      <c r="A1520" t="s">
        <v>362</v>
      </c>
      <c r="B1520" t="s">
        <v>2735</v>
      </c>
      <c r="C1520" t="s">
        <v>16</v>
      </c>
      <c r="D1520" t="s">
        <v>4462</v>
      </c>
      <c r="E1520" t="s">
        <v>4426</v>
      </c>
      <c r="F1520" t="s">
        <v>2740</v>
      </c>
      <c r="G1520" s="2">
        <v>45620</v>
      </c>
      <c r="H1520" t="s">
        <v>363</v>
      </c>
      <c r="I1520">
        <v>208.2</v>
      </c>
      <c r="J1520" s="1">
        <v>50000</v>
      </c>
      <c r="K1520" s="1">
        <v>50000</v>
      </c>
    </row>
    <row r="1521" spans="1:11" x14ac:dyDescent="0.25">
      <c r="A1521" t="s">
        <v>362</v>
      </c>
      <c r="B1521" t="s">
        <v>2735</v>
      </c>
      <c r="C1521" t="s">
        <v>16</v>
      </c>
      <c r="D1521" t="s">
        <v>4462</v>
      </c>
      <c r="E1521" t="s">
        <v>4426</v>
      </c>
      <c r="F1521" t="s">
        <v>2740</v>
      </c>
      <c r="G1521" s="2">
        <v>45620</v>
      </c>
      <c r="H1521" t="s">
        <v>364</v>
      </c>
      <c r="I1521">
        <v>208.1</v>
      </c>
      <c r="J1521" s="1">
        <v>50000</v>
      </c>
      <c r="K1521" s="1">
        <v>50000</v>
      </c>
    </row>
    <row r="1522" spans="1:11" x14ac:dyDescent="0.25">
      <c r="A1522" t="s">
        <v>365</v>
      </c>
      <c r="B1522" t="s">
        <v>2735</v>
      </c>
      <c r="C1522" t="s">
        <v>16</v>
      </c>
      <c r="D1522" t="s">
        <v>4462</v>
      </c>
      <c r="E1522" t="s">
        <v>4426</v>
      </c>
      <c r="F1522" t="s">
        <v>2740</v>
      </c>
      <c r="G1522" s="2">
        <v>45620</v>
      </c>
      <c r="H1522" t="s">
        <v>366</v>
      </c>
      <c r="I1522">
        <v>208.2</v>
      </c>
      <c r="J1522" s="1">
        <v>50000</v>
      </c>
      <c r="K1522" s="1">
        <v>50000</v>
      </c>
    </row>
    <row r="1523" spans="1:11" x14ac:dyDescent="0.25">
      <c r="A1523" t="s">
        <v>347</v>
      </c>
      <c r="B1523" t="s">
        <v>2705</v>
      </c>
      <c r="C1523" t="s">
        <v>42</v>
      </c>
      <c r="D1523" t="s">
        <v>4467</v>
      </c>
      <c r="E1523" t="s">
        <v>4435</v>
      </c>
      <c r="F1523" t="s">
        <v>2740</v>
      </c>
      <c r="G1523" s="2">
        <v>45621</v>
      </c>
      <c r="H1523" t="s">
        <v>348</v>
      </c>
      <c r="I1523">
        <v>124.9</v>
      </c>
      <c r="J1523" s="1">
        <v>30000</v>
      </c>
      <c r="K1523" s="1">
        <v>30000</v>
      </c>
    </row>
    <row r="1524" spans="1:11" x14ac:dyDescent="0.25">
      <c r="A1524" t="s">
        <v>335</v>
      </c>
      <c r="B1524" t="s">
        <v>2722</v>
      </c>
      <c r="C1524" t="s">
        <v>16</v>
      </c>
      <c r="D1524" t="s">
        <v>4462</v>
      </c>
      <c r="E1524" t="s">
        <v>4446</v>
      </c>
      <c r="F1524" t="s">
        <v>2740</v>
      </c>
      <c r="G1524" s="2">
        <v>45622</v>
      </c>
      <c r="H1524" t="s">
        <v>336</v>
      </c>
      <c r="I1524">
        <v>124.9</v>
      </c>
      <c r="J1524" s="1">
        <v>30000</v>
      </c>
      <c r="K1524" s="1">
        <v>30000</v>
      </c>
    </row>
    <row r="1525" spans="1:11" x14ac:dyDescent="0.25">
      <c r="A1525" t="s">
        <v>337</v>
      </c>
      <c r="B1525" t="s">
        <v>2701</v>
      </c>
      <c r="C1525" t="s">
        <v>16</v>
      </c>
      <c r="D1525" t="s">
        <v>4466</v>
      </c>
      <c r="E1525" t="s">
        <v>4453</v>
      </c>
      <c r="F1525" t="s">
        <v>2740</v>
      </c>
      <c r="G1525" s="2">
        <v>45622</v>
      </c>
      <c r="H1525" t="s">
        <v>338</v>
      </c>
      <c r="I1525">
        <v>83.2</v>
      </c>
      <c r="J1525" s="1">
        <v>20000</v>
      </c>
      <c r="K1525" s="1">
        <v>20000</v>
      </c>
    </row>
    <row r="1526" spans="1:11" x14ac:dyDescent="0.25">
      <c r="A1526" t="s">
        <v>339</v>
      </c>
      <c r="B1526" t="s">
        <v>2713</v>
      </c>
      <c r="C1526" t="s">
        <v>16</v>
      </c>
      <c r="D1526" t="s">
        <v>4465</v>
      </c>
      <c r="E1526" t="s">
        <v>4428</v>
      </c>
      <c r="F1526" t="s">
        <v>2740</v>
      </c>
      <c r="G1526" s="2">
        <v>45622</v>
      </c>
      <c r="H1526" t="s">
        <v>340</v>
      </c>
      <c r="I1526">
        <v>104.1</v>
      </c>
      <c r="J1526" s="1">
        <v>25000</v>
      </c>
      <c r="K1526" s="1">
        <v>25000</v>
      </c>
    </row>
    <row r="1527" spans="1:11" x14ac:dyDescent="0.25">
      <c r="A1527" t="s">
        <v>341</v>
      </c>
      <c r="B1527" t="s">
        <v>2723</v>
      </c>
      <c r="C1527" t="s">
        <v>16</v>
      </c>
      <c r="D1527" t="s">
        <v>4462</v>
      </c>
      <c r="E1527" t="s">
        <v>4443</v>
      </c>
      <c r="F1527" t="s">
        <v>2740</v>
      </c>
      <c r="G1527" s="2">
        <v>45622</v>
      </c>
      <c r="H1527" t="s">
        <v>342</v>
      </c>
      <c r="I1527">
        <v>457.9</v>
      </c>
      <c r="J1527" s="1">
        <v>110000</v>
      </c>
      <c r="K1527" s="1">
        <v>110000</v>
      </c>
    </row>
    <row r="1528" spans="1:11" x14ac:dyDescent="0.25">
      <c r="A1528" t="s">
        <v>343</v>
      </c>
      <c r="B1528" t="s">
        <v>66</v>
      </c>
      <c r="C1528" t="s">
        <v>35</v>
      </c>
      <c r="D1528" t="s">
        <v>4466</v>
      </c>
      <c r="E1528" t="s">
        <v>3304</v>
      </c>
      <c r="F1528" t="s">
        <v>2740</v>
      </c>
      <c r="G1528" s="2">
        <v>45622</v>
      </c>
      <c r="H1528" t="s">
        <v>344</v>
      </c>
      <c r="I1528">
        <v>416.3</v>
      </c>
      <c r="J1528" s="1">
        <v>100000</v>
      </c>
      <c r="K1528" s="1">
        <v>100000</v>
      </c>
    </row>
    <row r="1529" spans="1:11" x14ac:dyDescent="0.25">
      <c r="A1529" t="s">
        <v>345</v>
      </c>
      <c r="B1529" t="s">
        <v>2729</v>
      </c>
      <c r="C1529" t="s">
        <v>16</v>
      </c>
      <c r="D1529" t="s">
        <v>4465</v>
      </c>
      <c r="E1529" t="s">
        <v>4427</v>
      </c>
      <c r="F1529" t="s">
        <v>2740</v>
      </c>
      <c r="G1529" s="2">
        <v>45622</v>
      </c>
      <c r="H1529" t="s">
        <v>346</v>
      </c>
      <c r="I1529">
        <v>124.9</v>
      </c>
      <c r="J1529" s="1">
        <v>30000</v>
      </c>
      <c r="K1529" s="1">
        <v>30000</v>
      </c>
    </row>
    <row r="1530" spans="1:11" x14ac:dyDescent="0.25">
      <c r="A1530" t="s">
        <v>329</v>
      </c>
      <c r="B1530" t="s">
        <v>2701</v>
      </c>
      <c r="C1530" t="s">
        <v>16</v>
      </c>
      <c r="D1530" t="s">
        <v>4466</v>
      </c>
      <c r="E1530" t="s">
        <v>4453</v>
      </c>
      <c r="F1530" t="s">
        <v>2740</v>
      </c>
      <c r="G1530" s="2">
        <v>45623</v>
      </c>
      <c r="H1530" t="s">
        <v>330</v>
      </c>
      <c r="I1530">
        <v>41.7</v>
      </c>
      <c r="J1530" s="1">
        <v>10000</v>
      </c>
      <c r="K1530" s="1">
        <v>10000</v>
      </c>
    </row>
    <row r="1531" spans="1:11" x14ac:dyDescent="0.25">
      <c r="A1531" t="s">
        <v>331</v>
      </c>
      <c r="B1531" t="s">
        <v>2705</v>
      </c>
      <c r="C1531" t="s">
        <v>42</v>
      </c>
      <c r="D1531" t="s">
        <v>4467</v>
      </c>
      <c r="E1531" t="s">
        <v>4435</v>
      </c>
      <c r="F1531" t="s">
        <v>2740</v>
      </c>
      <c r="G1531" s="2">
        <v>45623</v>
      </c>
      <c r="H1531" t="s">
        <v>332</v>
      </c>
      <c r="I1531">
        <v>62.4</v>
      </c>
      <c r="J1531" s="1">
        <v>15000</v>
      </c>
      <c r="K1531" s="1">
        <v>15000</v>
      </c>
    </row>
    <row r="1532" spans="1:11" x14ac:dyDescent="0.25">
      <c r="A1532" t="s">
        <v>333</v>
      </c>
      <c r="B1532" t="s">
        <v>2712</v>
      </c>
      <c r="C1532" t="s">
        <v>16</v>
      </c>
      <c r="D1532" t="s">
        <v>4461</v>
      </c>
      <c r="E1532" t="s">
        <v>4449</v>
      </c>
      <c r="F1532" t="s">
        <v>2740</v>
      </c>
      <c r="G1532" s="2">
        <v>45623</v>
      </c>
      <c r="H1532" t="s">
        <v>334</v>
      </c>
      <c r="I1532">
        <v>333</v>
      </c>
      <c r="J1532" s="1">
        <v>80000</v>
      </c>
      <c r="K1532" s="1">
        <v>80000</v>
      </c>
    </row>
    <row r="1533" spans="1:11" x14ac:dyDescent="0.25">
      <c r="A1533" t="s">
        <v>317</v>
      </c>
      <c r="B1533" t="s">
        <v>2711</v>
      </c>
      <c r="C1533" t="s">
        <v>16</v>
      </c>
      <c r="D1533" t="s">
        <v>4461</v>
      </c>
      <c r="E1533" t="s">
        <v>4447</v>
      </c>
      <c r="F1533" t="s">
        <v>2740</v>
      </c>
      <c r="G1533" s="2">
        <v>45624</v>
      </c>
      <c r="H1533" t="s">
        <v>318</v>
      </c>
      <c r="I1533">
        <v>166.5</v>
      </c>
      <c r="J1533" s="1">
        <v>40000</v>
      </c>
      <c r="K1533" s="1">
        <v>40000</v>
      </c>
    </row>
    <row r="1534" spans="1:11" x14ac:dyDescent="0.25">
      <c r="A1534" t="s">
        <v>319</v>
      </c>
      <c r="B1534" t="s">
        <v>2705</v>
      </c>
      <c r="C1534" t="s">
        <v>42</v>
      </c>
      <c r="D1534" t="s">
        <v>4467</v>
      </c>
      <c r="E1534" t="s">
        <v>4435</v>
      </c>
      <c r="F1534" t="s">
        <v>2740</v>
      </c>
      <c r="G1534" s="2">
        <v>45624</v>
      </c>
      <c r="H1534" t="s">
        <v>320</v>
      </c>
      <c r="I1534">
        <v>208.2</v>
      </c>
      <c r="J1534" s="1">
        <v>50000</v>
      </c>
      <c r="K1534" s="1">
        <v>50000</v>
      </c>
    </row>
    <row r="1535" spans="1:11" x14ac:dyDescent="0.25">
      <c r="A1535" t="s">
        <v>321</v>
      </c>
      <c r="B1535" t="s">
        <v>2707</v>
      </c>
      <c r="C1535" t="s">
        <v>16</v>
      </c>
      <c r="D1535" t="s">
        <v>4462</v>
      </c>
      <c r="E1535" t="s">
        <v>4433</v>
      </c>
      <c r="F1535" t="s">
        <v>2740</v>
      </c>
      <c r="G1535" s="2">
        <v>45624</v>
      </c>
      <c r="H1535" t="s">
        <v>322</v>
      </c>
      <c r="I1535">
        <v>204</v>
      </c>
      <c r="J1535" s="1">
        <v>49000</v>
      </c>
      <c r="K1535" s="1">
        <v>49000</v>
      </c>
    </row>
    <row r="1536" spans="1:11" x14ac:dyDescent="0.25">
      <c r="A1536" t="s">
        <v>323</v>
      </c>
      <c r="B1536" t="s">
        <v>2707</v>
      </c>
      <c r="C1536" t="s">
        <v>16</v>
      </c>
      <c r="D1536" t="s">
        <v>4462</v>
      </c>
      <c r="E1536" t="s">
        <v>4433</v>
      </c>
      <c r="F1536" t="s">
        <v>2740</v>
      </c>
      <c r="G1536" s="2">
        <v>45624</v>
      </c>
      <c r="H1536" t="s">
        <v>324</v>
      </c>
      <c r="I1536">
        <v>832.6</v>
      </c>
      <c r="J1536" s="1">
        <v>200000</v>
      </c>
      <c r="K1536" s="1">
        <v>200000</v>
      </c>
    </row>
    <row r="1537" spans="1:11" x14ac:dyDescent="0.25">
      <c r="A1537" t="s">
        <v>325</v>
      </c>
      <c r="B1537" t="s">
        <v>2727</v>
      </c>
      <c r="C1537" t="s">
        <v>16</v>
      </c>
      <c r="D1537" t="s">
        <v>4465</v>
      </c>
      <c r="E1537" t="s">
        <v>4445</v>
      </c>
      <c r="F1537" t="s">
        <v>2740</v>
      </c>
      <c r="G1537" s="2">
        <v>45624</v>
      </c>
      <c r="H1537" t="s">
        <v>326</v>
      </c>
      <c r="I1537">
        <v>83.2</v>
      </c>
      <c r="J1537" s="1">
        <v>20000</v>
      </c>
      <c r="K1537" s="1">
        <v>20000</v>
      </c>
    </row>
    <row r="1538" spans="1:11" x14ac:dyDescent="0.25">
      <c r="A1538" t="s">
        <v>327</v>
      </c>
      <c r="B1538" t="s">
        <v>4463</v>
      </c>
      <c r="C1538" t="s">
        <v>35</v>
      </c>
      <c r="D1538" t="s">
        <v>4464</v>
      </c>
      <c r="E1538" t="s">
        <v>3304</v>
      </c>
      <c r="F1538" t="s">
        <v>2740</v>
      </c>
      <c r="G1538" s="2">
        <v>45624</v>
      </c>
      <c r="H1538" t="s">
        <v>328</v>
      </c>
      <c r="I1538">
        <v>416.3</v>
      </c>
      <c r="J1538" s="1">
        <v>100000</v>
      </c>
      <c r="K1538" s="1">
        <v>100000</v>
      </c>
    </row>
    <row r="1539" spans="1:11" x14ac:dyDescent="0.25">
      <c r="A1539" t="s">
        <v>310</v>
      </c>
      <c r="B1539" t="s">
        <v>2720</v>
      </c>
      <c r="C1539" t="s">
        <v>16</v>
      </c>
      <c r="D1539" t="s">
        <v>4461</v>
      </c>
      <c r="E1539" t="s">
        <v>4425</v>
      </c>
      <c r="F1539" t="s">
        <v>2740</v>
      </c>
      <c r="G1539" s="2">
        <v>45625</v>
      </c>
      <c r="H1539" t="s">
        <v>311</v>
      </c>
      <c r="I1539">
        <v>1040.7</v>
      </c>
      <c r="J1539" s="1">
        <v>250000</v>
      </c>
      <c r="K1539" s="1">
        <v>250000</v>
      </c>
    </row>
    <row r="1540" spans="1:11" x14ac:dyDescent="0.25">
      <c r="A1540" t="s">
        <v>312</v>
      </c>
      <c r="B1540" t="s">
        <v>2699</v>
      </c>
      <c r="C1540" t="s">
        <v>16</v>
      </c>
      <c r="D1540" t="s">
        <v>4462</v>
      </c>
      <c r="E1540" t="s">
        <v>4440</v>
      </c>
      <c r="F1540" t="s">
        <v>2740</v>
      </c>
      <c r="G1540" s="2">
        <v>45625</v>
      </c>
      <c r="H1540" t="s">
        <v>313</v>
      </c>
      <c r="I1540">
        <v>83.3</v>
      </c>
      <c r="J1540" s="1">
        <v>20000</v>
      </c>
      <c r="K1540" s="1">
        <v>20000</v>
      </c>
    </row>
    <row r="1541" spans="1:11" x14ac:dyDescent="0.25">
      <c r="A1541" t="s">
        <v>315</v>
      </c>
      <c r="B1541" t="s">
        <v>2725</v>
      </c>
      <c r="C1541" t="s">
        <v>16</v>
      </c>
      <c r="D1541" t="s">
        <v>4465</v>
      </c>
      <c r="E1541" t="s">
        <v>4429</v>
      </c>
      <c r="F1541" t="s">
        <v>2740</v>
      </c>
      <c r="G1541" s="2">
        <v>45625</v>
      </c>
      <c r="H1541" t="s">
        <v>316</v>
      </c>
      <c r="I1541">
        <v>208.1</v>
      </c>
      <c r="J1541" s="1">
        <v>50000</v>
      </c>
      <c r="K1541" s="1">
        <v>50000</v>
      </c>
    </row>
    <row r="1542" spans="1:11" x14ac:dyDescent="0.25">
      <c r="A1542" t="s">
        <v>300</v>
      </c>
      <c r="B1542" t="s">
        <v>2709</v>
      </c>
      <c r="C1542" t="s">
        <v>42</v>
      </c>
      <c r="D1542" t="s">
        <v>4467</v>
      </c>
      <c r="E1542" t="s">
        <v>4456</v>
      </c>
      <c r="F1542" t="s">
        <v>2740</v>
      </c>
      <c r="G1542" s="2">
        <v>45626</v>
      </c>
      <c r="H1542" t="s">
        <v>301</v>
      </c>
      <c r="I1542">
        <v>124.9</v>
      </c>
      <c r="J1542" s="1">
        <v>30000</v>
      </c>
      <c r="K1542" s="1">
        <v>30000</v>
      </c>
    </row>
    <row r="1543" spans="1:11" x14ac:dyDescent="0.25">
      <c r="A1543" t="s">
        <v>302</v>
      </c>
      <c r="B1543" t="s">
        <v>2701</v>
      </c>
      <c r="C1543" t="s">
        <v>16</v>
      </c>
      <c r="D1543" t="s">
        <v>4466</v>
      </c>
      <c r="E1543" t="s">
        <v>4453</v>
      </c>
      <c r="F1543" t="s">
        <v>2740</v>
      </c>
      <c r="G1543" s="2">
        <v>45626</v>
      </c>
      <c r="H1543" t="s">
        <v>303</v>
      </c>
      <c r="I1543">
        <v>54.1</v>
      </c>
      <c r="J1543" s="1">
        <v>13000</v>
      </c>
      <c r="K1543" s="1">
        <v>13000</v>
      </c>
    </row>
    <row r="1544" spans="1:11" x14ac:dyDescent="0.25">
      <c r="A1544" t="s">
        <v>304</v>
      </c>
      <c r="B1544" t="s">
        <v>2729</v>
      </c>
      <c r="C1544" t="s">
        <v>16</v>
      </c>
      <c r="D1544" t="s">
        <v>4465</v>
      </c>
      <c r="E1544" t="s">
        <v>4427</v>
      </c>
      <c r="F1544" t="s">
        <v>2740</v>
      </c>
      <c r="G1544" s="2">
        <v>45626</v>
      </c>
      <c r="H1544" t="s">
        <v>305</v>
      </c>
      <c r="I1544">
        <v>145.69999999999999</v>
      </c>
      <c r="J1544" s="1">
        <v>35000</v>
      </c>
      <c r="K1544" s="1">
        <v>35000</v>
      </c>
    </row>
    <row r="1545" spans="1:11" x14ac:dyDescent="0.25">
      <c r="A1545" t="s">
        <v>306</v>
      </c>
      <c r="B1545" t="s">
        <v>66</v>
      </c>
      <c r="C1545" t="s">
        <v>35</v>
      </c>
      <c r="D1545" t="s">
        <v>4466</v>
      </c>
      <c r="E1545" t="s">
        <v>3304</v>
      </c>
      <c r="F1545" t="s">
        <v>2740</v>
      </c>
      <c r="G1545" s="2">
        <v>45626</v>
      </c>
      <c r="H1545" t="s">
        <v>307</v>
      </c>
      <c r="I1545">
        <v>208.1</v>
      </c>
      <c r="J1545" s="1">
        <v>50000</v>
      </c>
      <c r="K1545" s="1">
        <v>50000</v>
      </c>
    </row>
    <row r="1546" spans="1:11" x14ac:dyDescent="0.25">
      <c r="A1546" t="s">
        <v>308</v>
      </c>
      <c r="B1546" t="s">
        <v>4463</v>
      </c>
      <c r="C1546" t="s">
        <v>35</v>
      </c>
      <c r="D1546" t="s">
        <v>4464</v>
      </c>
      <c r="E1546" t="s">
        <v>3304</v>
      </c>
      <c r="F1546" t="s">
        <v>2740</v>
      </c>
      <c r="G1546" s="2">
        <v>45626</v>
      </c>
      <c r="H1546" t="s">
        <v>309</v>
      </c>
      <c r="I1546">
        <v>208.1</v>
      </c>
      <c r="J1546" s="1">
        <v>50000</v>
      </c>
      <c r="K1546" s="1">
        <v>50000</v>
      </c>
    </row>
    <row r="1547" spans="1:11" x14ac:dyDescent="0.25">
      <c r="A1547" t="s">
        <v>293</v>
      </c>
      <c r="B1547" t="s">
        <v>2724</v>
      </c>
      <c r="C1547" t="s">
        <v>16</v>
      </c>
      <c r="D1547" t="s">
        <v>4462</v>
      </c>
      <c r="E1547" t="s">
        <v>4451</v>
      </c>
      <c r="F1547" t="s">
        <v>2740</v>
      </c>
      <c r="G1547" s="2">
        <v>45627</v>
      </c>
      <c r="H1547" t="s">
        <v>294</v>
      </c>
      <c r="I1547">
        <v>208.2</v>
      </c>
      <c r="J1547" s="1">
        <v>50000</v>
      </c>
      <c r="K1547" s="1">
        <v>50000</v>
      </c>
    </row>
    <row r="1548" spans="1:11" x14ac:dyDescent="0.25">
      <c r="A1548" t="s">
        <v>295</v>
      </c>
      <c r="B1548" t="s">
        <v>2731</v>
      </c>
      <c r="C1548" t="s">
        <v>16</v>
      </c>
      <c r="D1548" t="s">
        <v>4465</v>
      </c>
      <c r="E1548" t="s">
        <v>4460</v>
      </c>
      <c r="F1548" t="s">
        <v>2740</v>
      </c>
      <c r="G1548" s="2">
        <v>45627</v>
      </c>
      <c r="H1548" t="s">
        <v>296</v>
      </c>
      <c r="I1548">
        <v>541.20000000000005</v>
      </c>
      <c r="J1548" s="1">
        <v>130000</v>
      </c>
      <c r="K1548" s="1">
        <v>130000</v>
      </c>
    </row>
    <row r="1549" spans="1:11" x14ac:dyDescent="0.25">
      <c r="A1549" t="s">
        <v>298</v>
      </c>
      <c r="B1549" t="s">
        <v>2730</v>
      </c>
      <c r="C1549" t="s">
        <v>42</v>
      </c>
      <c r="D1549" t="s">
        <v>4467</v>
      </c>
      <c r="E1549" t="s">
        <v>4441</v>
      </c>
      <c r="F1549" t="s">
        <v>2740</v>
      </c>
      <c r="G1549" s="2">
        <v>45627</v>
      </c>
      <c r="H1549" t="s">
        <v>299</v>
      </c>
      <c r="I1549">
        <v>166.5</v>
      </c>
      <c r="J1549" s="1">
        <v>40000</v>
      </c>
      <c r="K1549" s="1">
        <v>40000</v>
      </c>
    </row>
    <row r="1550" spans="1:11" x14ac:dyDescent="0.25">
      <c r="A1550" t="s">
        <v>284</v>
      </c>
      <c r="B1550" t="s">
        <v>2698</v>
      </c>
      <c r="C1550" t="s">
        <v>16</v>
      </c>
      <c r="D1550" t="s">
        <v>4465</v>
      </c>
      <c r="E1550" t="s">
        <v>4442</v>
      </c>
      <c r="F1550" t="s">
        <v>2740</v>
      </c>
      <c r="G1550" s="2">
        <v>45628</v>
      </c>
      <c r="H1550" t="s">
        <v>285</v>
      </c>
      <c r="I1550">
        <v>416.3</v>
      </c>
      <c r="J1550" s="1">
        <v>100000</v>
      </c>
      <c r="K1550" s="1">
        <v>100000</v>
      </c>
    </row>
    <row r="1551" spans="1:11" x14ac:dyDescent="0.25">
      <c r="A1551" t="s">
        <v>286</v>
      </c>
      <c r="B1551" t="s">
        <v>2713</v>
      </c>
      <c r="C1551" t="s">
        <v>16</v>
      </c>
      <c r="D1551" t="s">
        <v>4465</v>
      </c>
      <c r="E1551" t="s">
        <v>4428</v>
      </c>
      <c r="F1551" t="s">
        <v>2740</v>
      </c>
      <c r="G1551" s="2">
        <v>45628</v>
      </c>
      <c r="H1551" t="s">
        <v>287</v>
      </c>
      <c r="I1551">
        <v>104</v>
      </c>
      <c r="J1551" s="1">
        <v>25000</v>
      </c>
      <c r="K1551" s="1">
        <v>25000</v>
      </c>
    </row>
    <row r="1552" spans="1:11" x14ac:dyDescent="0.25">
      <c r="A1552" t="s">
        <v>290</v>
      </c>
      <c r="B1552" t="s">
        <v>2706</v>
      </c>
      <c r="C1552" t="s">
        <v>27</v>
      </c>
      <c r="D1552" t="s">
        <v>4461</v>
      </c>
      <c r="E1552" t="s">
        <v>4452</v>
      </c>
      <c r="F1552" t="s">
        <v>2740</v>
      </c>
      <c r="G1552" s="2">
        <v>45628</v>
      </c>
      <c r="H1552" t="s">
        <v>291</v>
      </c>
      <c r="I1552">
        <v>291.39999999999998</v>
      </c>
      <c r="J1552" s="1">
        <v>70000</v>
      </c>
      <c r="K1552" s="1">
        <v>70000</v>
      </c>
    </row>
    <row r="1553" spans="1:11" x14ac:dyDescent="0.25">
      <c r="A1553" t="s">
        <v>275</v>
      </c>
      <c r="B1553" t="s">
        <v>2722</v>
      </c>
      <c r="C1553" t="s">
        <v>16</v>
      </c>
      <c r="D1553" t="s">
        <v>4462</v>
      </c>
      <c r="E1553" t="s">
        <v>4446</v>
      </c>
      <c r="F1553" t="s">
        <v>2740</v>
      </c>
      <c r="G1553" s="2">
        <v>45629</v>
      </c>
      <c r="H1553" t="s">
        <v>276</v>
      </c>
      <c r="I1553">
        <v>208.1</v>
      </c>
      <c r="J1553" s="1">
        <v>50000</v>
      </c>
      <c r="K1553" s="1">
        <v>50000</v>
      </c>
    </row>
    <row r="1554" spans="1:11" x14ac:dyDescent="0.25">
      <c r="A1554" t="s">
        <v>279</v>
      </c>
      <c r="B1554" t="s">
        <v>66</v>
      </c>
      <c r="C1554" t="s">
        <v>35</v>
      </c>
      <c r="D1554" t="s">
        <v>4466</v>
      </c>
      <c r="E1554" t="s">
        <v>3304</v>
      </c>
      <c r="F1554" t="s">
        <v>2740</v>
      </c>
      <c r="G1554" s="2">
        <v>45629</v>
      </c>
      <c r="H1554" t="s">
        <v>280</v>
      </c>
      <c r="I1554">
        <v>208.2</v>
      </c>
      <c r="J1554" s="1">
        <v>50000</v>
      </c>
      <c r="K1554" s="1">
        <v>50000</v>
      </c>
    </row>
    <row r="1555" spans="1:11" x14ac:dyDescent="0.25">
      <c r="A1555" t="s">
        <v>281</v>
      </c>
      <c r="B1555" t="s">
        <v>2705</v>
      </c>
      <c r="C1555" t="s">
        <v>42</v>
      </c>
      <c r="D1555" t="s">
        <v>4467</v>
      </c>
      <c r="E1555" t="s">
        <v>4435</v>
      </c>
      <c r="F1555" t="s">
        <v>2740</v>
      </c>
      <c r="G1555" s="2">
        <v>45629</v>
      </c>
      <c r="H1555" t="s">
        <v>282</v>
      </c>
      <c r="I1555">
        <v>104</v>
      </c>
      <c r="J1555" s="1">
        <v>25000</v>
      </c>
      <c r="K1555" s="1">
        <v>25000</v>
      </c>
    </row>
    <row r="1556" spans="1:11" x14ac:dyDescent="0.25">
      <c r="A1556" t="s">
        <v>263</v>
      </c>
      <c r="B1556" t="s">
        <v>2719</v>
      </c>
      <c r="C1556" t="s">
        <v>16</v>
      </c>
      <c r="D1556" t="s">
        <v>4466</v>
      </c>
      <c r="E1556" t="s">
        <v>4430</v>
      </c>
      <c r="F1556" t="s">
        <v>2740</v>
      </c>
      <c r="G1556" s="2">
        <v>45630</v>
      </c>
      <c r="H1556" t="s">
        <v>264</v>
      </c>
      <c r="I1556">
        <v>104.1</v>
      </c>
      <c r="J1556" s="1">
        <v>25000</v>
      </c>
      <c r="K1556" s="1">
        <v>25000</v>
      </c>
    </row>
    <row r="1557" spans="1:11" x14ac:dyDescent="0.25">
      <c r="A1557" t="s">
        <v>265</v>
      </c>
      <c r="B1557" t="s">
        <v>2702</v>
      </c>
      <c r="C1557" t="s">
        <v>35</v>
      </c>
      <c r="D1557" t="s">
        <v>3305</v>
      </c>
      <c r="E1557" t="s">
        <v>3304</v>
      </c>
      <c r="F1557" t="s">
        <v>2740</v>
      </c>
      <c r="G1557" s="2">
        <v>45630</v>
      </c>
      <c r="H1557" t="s">
        <v>266</v>
      </c>
      <c r="I1557">
        <v>416.3</v>
      </c>
      <c r="J1557" s="1">
        <v>100000</v>
      </c>
      <c r="K1557" s="1">
        <v>100000</v>
      </c>
    </row>
    <row r="1558" spans="1:11" x14ac:dyDescent="0.25">
      <c r="A1558" t="s">
        <v>267</v>
      </c>
      <c r="B1558" t="s">
        <v>4471</v>
      </c>
      <c r="C1558" t="s">
        <v>35</v>
      </c>
      <c r="D1558" t="s">
        <v>4470</v>
      </c>
      <c r="E1558" t="s">
        <v>35</v>
      </c>
      <c r="F1558" t="s">
        <v>2740</v>
      </c>
      <c r="G1558" s="2">
        <v>45630</v>
      </c>
      <c r="H1558" t="s">
        <v>268</v>
      </c>
      <c r="I1558">
        <v>208.1</v>
      </c>
      <c r="J1558" s="1">
        <v>50000</v>
      </c>
      <c r="K1558" s="1">
        <v>50000</v>
      </c>
    </row>
    <row r="1559" spans="1:11" x14ac:dyDescent="0.25">
      <c r="A1559" t="s">
        <v>269</v>
      </c>
      <c r="B1559" t="s">
        <v>4463</v>
      </c>
      <c r="C1559" t="s">
        <v>35</v>
      </c>
      <c r="D1559" t="s">
        <v>4464</v>
      </c>
      <c r="E1559" t="s">
        <v>3304</v>
      </c>
      <c r="F1559" t="s">
        <v>2740</v>
      </c>
      <c r="G1559" s="2">
        <v>45630</v>
      </c>
      <c r="H1559" t="s">
        <v>270</v>
      </c>
      <c r="I1559">
        <v>832.6</v>
      </c>
      <c r="J1559" s="1">
        <v>200000</v>
      </c>
      <c r="K1559" s="1">
        <v>200000</v>
      </c>
    </row>
    <row r="1560" spans="1:11" x14ac:dyDescent="0.25">
      <c r="A1560" t="s">
        <v>271</v>
      </c>
      <c r="B1560" t="s">
        <v>2716</v>
      </c>
      <c r="C1560" t="s">
        <v>16</v>
      </c>
      <c r="D1560" t="s">
        <v>4462</v>
      </c>
      <c r="E1560" t="s">
        <v>4458</v>
      </c>
      <c r="F1560" t="s">
        <v>2740</v>
      </c>
      <c r="G1560" s="2">
        <v>45630</v>
      </c>
      <c r="H1560" t="s">
        <v>272</v>
      </c>
      <c r="I1560">
        <v>124.9</v>
      </c>
      <c r="J1560" s="1">
        <v>30000</v>
      </c>
      <c r="K1560" s="1">
        <v>30000</v>
      </c>
    </row>
    <row r="1561" spans="1:11" x14ac:dyDescent="0.25">
      <c r="A1561" t="s">
        <v>249</v>
      </c>
      <c r="B1561" t="s">
        <v>2705</v>
      </c>
      <c r="C1561" t="s">
        <v>42</v>
      </c>
      <c r="D1561" t="s">
        <v>4467</v>
      </c>
      <c r="E1561" t="s">
        <v>4435</v>
      </c>
      <c r="F1561" t="s">
        <v>2740</v>
      </c>
      <c r="G1561" s="2">
        <v>45631</v>
      </c>
      <c r="H1561" t="s">
        <v>250</v>
      </c>
      <c r="I1561">
        <v>208.2</v>
      </c>
      <c r="J1561" s="1">
        <v>50000</v>
      </c>
      <c r="K1561" s="1">
        <v>50000</v>
      </c>
    </row>
    <row r="1562" spans="1:11" x14ac:dyDescent="0.25">
      <c r="A1562" t="s">
        <v>251</v>
      </c>
      <c r="B1562" t="s">
        <v>2714</v>
      </c>
      <c r="C1562" t="s">
        <v>16</v>
      </c>
      <c r="D1562" t="s">
        <v>4466</v>
      </c>
      <c r="E1562" t="s">
        <v>4434</v>
      </c>
      <c r="F1562" t="s">
        <v>2740</v>
      </c>
      <c r="G1562" s="2">
        <v>45631</v>
      </c>
      <c r="H1562" t="s">
        <v>252</v>
      </c>
      <c r="I1562">
        <v>416.3</v>
      </c>
      <c r="J1562" s="1">
        <v>100000</v>
      </c>
      <c r="K1562" s="1">
        <v>100000</v>
      </c>
    </row>
    <row r="1563" spans="1:11" x14ac:dyDescent="0.25">
      <c r="A1563" t="s">
        <v>259</v>
      </c>
      <c r="B1563" t="s">
        <v>2698</v>
      </c>
      <c r="C1563" t="s">
        <v>16</v>
      </c>
      <c r="D1563" t="s">
        <v>4465</v>
      </c>
      <c r="E1563" t="s">
        <v>4442</v>
      </c>
      <c r="F1563" t="s">
        <v>2740</v>
      </c>
      <c r="G1563" s="2">
        <v>45631</v>
      </c>
      <c r="H1563" t="s">
        <v>260</v>
      </c>
      <c r="I1563">
        <v>41.6</v>
      </c>
      <c r="J1563" s="1">
        <v>10000</v>
      </c>
      <c r="K1563" s="1">
        <v>10000</v>
      </c>
    </row>
    <row r="1564" spans="1:11" x14ac:dyDescent="0.25">
      <c r="A1564" t="s">
        <v>236</v>
      </c>
      <c r="B1564" t="s">
        <v>2700</v>
      </c>
      <c r="C1564" t="s">
        <v>27</v>
      </c>
      <c r="D1564" t="s">
        <v>4466</v>
      </c>
      <c r="E1564" t="s">
        <v>4450</v>
      </c>
      <c r="F1564" t="s">
        <v>2740</v>
      </c>
      <c r="G1564" s="2">
        <v>45632</v>
      </c>
      <c r="H1564" t="s">
        <v>237</v>
      </c>
      <c r="I1564">
        <v>124.9</v>
      </c>
      <c r="J1564" s="1">
        <v>30000</v>
      </c>
      <c r="K1564" s="1">
        <v>30000</v>
      </c>
    </row>
    <row r="1565" spans="1:11" x14ac:dyDescent="0.25">
      <c r="A1565" t="s">
        <v>238</v>
      </c>
      <c r="B1565" t="s">
        <v>2725</v>
      </c>
      <c r="C1565" t="s">
        <v>16</v>
      </c>
      <c r="D1565" t="s">
        <v>4465</v>
      </c>
      <c r="E1565" t="s">
        <v>4429</v>
      </c>
      <c r="F1565" t="s">
        <v>2740</v>
      </c>
      <c r="G1565" s="2">
        <v>45632</v>
      </c>
      <c r="H1565" t="s">
        <v>239</v>
      </c>
      <c r="I1565">
        <v>287.3</v>
      </c>
      <c r="J1565" s="1">
        <v>69000</v>
      </c>
      <c r="K1565" s="1">
        <v>69000</v>
      </c>
    </row>
    <row r="1566" spans="1:11" x14ac:dyDescent="0.25">
      <c r="A1566" t="s">
        <v>241</v>
      </c>
      <c r="B1566" t="s">
        <v>66</v>
      </c>
      <c r="C1566" t="s">
        <v>35</v>
      </c>
      <c r="D1566" t="s">
        <v>4466</v>
      </c>
      <c r="E1566" t="s">
        <v>3304</v>
      </c>
      <c r="F1566" t="s">
        <v>2740</v>
      </c>
      <c r="G1566" s="2">
        <v>45632</v>
      </c>
      <c r="H1566" t="s">
        <v>242</v>
      </c>
      <c r="I1566">
        <v>416.3</v>
      </c>
      <c r="J1566" s="1">
        <v>100000</v>
      </c>
      <c r="K1566" s="1">
        <v>100000</v>
      </c>
    </row>
    <row r="1567" spans="1:11" x14ac:dyDescent="0.25">
      <c r="A1567" t="s">
        <v>228</v>
      </c>
      <c r="B1567" t="s">
        <v>2717</v>
      </c>
      <c r="C1567" t="s">
        <v>16</v>
      </c>
      <c r="D1567" t="s">
        <v>4466</v>
      </c>
      <c r="E1567" t="s">
        <v>4431</v>
      </c>
      <c r="F1567" t="s">
        <v>2740</v>
      </c>
      <c r="G1567" s="2">
        <v>45633</v>
      </c>
      <c r="H1567" t="s">
        <v>229</v>
      </c>
      <c r="I1567">
        <v>254</v>
      </c>
      <c r="J1567" s="1">
        <v>61000</v>
      </c>
      <c r="K1567" s="1">
        <v>61000</v>
      </c>
    </row>
    <row r="1568" spans="1:11" x14ac:dyDescent="0.25">
      <c r="A1568" t="s">
        <v>230</v>
      </c>
      <c r="B1568" t="s">
        <v>133</v>
      </c>
      <c r="C1568" t="s">
        <v>35</v>
      </c>
      <c r="D1568" t="s">
        <v>4461</v>
      </c>
      <c r="E1568" t="s">
        <v>3304</v>
      </c>
      <c r="F1568" t="s">
        <v>2740</v>
      </c>
      <c r="G1568" s="2">
        <v>45633</v>
      </c>
      <c r="H1568" t="s">
        <v>231</v>
      </c>
      <c r="I1568">
        <v>208.2</v>
      </c>
      <c r="J1568" s="1">
        <v>50000</v>
      </c>
      <c r="K1568" s="1">
        <v>50000</v>
      </c>
    </row>
    <row r="1569" spans="1:11" x14ac:dyDescent="0.25">
      <c r="A1569" t="s">
        <v>232</v>
      </c>
      <c r="B1569" t="s">
        <v>93</v>
      </c>
      <c r="C1569" t="s">
        <v>35</v>
      </c>
      <c r="D1569" t="s">
        <v>4465</v>
      </c>
      <c r="E1569" t="s">
        <v>3304</v>
      </c>
      <c r="F1569" t="s">
        <v>2740</v>
      </c>
      <c r="G1569" s="2">
        <v>45633</v>
      </c>
      <c r="H1569" t="s">
        <v>233</v>
      </c>
      <c r="I1569">
        <v>208.2</v>
      </c>
      <c r="J1569" s="1">
        <v>50000</v>
      </c>
      <c r="K1569" s="1">
        <v>50000</v>
      </c>
    </row>
    <row r="1570" spans="1:11" x14ac:dyDescent="0.25">
      <c r="A1570" t="s">
        <v>234</v>
      </c>
      <c r="B1570" t="s">
        <v>136</v>
      </c>
      <c r="C1570" t="s">
        <v>35</v>
      </c>
      <c r="D1570" t="s">
        <v>4462</v>
      </c>
      <c r="E1570" t="s">
        <v>3304</v>
      </c>
      <c r="F1570" t="s">
        <v>2740</v>
      </c>
      <c r="G1570" s="2">
        <v>45633</v>
      </c>
      <c r="H1570" t="s">
        <v>235</v>
      </c>
      <c r="I1570">
        <v>208.2</v>
      </c>
      <c r="J1570" s="1">
        <v>50000</v>
      </c>
      <c r="K1570" s="1">
        <v>50000</v>
      </c>
    </row>
    <row r="1571" spans="1:11" x14ac:dyDescent="0.25">
      <c r="A1571" t="s">
        <v>223</v>
      </c>
      <c r="B1571" t="s">
        <v>2699</v>
      </c>
      <c r="C1571" t="s">
        <v>16</v>
      </c>
      <c r="D1571" t="s">
        <v>4462</v>
      </c>
      <c r="E1571" t="s">
        <v>4440</v>
      </c>
      <c r="F1571" t="s">
        <v>2740</v>
      </c>
      <c r="G1571" s="2">
        <v>45634</v>
      </c>
      <c r="H1571" t="s">
        <v>224</v>
      </c>
      <c r="I1571">
        <v>104.1</v>
      </c>
      <c r="J1571" s="1">
        <v>25000</v>
      </c>
      <c r="K1571" s="1">
        <v>25000</v>
      </c>
    </row>
    <row r="1572" spans="1:11" x14ac:dyDescent="0.25">
      <c r="A1572" t="s">
        <v>225</v>
      </c>
      <c r="B1572" t="s">
        <v>2713</v>
      </c>
      <c r="C1572" t="s">
        <v>16</v>
      </c>
      <c r="D1572" t="s">
        <v>4465</v>
      </c>
      <c r="E1572" t="s">
        <v>4428</v>
      </c>
      <c r="F1572" t="s">
        <v>2740</v>
      </c>
      <c r="G1572" s="2">
        <v>45634</v>
      </c>
      <c r="H1572" t="s">
        <v>226</v>
      </c>
      <c r="I1572">
        <v>208.2</v>
      </c>
      <c r="J1572" s="1">
        <v>50000</v>
      </c>
      <c r="K1572" s="1">
        <v>50000</v>
      </c>
    </row>
    <row r="1573" spans="1:11" x14ac:dyDescent="0.25">
      <c r="A1573" t="s">
        <v>220</v>
      </c>
      <c r="B1573" t="s">
        <v>2733</v>
      </c>
      <c r="C1573" t="s">
        <v>16</v>
      </c>
      <c r="D1573" t="s">
        <v>4465</v>
      </c>
      <c r="E1573" t="s">
        <v>4448</v>
      </c>
      <c r="F1573" t="s">
        <v>2740</v>
      </c>
      <c r="G1573" s="2">
        <v>45635</v>
      </c>
      <c r="H1573" t="s">
        <v>222</v>
      </c>
      <c r="I1573">
        <v>208.1</v>
      </c>
      <c r="J1573" s="1">
        <v>50000</v>
      </c>
      <c r="K1573" s="1">
        <v>50000</v>
      </c>
    </row>
    <row r="1574" spans="1:11" x14ac:dyDescent="0.25">
      <c r="A1574" t="s">
        <v>208</v>
      </c>
      <c r="B1574" t="s">
        <v>2719</v>
      </c>
      <c r="C1574" t="s">
        <v>16</v>
      </c>
      <c r="D1574" t="s">
        <v>4466</v>
      </c>
      <c r="E1574" t="s">
        <v>4430</v>
      </c>
      <c r="F1574" t="s">
        <v>2740</v>
      </c>
      <c r="G1574" s="2">
        <v>45636</v>
      </c>
      <c r="H1574" t="s">
        <v>209</v>
      </c>
      <c r="I1574">
        <v>208.2</v>
      </c>
      <c r="J1574" s="1">
        <v>50000</v>
      </c>
      <c r="K1574" s="1">
        <v>50000</v>
      </c>
    </row>
    <row r="1575" spans="1:11" x14ac:dyDescent="0.25">
      <c r="A1575" t="s">
        <v>211</v>
      </c>
      <c r="B1575" t="s">
        <v>4463</v>
      </c>
      <c r="C1575" t="s">
        <v>35</v>
      </c>
      <c r="D1575" t="s">
        <v>4464</v>
      </c>
      <c r="E1575" t="s">
        <v>3304</v>
      </c>
      <c r="F1575" t="s">
        <v>2740</v>
      </c>
      <c r="G1575" s="2">
        <v>45636</v>
      </c>
      <c r="H1575" t="s">
        <v>212</v>
      </c>
      <c r="I1575">
        <v>416.3</v>
      </c>
      <c r="J1575" s="1">
        <v>100000</v>
      </c>
      <c r="K1575" s="1">
        <v>100000</v>
      </c>
    </row>
    <row r="1576" spans="1:11" x14ac:dyDescent="0.25">
      <c r="A1576" t="s">
        <v>213</v>
      </c>
      <c r="B1576" t="s">
        <v>66</v>
      </c>
      <c r="C1576" t="s">
        <v>35</v>
      </c>
      <c r="D1576" t="s">
        <v>4466</v>
      </c>
      <c r="E1576" t="s">
        <v>3304</v>
      </c>
      <c r="F1576" t="s">
        <v>2740</v>
      </c>
      <c r="G1576" s="2">
        <v>45636</v>
      </c>
      <c r="H1576" t="s">
        <v>214</v>
      </c>
      <c r="I1576">
        <v>416.3</v>
      </c>
      <c r="J1576" s="1">
        <v>100000</v>
      </c>
      <c r="K1576" s="1">
        <v>100000</v>
      </c>
    </row>
    <row r="1577" spans="1:11" x14ac:dyDescent="0.25">
      <c r="A1577" t="s">
        <v>216</v>
      </c>
      <c r="B1577" t="s">
        <v>2732</v>
      </c>
      <c r="C1577" t="s">
        <v>16</v>
      </c>
      <c r="D1577" t="s">
        <v>4461</v>
      </c>
      <c r="E1577" t="s">
        <v>4444</v>
      </c>
      <c r="F1577" t="s">
        <v>2740</v>
      </c>
      <c r="G1577" s="2">
        <v>45636</v>
      </c>
      <c r="H1577" t="s">
        <v>218</v>
      </c>
      <c r="I1577">
        <v>166.5</v>
      </c>
      <c r="J1577" s="1">
        <v>40000</v>
      </c>
      <c r="K1577" s="1">
        <v>40000</v>
      </c>
    </row>
    <row r="1578" spans="1:11" x14ac:dyDescent="0.25">
      <c r="A1578" t="s">
        <v>201</v>
      </c>
      <c r="B1578" t="s">
        <v>2731</v>
      </c>
      <c r="C1578" t="s">
        <v>16</v>
      </c>
      <c r="D1578" t="s">
        <v>4465</v>
      </c>
      <c r="E1578" t="s">
        <v>4460</v>
      </c>
      <c r="F1578" t="s">
        <v>2740</v>
      </c>
      <c r="G1578" s="2">
        <v>45637</v>
      </c>
      <c r="H1578" t="s">
        <v>203</v>
      </c>
      <c r="I1578">
        <v>624.5</v>
      </c>
      <c r="J1578" s="1">
        <v>150000</v>
      </c>
      <c r="K1578" s="1">
        <v>150000</v>
      </c>
    </row>
    <row r="1579" spans="1:11" x14ac:dyDescent="0.25">
      <c r="A1579" t="s">
        <v>204</v>
      </c>
      <c r="B1579" t="s">
        <v>2705</v>
      </c>
      <c r="C1579" t="s">
        <v>42</v>
      </c>
      <c r="D1579" t="s">
        <v>4467</v>
      </c>
      <c r="E1579" t="s">
        <v>4435</v>
      </c>
      <c r="F1579" t="s">
        <v>2740</v>
      </c>
      <c r="G1579" s="2">
        <v>45637</v>
      </c>
      <c r="H1579" t="s">
        <v>205</v>
      </c>
      <c r="I1579">
        <v>208.1</v>
      </c>
      <c r="J1579" s="1">
        <v>50000</v>
      </c>
      <c r="K1579" s="1">
        <v>50000</v>
      </c>
    </row>
    <row r="1580" spans="1:11" x14ac:dyDescent="0.25">
      <c r="A1580" t="s">
        <v>206</v>
      </c>
      <c r="B1580" t="s">
        <v>2706</v>
      </c>
      <c r="C1580" t="s">
        <v>27</v>
      </c>
      <c r="D1580" t="s">
        <v>4461</v>
      </c>
      <c r="E1580" t="s">
        <v>4452</v>
      </c>
      <c r="F1580" t="s">
        <v>2740</v>
      </c>
      <c r="G1580" s="2">
        <v>45637</v>
      </c>
      <c r="H1580" t="s">
        <v>207</v>
      </c>
      <c r="I1580">
        <v>416.3</v>
      </c>
      <c r="J1580" s="1">
        <v>100000</v>
      </c>
      <c r="K1580" s="1">
        <v>100000</v>
      </c>
    </row>
    <row r="1581" spans="1:11" x14ac:dyDescent="0.25">
      <c r="A1581" t="s">
        <v>196</v>
      </c>
      <c r="B1581" t="s">
        <v>2710</v>
      </c>
      <c r="C1581" t="s">
        <v>42</v>
      </c>
      <c r="D1581" t="s">
        <v>4467</v>
      </c>
      <c r="E1581" t="s">
        <v>4436</v>
      </c>
      <c r="F1581" t="s">
        <v>2740</v>
      </c>
      <c r="G1581" s="2">
        <v>45638</v>
      </c>
      <c r="H1581" t="s">
        <v>197</v>
      </c>
      <c r="I1581">
        <v>624.5</v>
      </c>
      <c r="J1581" s="1">
        <v>150000</v>
      </c>
      <c r="K1581" s="1">
        <v>150000</v>
      </c>
    </row>
    <row r="1582" spans="1:11" x14ac:dyDescent="0.25">
      <c r="A1582" t="s">
        <v>198</v>
      </c>
      <c r="B1582" t="s">
        <v>2730</v>
      </c>
      <c r="C1582" t="s">
        <v>42</v>
      </c>
      <c r="D1582" t="s">
        <v>4467</v>
      </c>
      <c r="E1582" t="s">
        <v>4441</v>
      </c>
      <c r="F1582" t="s">
        <v>2740</v>
      </c>
      <c r="G1582" s="2">
        <v>45638</v>
      </c>
      <c r="H1582" t="s">
        <v>200</v>
      </c>
      <c r="I1582">
        <v>333.1</v>
      </c>
      <c r="J1582" s="1">
        <v>80000</v>
      </c>
      <c r="K1582" s="1">
        <v>80000</v>
      </c>
    </row>
    <row r="1583" spans="1:11" x14ac:dyDescent="0.25">
      <c r="A1583" t="s">
        <v>188</v>
      </c>
      <c r="B1583" t="s">
        <v>2699</v>
      </c>
      <c r="C1583" t="s">
        <v>16</v>
      </c>
      <c r="D1583" t="s">
        <v>4462</v>
      </c>
      <c r="E1583" t="s">
        <v>4440</v>
      </c>
      <c r="F1583" t="s">
        <v>2740</v>
      </c>
      <c r="G1583" s="2">
        <v>45639</v>
      </c>
      <c r="H1583" t="s">
        <v>189</v>
      </c>
      <c r="I1583">
        <v>83.2</v>
      </c>
      <c r="J1583" s="1">
        <v>20000</v>
      </c>
      <c r="K1583" s="1">
        <v>20000</v>
      </c>
    </row>
    <row r="1584" spans="1:11" x14ac:dyDescent="0.25">
      <c r="A1584" t="s">
        <v>190</v>
      </c>
      <c r="B1584" t="s">
        <v>2701</v>
      </c>
      <c r="C1584" t="s">
        <v>16</v>
      </c>
      <c r="D1584" t="s">
        <v>4466</v>
      </c>
      <c r="E1584" t="s">
        <v>4453</v>
      </c>
      <c r="F1584" t="s">
        <v>2740</v>
      </c>
      <c r="G1584" s="2">
        <v>45639</v>
      </c>
      <c r="H1584" t="s">
        <v>191</v>
      </c>
      <c r="I1584">
        <v>83.3</v>
      </c>
      <c r="J1584" s="1">
        <v>20000</v>
      </c>
      <c r="K1584" s="1">
        <v>20000</v>
      </c>
    </row>
    <row r="1585" spans="1:11" x14ac:dyDescent="0.25">
      <c r="A1585" t="s">
        <v>192</v>
      </c>
      <c r="B1585" t="s">
        <v>4463</v>
      </c>
      <c r="C1585" t="s">
        <v>35</v>
      </c>
      <c r="D1585" t="s">
        <v>4464</v>
      </c>
      <c r="E1585" t="s">
        <v>3304</v>
      </c>
      <c r="F1585" t="s">
        <v>2740</v>
      </c>
      <c r="G1585" s="2">
        <v>45639</v>
      </c>
      <c r="H1585" t="s">
        <v>193</v>
      </c>
      <c r="I1585">
        <v>416.3</v>
      </c>
      <c r="J1585" s="1">
        <v>100000</v>
      </c>
      <c r="K1585" s="1">
        <v>100000</v>
      </c>
    </row>
    <row r="1586" spans="1:11" x14ac:dyDescent="0.25">
      <c r="A1586" t="s">
        <v>194</v>
      </c>
      <c r="B1586" t="s">
        <v>66</v>
      </c>
      <c r="C1586" t="s">
        <v>35</v>
      </c>
      <c r="D1586" t="s">
        <v>4466</v>
      </c>
      <c r="E1586" t="s">
        <v>3304</v>
      </c>
      <c r="F1586" t="s">
        <v>2740</v>
      </c>
      <c r="G1586" s="2">
        <v>45639</v>
      </c>
      <c r="H1586" t="s">
        <v>195</v>
      </c>
      <c r="I1586">
        <v>416.3</v>
      </c>
      <c r="J1586" s="1">
        <v>100000</v>
      </c>
      <c r="K1586" s="1">
        <v>100000</v>
      </c>
    </row>
    <row r="1587" spans="1:11" x14ac:dyDescent="0.25">
      <c r="A1587" t="s">
        <v>183</v>
      </c>
      <c r="B1587" t="s">
        <v>2728</v>
      </c>
      <c r="C1587" t="s">
        <v>16</v>
      </c>
      <c r="D1587" t="s">
        <v>4465</v>
      </c>
      <c r="E1587" t="s">
        <v>4439</v>
      </c>
      <c r="F1587" t="s">
        <v>2740</v>
      </c>
      <c r="G1587" s="2">
        <v>45640</v>
      </c>
      <c r="H1587" t="s">
        <v>185</v>
      </c>
      <c r="I1587">
        <v>416.3</v>
      </c>
      <c r="J1587" s="1">
        <v>100000</v>
      </c>
      <c r="K1587" s="1">
        <v>100000</v>
      </c>
    </row>
    <row r="1588" spans="1:11" x14ac:dyDescent="0.25">
      <c r="A1588" t="s">
        <v>180</v>
      </c>
      <c r="B1588" t="s">
        <v>2722</v>
      </c>
      <c r="C1588" t="s">
        <v>16</v>
      </c>
      <c r="D1588" t="s">
        <v>4462</v>
      </c>
      <c r="E1588" t="s">
        <v>4446</v>
      </c>
      <c r="F1588" t="s">
        <v>2740</v>
      </c>
      <c r="G1588" s="2">
        <v>45641</v>
      </c>
      <c r="H1588" t="s">
        <v>181</v>
      </c>
      <c r="I1588">
        <v>83.3</v>
      </c>
      <c r="J1588" s="1">
        <v>20000</v>
      </c>
      <c r="K1588" s="1">
        <v>20000</v>
      </c>
    </row>
    <row r="1589" spans="1:11" x14ac:dyDescent="0.25">
      <c r="A1589" t="s">
        <v>174</v>
      </c>
      <c r="B1589" t="s">
        <v>2726</v>
      </c>
      <c r="C1589" t="s">
        <v>16</v>
      </c>
      <c r="D1589" t="s">
        <v>4466</v>
      </c>
      <c r="E1589" t="s">
        <v>4437</v>
      </c>
      <c r="F1589" t="s">
        <v>2740</v>
      </c>
      <c r="G1589" s="2">
        <v>45642</v>
      </c>
      <c r="H1589" t="s">
        <v>176</v>
      </c>
      <c r="I1589">
        <v>83.3</v>
      </c>
      <c r="J1589" s="1">
        <v>20000</v>
      </c>
      <c r="K1589" s="1">
        <v>20000</v>
      </c>
    </row>
    <row r="1590" spans="1:11" x14ac:dyDescent="0.25">
      <c r="A1590" t="s">
        <v>177</v>
      </c>
      <c r="B1590" t="s">
        <v>2727</v>
      </c>
      <c r="C1590" t="s">
        <v>16</v>
      </c>
      <c r="D1590" t="s">
        <v>4465</v>
      </c>
      <c r="E1590" t="s">
        <v>4445</v>
      </c>
      <c r="F1590" t="s">
        <v>2740</v>
      </c>
      <c r="G1590" s="2">
        <v>45642</v>
      </c>
      <c r="H1590" t="s">
        <v>179</v>
      </c>
      <c r="I1590">
        <v>166.5</v>
      </c>
      <c r="J1590" s="1">
        <v>40000</v>
      </c>
      <c r="K1590" s="1">
        <v>40000</v>
      </c>
    </row>
    <row r="1591" spans="1:11" x14ac:dyDescent="0.25">
      <c r="A1591" t="s">
        <v>167</v>
      </c>
      <c r="B1591" t="s">
        <v>2713</v>
      </c>
      <c r="C1591" t="s">
        <v>16</v>
      </c>
      <c r="D1591" t="s">
        <v>4465</v>
      </c>
      <c r="E1591" t="s">
        <v>4428</v>
      </c>
      <c r="F1591" t="s">
        <v>2740</v>
      </c>
      <c r="G1591" s="2">
        <v>45643</v>
      </c>
      <c r="H1591" t="s">
        <v>168</v>
      </c>
      <c r="I1591">
        <v>104.1</v>
      </c>
      <c r="J1591" s="1">
        <v>25000</v>
      </c>
      <c r="K1591" s="1">
        <v>25000</v>
      </c>
    </row>
    <row r="1592" spans="1:11" x14ac:dyDescent="0.25">
      <c r="A1592" t="s">
        <v>169</v>
      </c>
      <c r="B1592" t="s">
        <v>2701</v>
      </c>
      <c r="C1592" t="s">
        <v>16</v>
      </c>
      <c r="D1592" t="s">
        <v>4466</v>
      </c>
      <c r="E1592" t="s">
        <v>4453</v>
      </c>
      <c r="F1592" t="s">
        <v>2740</v>
      </c>
      <c r="G1592" s="2">
        <v>45643</v>
      </c>
      <c r="H1592" t="s">
        <v>170</v>
      </c>
      <c r="I1592">
        <v>41.6</v>
      </c>
      <c r="J1592" s="1">
        <v>10000</v>
      </c>
      <c r="K1592" s="1">
        <v>10000</v>
      </c>
    </row>
    <row r="1593" spans="1:11" x14ac:dyDescent="0.25">
      <c r="A1593" t="s">
        <v>171</v>
      </c>
      <c r="B1593" t="s">
        <v>2705</v>
      </c>
      <c r="C1593" t="s">
        <v>42</v>
      </c>
      <c r="D1593" t="s">
        <v>4467</v>
      </c>
      <c r="E1593" t="s">
        <v>4435</v>
      </c>
      <c r="F1593" t="s">
        <v>2740</v>
      </c>
      <c r="G1593" s="2">
        <v>45643</v>
      </c>
      <c r="H1593" t="s">
        <v>172</v>
      </c>
      <c r="I1593">
        <v>208.2</v>
      </c>
      <c r="J1593" s="1">
        <v>50000</v>
      </c>
      <c r="K1593" s="1">
        <v>50000</v>
      </c>
    </row>
    <row r="1594" spans="1:11" x14ac:dyDescent="0.25">
      <c r="A1594" t="s">
        <v>156</v>
      </c>
      <c r="B1594" t="s">
        <v>2723</v>
      </c>
      <c r="C1594" t="s">
        <v>16</v>
      </c>
      <c r="D1594" t="s">
        <v>4462</v>
      </c>
      <c r="E1594" t="s">
        <v>4443</v>
      </c>
      <c r="F1594" t="s">
        <v>2740</v>
      </c>
      <c r="G1594" s="2">
        <v>45644</v>
      </c>
      <c r="H1594" t="s">
        <v>158</v>
      </c>
      <c r="I1594">
        <v>416.3</v>
      </c>
      <c r="J1594" s="1">
        <v>100000</v>
      </c>
      <c r="K1594" s="1">
        <v>100000</v>
      </c>
    </row>
    <row r="1595" spans="1:11" x14ac:dyDescent="0.25">
      <c r="A1595" t="s">
        <v>159</v>
      </c>
      <c r="B1595" t="s">
        <v>2724</v>
      </c>
      <c r="C1595" t="s">
        <v>16</v>
      </c>
      <c r="D1595" t="s">
        <v>4462</v>
      </c>
      <c r="E1595" t="s">
        <v>4451</v>
      </c>
      <c r="F1595" t="s">
        <v>2740</v>
      </c>
      <c r="G1595" s="2">
        <v>45644</v>
      </c>
      <c r="H1595" t="s">
        <v>161</v>
      </c>
      <c r="I1595">
        <v>208.1</v>
      </c>
      <c r="J1595" s="1">
        <v>50000</v>
      </c>
      <c r="K1595" s="1">
        <v>50000</v>
      </c>
    </row>
    <row r="1596" spans="1:11" x14ac:dyDescent="0.25">
      <c r="A1596" t="s">
        <v>162</v>
      </c>
      <c r="B1596" t="s">
        <v>4463</v>
      </c>
      <c r="C1596" t="s">
        <v>35</v>
      </c>
      <c r="D1596" t="s">
        <v>4464</v>
      </c>
      <c r="E1596" t="s">
        <v>3304</v>
      </c>
      <c r="F1596" t="s">
        <v>2740</v>
      </c>
      <c r="G1596" s="2">
        <v>45644</v>
      </c>
      <c r="H1596" t="s">
        <v>163</v>
      </c>
      <c r="I1596">
        <v>416.3</v>
      </c>
      <c r="J1596" s="1">
        <v>100000</v>
      </c>
      <c r="K1596" s="1">
        <v>100000</v>
      </c>
    </row>
    <row r="1597" spans="1:11" x14ac:dyDescent="0.25">
      <c r="A1597" t="s">
        <v>164</v>
      </c>
      <c r="B1597" t="s">
        <v>2725</v>
      </c>
      <c r="C1597" t="s">
        <v>16</v>
      </c>
      <c r="D1597" t="s">
        <v>4465</v>
      </c>
      <c r="E1597" t="s">
        <v>4429</v>
      </c>
      <c r="F1597" t="s">
        <v>2740</v>
      </c>
      <c r="G1597" s="2">
        <v>45644</v>
      </c>
      <c r="H1597" t="s">
        <v>166</v>
      </c>
      <c r="I1597">
        <v>416.3</v>
      </c>
      <c r="J1597" s="1">
        <v>100000</v>
      </c>
      <c r="K1597" s="1">
        <v>100000</v>
      </c>
    </row>
    <row r="1598" spans="1:11" x14ac:dyDescent="0.25">
      <c r="A1598" t="s">
        <v>151</v>
      </c>
      <c r="B1598" t="s">
        <v>2701</v>
      </c>
      <c r="C1598" t="s">
        <v>16</v>
      </c>
      <c r="D1598" t="s">
        <v>4466</v>
      </c>
      <c r="E1598" t="s">
        <v>4453</v>
      </c>
      <c r="F1598" t="s">
        <v>2740</v>
      </c>
      <c r="G1598" s="2">
        <v>45645</v>
      </c>
      <c r="H1598" t="s">
        <v>152</v>
      </c>
      <c r="I1598">
        <v>83.2</v>
      </c>
      <c r="J1598" s="1">
        <v>20000</v>
      </c>
      <c r="K1598" s="1">
        <v>20000</v>
      </c>
    </row>
    <row r="1599" spans="1:11" x14ac:dyDescent="0.25">
      <c r="A1599" t="s">
        <v>153</v>
      </c>
      <c r="B1599" t="s">
        <v>2722</v>
      </c>
      <c r="C1599" t="s">
        <v>16</v>
      </c>
      <c r="D1599" t="s">
        <v>4462</v>
      </c>
      <c r="E1599" t="s">
        <v>4446</v>
      </c>
      <c r="F1599" t="s">
        <v>2740</v>
      </c>
      <c r="G1599" s="2">
        <v>45645</v>
      </c>
      <c r="H1599" t="s">
        <v>155</v>
      </c>
      <c r="I1599">
        <v>416.3</v>
      </c>
      <c r="J1599" s="1">
        <v>100000</v>
      </c>
      <c r="K1599" s="1">
        <v>100000</v>
      </c>
    </row>
    <row r="1600" spans="1:11" x14ac:dyDescent="0.25">
      <c r="A1600" t="s">
        <v>145</v>
      </c>
      <c r="B1600" t="s">
        <v>2720</v>
      </c>
      <c r="C1600" t="s">
        <v>16</v>
      </c>
      <c r="D1600" t="s">
        <v>4461</v>
      </c>
      <c r="E1600" t="s">
        <v>4425</v>
      </c>
      <c r="F1600" t="s">
        <v>2740</v>
      </c>
      <c r="G1600" s="2">
        <v>45646</v>
      </c>
      <c r="H1600" t="s">
        <v>147</v>
      </c>
      <c r="I1600">
        <v>1040.8</v>
      </c>
      <c r="J1600" s="1">
        <v>250000</v>
      </c>
      <c r="K1600" s="1">
        <v>250000</v>
      </c>
    </row>
    <row r="1601" spans="1:11" x14ac:dyDescent="0.25">
      <c r="A1601" t="s">
        <v>148</v>
      </c>
      <c r="B1601" t="s">
        <v>2721</v>
      </c>
      <c r="C1601" t="s">
        <v>16</v>
      </c>
      <c r="D1601" t="s">
        <v>4466</v>
      </c>
      <c r="E1601" t="s">
        <v>4438</v>
      </c>
      <c r="F1601" t="s">
        <v>2740</v>
      </c>
      <c r="G1601" s="2">
        <v>45646</v>
      </c>
      <c r="H1601" t="s">
        <v>150</v>
      </c>
      <c r="I1601">
        <v>832.6</v>
      </c>
      <c r="J1601" s="1">
        <v>200000</v>
      </c>
      <c r="K1601" s="1">
        <v>200000</v>
      </c>
    </row>
    <row r="1602" spans="1:11" x14ac:dyDescent="0.25">
      <c r="A1602" t="s">
        <v>124</v>
      </c>
      <c r="B1602" t="s">
        <v>2707</v>
      </c>
      <c r="C1602" t="s">
        <v>16</v>
      </c>
      <c r="D1602" t="s">
        <v>4462</v>
      </c>
      <c r="E1602" t="s">
        <v>4433</v>
      </c>
      <c r="F1602" t="s">
        <v>2740</v>
      </c>
      <c r="G1602" s="2">
        <v>45647</v>
      </c>
      <c r="H1602" t="s">
        <v>125</v>
      </c>
      <c r="I1602">
        <v>412.1</v>
      </c>
      <c r="J1602" s="1">
        <v>99000</v>
      </c>
      <c r="K1602" s="1">
        <v>99000</v>
      </c>
    </row>
    <row r="1603" spans="1:11" x14ac:dyDescent="0.25">
      <c r="A1603" t="s">
        <v>126</v>
      </c>
      <c r="B1603" t="s">
        <v>2707</v>
      </c>
      <c r="C1603" t="s">
        <v>16</v>
      </c>
      <c r="D1603" t="s">
        <v>4462</v>
      </c>
      <c r="E1603" t="s">
        <v>4433</v>
      </c>
      <c r="F1603" t="s">
        <v>2740</v>
      </c>
      <c r="G1603" s="2">
        <v>45647</v>
      </c>
      <c r="H1603" t="s">
        <v>127</v>
      </c>
      <c r="I1603">
        <v>416.3</v>
      </c>
      <c r="J1603" s="1">
        <v>100000</v>
      </c>
      <c r="K1603" s="1">
        <v>100000</v>
      </c>
    </row>
    <row r="1604" spans="1:11" x14ac:dyDescent="0.25">
      <c r="A1604" t="s">
        <v>128</v>
      </c>
      <c r="B1604" t="s">
        <v>2718</v>
      </c>
      <c r="C1604" t="s">
        <v>16</v>
      </c>
      <c r="D1604" t="s">
        <v>4466</v>
      </c>
      <c r="E1604" t="s">
        <v>4438</v>
      </c>
      <c r="F1604" t="s">
        <v>2740</v>
      </c>
      <c r="G1604" s="2">
        <v>45647</v>
      </c>
      <c r="H1604" t="s">
        <v>130</v>
      </c>
      <c r="I1604">
        <v>208.1</v>
      </c>
      <c r="J1604" s="1">
        <v>50000</v>
      </c>
      <c r="K1604" s="1">
        <v>50000</v>
      </c>
    </row>
    <row r="1605" spans="1:11" x14ac:dyDescent="0.25">
      <c r="A1605" t="s">
        <v>132</v>
      </c>
      <c r="B1605" t="s">
        <v>133</v>
      </c>
      <c r="C1605" t="s">
        <v>35</v>
      </c>
      <c r="D1605" t="s">
        <v>4461</v>
      </c>
      <c r="E1605" t="s">
        <v>3304</v>
      </c>
      <c r="F1605" t="s">
        <v>2740</v>
      </c>
      <c r="G1605" s="2">
        <v>45647</v>
      </c>
      <c r="H1605" t="s">
        <v>134</v>
      </c>
      <c r="I1605">
        <v>208.1</v>
      </c>
      <c r="J1605" s="1">
        <v>50000</v>
      </c>
      <c r="K1605" s="1">
        <v>50000</v>
      </c>
    </row>
    <row r="1606" spans="1:11" x14ac:dyDescent="0.25">
      <c r="A1606" t="s">
        <v>135</v>
      </c>
      <c r="B1606" t="s">
        <v>136</v>
      </c>
      <c r="C1606" t="s">
        <v>35</v>
      </c>
      <c r="D1606" t="s">
        <v>4462</v>
      </c>
      <c r="E1606" t="s">
        <v>3304</v>
      </c>
      <c r="F1606" t="s">
        <v>2740</v>
      </c>
      <c r="G1606" s="2">
        <v>45647</v>
      </c>
      <c r="H1606" t="s">
        <v>137</v>
      </c>
      <c r="I1606">
        <v>208.1</v>
      </c>
      <c r="J1606" s="1">
        <v>50000</v>
      </c>
      <c r="K1606" s="1">
        <v>50000</v>
      </c>
    </row>
    <row r="1607" spans="1:11" x14ac:dyDescent="0.25">
      <c r="A1607" t="s">
        <v>138</v>
      </c>
      <c r="B1607" t="s">
        <v>66</v>
      </c>
      <c r="C1607" t="s">
        <v>35</v>
      </c>
      <c r="D1607" t="s">
        <v>4466</v>
      </c>
      <c r="E1607" t="s">
        <v>3304</v>
      </c>
      <c r="F1607" t="s">
        <v>2740</v>
      </c>
      <c r="G1607" s="2">
        <v>45647</v>
      </c>
      <c r="H1607" t="s">
        <v>139</v>
      </c>
      <c r="I1607">
        <v>416.3</v>
      </c>
      <c r="J1607" s="1">
        <v>100000</v>
      </c>
      <c r="K1607" s="1">
        <v>100000</v>
      </c>
    </row>
    <row r="1608" spans="1:11" x14ac:dyDescent="0.25">
      <c r="A1608" t="s">
        <v>140</v>
      </c>
      <c r="B1608" t="s">
        <v>4463</v>
      </c>
      <c r="C1608" t="s">
        <v>35</v>
      </c>
      <c r="D1608" t="s">
        <v>4464</v>
      </c>
      <c r="E1608" t="s">
        <v>3304</v>
      </c>
      <c r="F1608" t="s">
        <v>2740</v>
      </c>
      <c r="G1608" s="2">
        <v>45647</v>
      </c>
      <c r="H1608" t="s">
        <v>141</v>
      </c>
      <c r="I1608">
        <v>416.3</v>
      </c>
      <c r="J1608" s="1">
        <v>100000</v>
      </c>
      <c r="K1608" s="1">
        <v>100000</v>
      </c>
    </row>
    <row r="1609" spans="1:11" x14ac:dyDescent="0.25">
      <c r="A1609" t="s">
        <v>142</v>
      </c>
      <c r="B1609" t="s">
        <v>2719</v>
      </c>
      <c r="C1609" t="s">
        <v>16</v>
      </c>
      <c r="D1609" t="s">
        <v>4466</v>
      </c>
      <c r="E1609" t="s">
        <v>4430</v>
      </c>
      <c r="F1609" t="s">
        <v>2740</v>
      </c>
      <c r="G1609" s="2">
        <v>45647</v>
      </c>
      <c r="H1609" t="s">
        <v>144</v>
      </c>
      <c r="I1609">
        <v>432.9</v>
      </c>
      <c r="J1609" s="1">
        <v>104000</v>
      </c>
      <c r="K1609" s="1">
        <v>104000</v>
      </c>
    </row>
    <row r="1610" spans="1:11" x14ac:dyDescent="0.25">
      <c r="A1610" t="s">
        <v>102</v>
      </c>
      <c r="B1610" t="s">
        <v>2701</v>
      </c>
      <c r="C1610" t="s">
        <v>16</v>
      </c>
      <c r="D1610" t="s">
        <v>4466</v>
      </c>
      <c r="E1610" t="s">
        <v>4453</v>
      </c>
      <c r="F1610" t="s">
        <v>2740</v>
      </c>
      <c r="G1610" s="2">
        <v>45649</v>
      </c>
      <c r="H1610" t="s">
        <v>103</v>
      </c>
      <c r="I1610">
        <v>62.4</v>
      </c>
      <c r="J1610" s="1">
        <v>15000</v>
      </c>
      <c r="K1610" s="1">
        <v>15000</v>
      </c>
    </row>
    <row r="1611" spans="1:11" x14ac:dyDescent="0.25">
      <c r="A1611" t="s">
        <v>102</v>
      </c>
      <c r="B1611" t="s">
        <v>2701</v>
      </c>
      <c r="C1611" t="s">
        <v>16</v>
      </c>
      <c r="D1611" t="s">
        <v>4466</v>
      </c>
      <c r="E1611" t="s">
        <v>4453</v>
      </c>
      <c r="F1611" t="s">
        <v>2740</v>
      </c>
      <c r="G1611" s="2">
        <v>45649</v>
      </c>
      <c r="H1611" t="s">
        <v>104</v>
      </c>
      <c r="I1611">
        <v>62.5</v>
      </c>
      <c r="J1611" s="1">
        <v>15000</v>
      </c>
      <c r="K1611" s="1">
        <v>15000</v>
      </c>
    </row>
    <row r="1612" spans="1:11" x14ac:dyDescent="0.25">
      <c r="A1612" t="s">
        <v>105</v>
      </c>
      <c r="B1612" t="s">
        <v>2705</v>
      </c>
      <c r="C1612" t="s">
        <v>42</v>
      </c>
      <c r="D1612" t="s">
        <v>4467</v>
      </c>
      <c r="E1612" t="s">
        <v>4435</v>
      </c>
      <c r="F1612" t="s">
        <v>2740</v>
      </c>
      <c r="G1612" s="2">
        <v>45649</v>
      </c>
      <c r="H1612" t="s">
        <v>106</v>
      </c>
      <c r="I1612">
        <v>104.1</v>
      </c>
      <c r="J1612" s="1">
        <v>25000</v>
      </c>
      <c r="K1612" s="1">
        <v>25000</v>
      </c>
    </row>
    <row r="1613" spans="1:11" x14ac:dyDescent="0.25">
      <c r="A1613" t="s">
        <v>107</v>
      </c>
      <c r="B1613" t="s">
        <v>2715</v>
      </c>
      <c r="C1613" t="s">
        <v>16</v>
      </c>
      <c r="D1613" t="s">
        <v>4462</v>
      </c>
      <c r="E1613" t="s">
        <v>4454</v>
      </c>
      <c r="F1613" t="s">
        <v>2740</v>
      </c>
      <c r="G1613" s="2">
        <v>45649</v>
      </c>
      <c r="H1613" t="s">
        <v>109</v>
      </c>
      <c r="I1613">
        <v>1040.7</v>
      </c>
      <c r="J1613" s="1">
        <v>250000</v>
      </c>
      <c r="K1613" s="1">
        <v>250000</v>
      </c>
    </row>
    <row r="1614" spans="1:11" x14ac:dyDescent="0.25">
      <c r="A1614" t="s">
        <v>107</v>
      </c>
      <c r="B1614" t="s">
        <v>2715</v>
      </c>
      <c r="C1614" t="s">
        <v>16</v>
      </c>
      <c r="D1614" t="s">
        <v>4462</v>
      </c>
      <c r="E1614" t="s">
        <v>4454</v>
      </c>
      <c r="F1614" t="s">
        <v>2740</v>
      </c>
      <c r="G1614" s="2">
        <v>45649</v>
      </c>
      <c r="H1614" t="s">
        <v>110</v>
      </c>
      <c r="I1614">
        <v>1040.8</v>
      </c>
      <c r="J1614" s="1">
        <v>250000</v>
      </c>
      <c r="K1614" s="1">
        <v>250000</v>
      </c>
    </row>
    <row r="1615" spans="1:11" x14ac:dyDescent="0.25">
      <c r="A1615" t="s">
        <v>111</v>
      </c>
      <c r="B1615" t="s">
        <v>2715</v>
      </c>
      <c r="C1615" t="s">
        <v>16</v>
      </c>
      <c r="D1615" t="s">
        <v>4462</v>
      </c>
      <c r="E1615" t="s">
        <v>4454</v>
      </c>
      <c r="F1615" t="s">
        <v>2740</v>
      </c>
      <c r="G1615" s="2">
        <v>45649</v>
      </c>
      <c r="H1615" t="s">
        <v>112</v>
      </c>
      <c r="I1615">
        <v>1040.8</v>
      </c>
      <c r="J1615" s="1">
        <v>250000</v>
      </c>
      <c r="K1615" s="1">
        <v>250000</v>
      </c>
    </row>
    <row r="1616" spans="1:11" x14ac:dyDescent="0.25">
      <c r="A1616" t="s">
        <v>115</v>
      </c>
      <c r="B1616" t="s">
        <v>4471</v>
      </c>
      <c r="C1616" t="s">
        <v>35</v>
      </c>
      <c r="D1616" t="s">
        <v>4470</v>
      </c>
      <c r="E1616" t="s">
        <v>35</v>
      </c>
      <c r="F1616" t="s">
        <v>2740</v>
      </c>
      <c r="G1616" s="2">
        <v>45649</v>
      </c>
      <c r="H1616" t="s">
        <v>117</v>
      </c>
      <c r="I1616">
        <v>208.2</v>
      </c>
      <c r="J1616" s="1">
        <v>50000</v>
      </c>
      <c r="K1616" s="1">
        <v>50000</v>
      </c>
    </row>
    <row r="1617" spans="1:11" x14ac:dyDescent="0.25">
      <c r="A1617" t="s">
        <v>118</v>
      </c>
      <c r="B1617" t="s">
        <v>2716</v>
      </c>
      <c r="C1617" t="s">
        <v>16</v>
      </c>
      <c r="D1617" t="s">
        <v>4462</v>
      </c>
      <c r="E1617" t="s">
        <v>4458</v>
      </c>
      <c r="F1617" t="s">
        <v>2740</v>
      </c>
      <c r="G1617" s="2">
        <v>45649</v>
      </c>
      <c r="H1617" t="s">
        <v>120</v>
      </c>
      <c r="I1617">
        <v>83.3</v>
      </c>
      <c r="J1617" s="1">
        <v>20000</v>
      </c>
      <c r="K1617" s="1">
        <v>20000</v>
      </c>
    </row>
    <row r="1618" spans="1:11" x14ac:dyDescent="0.25">
      <c r="A1618" t="s">
        <v>121</v>
      </c>
      <c r="B1618" t="s">
        <v>2717</v>
      </c>
      <c r="C1618" t="s">
        <v>16</v>
      </c>
      <c r="D1618" t="s">
        <v>4466</v>
      </c>
      <c r="E1618" t="s">
        <v>4431</v>
      </c>
      <c r="F1618" t="s">
        <v>2740</v>
      </c>
      <c r="G1618" s="2">
        <v>45649</v>
      </c>
      <c r="H1618" t="s">
        <v>123</v>
      </c>
      <c r="I1618">
        <v>212.3</v>
      </c>
      <c r="J1618" s="1">
        <v>51000</v>
      </c>
      <c r="K1618" s="1">
        <v>51000</v>
      </c>
    </row>
    <row r="1619" spans="1:11" x14ac:dyDescent="0.25">
      <c r="A1619" t="s">
        <v>92</v>
      </c>
      <c r="B1619" t="s">
        <v>93</v>
      </c>
      <c r="C1619" t="s">
        <v>35</v>
      </c>
      <c r="D1619" t="s">
        <v>4465</v>
      </c>
      <c r="E1619" t="s">
        <v>3304</v>
      </c>
      <c r="F1619" t="s">
        <v>2740</v>
      </c>
      <c r="G1619" s="2">
        <v>45650</v>
      </c>
      <c r="H1619" t="s">
        <v>94</v>
      </c>
      <c r="I1619">
        <v>166.5</v>
      </c>
      <c r="J1619" s="1">
        <v>40000</v>
      </c>
      <c r="K1619" s="1">
        <v>40000</v>
      </c>
    </row>
    <row r="1620" spans="1:11" x14ac:dyDescent="0.25">
      <c r="A1620" t="s">
        <v>95</v>
      </c>
      <c r="B1620" t="s">
        <v>66</v>
      </c>
      <c r="C1620" t="s">
        <v>35</v>
      </c>
      <c r="D1620" t="s">
        <v>4466</v>
      </c>
      <c r="E1620" t="s">
        <v>3304</v>
      </c>
      <c r="F1620" t="s">
        <v>2740</v>
      </c>
      <c r="G1620" s="2">
        <v>45650</v>
      </c>
      <c r="H1620" t="s">
        <v>96</v>
      </c>
      <c r="I1620">
        <v>166.5</v>
      </c>
      <c r="J1620" s="1">
        <v>40000</v>
      </c>
      <c r="K1620" s="1">
        <v>40000</v>
      </c>
    </row>
    <row r="1621" spans="1:11" x14ac:dyDescent="0.25">
      <c r="A1621" t="s">
        <v>97</v>
      </c>
      <c r="B1621" t="s">
        <v>4463</v>
      </c>
      <c r="C1621" t="s">
        <v>35</v>
      </c>
      <c r="D1621" t="s">
        <v>4464</v>
      </c>
      <c r="E1621" t="s">
        <v>3304</v>
      </c>
      <c r="F1621" t="s">
        <v>2740</v>
      </c>
      <c r="G1621" s="2">
        <v>45650</v>
      </c>
      <c r="H1621" t="s">
        <v>98</v>
      </c>
      <c r="I1621">
        <v>249.8</v>
      </c>
      <c r="J1621" s="1">
        <v>60000</v>
      </c>
      <c r="K1621" s="1">
        <v>60000</v>
      </c>
    </row>
    <row r="1622" spans="1:11" x14ac:dyDescent="0.25">
      <c r="A1622" t="s">
        <v>99</v>
      </c>
      <c r="B1622" t="s">
        <v>2714</v>
      </c>
      <c r="C1622" t="s">
        <v>16</v>
      </c>
      <c r="D1622" t="s">
        <v>4466</v>
      </c>
      <c r="E1622" t="s">
        <v>4434</v>
      </c>
      <c r="F1622" t="s">
        <v>2740</v>
      </c>
      <c r="G1622" s="2">
        <v>45650</v>
      </c>
      <c r="H1622" t="s">
        <v>101</v>
      </c>
      <c r="I1622">
        <v>416.3</v>
      </c>
      <c r="J1622" s="1">
        <v>100000</v>
      </c>
      <c r="K1622" s="1">
        <v>100000</v>
      </c>
    </row>
    <row r="1623" spans="1:11" x14ac:dyDescent="0.25">
      <c r="A1623" t="s">
        <v>81</v>
      </c>
      <c r="B1623" t="s">
        <v>2712</v>
      </c>
      <c r="C1623" t="s">
        <v>16</v>
      </c>
      <c r="D1623" t="s">
        <v>4461</v>
      </c>
      <c r="E1623" t="s">
        <v>4449</v>
      </c>
      <c r="F1623" t="s">
        <v>2740</v>
      </c>
      <c r="G1623" s="2">
        <v>45651</v>
      </c>
      <c r="H1623" t="s">
        <v>83</v>
      </c>
      <c r="I1623">
        <v>374.6</v>
      </c>
      <c r="J1623" s="1">
        <v>90000</v>
      </c>
      <c r="K1623" s="1">
        <v>90000</v>
      </c>
    </row>
    <row r="1624" spans="1:11" x14ac:dyDescent="0.25">
      <c r="A1624" t="s">
        <v>84</v>
      </c>
      <c r="B1624" t="s">
        <v>2712</v>
      </c>
      <c r="C1624" t="s">
        <v>16</v>
      </c>
      <c r="D1624" t="s">
        <v>4461</v>
      </c>
      <c r="E1624" t="s">
        <v>4449</v>
      </c>
      <c r="F1624" t="s">
        <v>2740</v>
      </c>
      <c r="G1624" s="2">
        <v>45651</v>
      </c>
      <c r="H1624" t="s">
        <v>85</v>
      </c>
      <c r="I1624">
        <v>41.7</v>
      </c>
      <c r="J1624" s="1">
        <v>10000</v>
      </c>
      <c r="K1624" s="1">
        <v>10000</v>
      </c>
    </row>
    <row r="1625" spans="1:11" x14ac:dyDescent="0.25">
      <c r="A1625" t="s">
        <v>86</v>
      </c>
      <c r="B1625" t="s">
        <v>2713</v>
      </c>
      <c r="C1625" t="s">
        <v>16</v>
      </c>
      <c r="D1625" t="s">
        <v>4465</v>
      </c>
      <c r="E1625" t="s">
        <v>4428</v>
      </c>
      <c r="F1625" t="s">
        <v>2740</v>
      </c>
      <c r="G1625" s="2">
        <v>45651</v>
      </c>
      <c r="H1625" t="s">
        <v>89</v>
      </c>
      <c r="I1625">
        <v>208.1</v>
      </c>
      <c r="J1625" s="1">
        <v>50000</v>
      </c>
      <c r="K1625" s="1">
        <v>50000</v>
      </c>
    </row>
    <row r="1626" spans="1:11" x14ac:dyDescent="0.25">
      <c r="A1626" t="s">
        <v>90</v>
      </c>
      <c r="B1626" t="s">
        <v>2700</v>
      </c>
      <c r="C1626" t="s">
        <v>27</v>
      </c>
      <c r="D1626" t="s">
        <v>4466</v>
      </c>
      <c r="E1626" t="s">
        <v>4450</v>
      </c>
      <c r="F1626" t="s">
        <v>2740</v>
      </c>
      <c r="G1626" s="2">
        <v>45651</v>
      </c>
      <c r="H1626" t="s">
        <v>91</v>
      </c>
      <c r="I1626">
        <v>416.3</v>
      </c>
      <c r="J1626" s="1">
        <v>100000</v>
      </c>
      <c r="K1626" s="1">
        <v>100000</v>
      </c>
    </row>
    <row r="1627" spans="1:11" x14ac:dyDescent="0.25">
      <c r="A1627" t="s">
        <v>76</v>
      </c>
      <c r="B1627" t="s">
        <v>2711</v>
      </c>
      <c r="C1627" t="s">
        <v>16</v>
      </c>
      <c r="D1627" t="s">
        <v>4461</v>
      </c>
      <c r="E1627" t="s">
        <v>4447</v>
      </c>
      <c r="F1627" t="s">
        <v>2740</v>
      </c>
      <c r="G1627" s="2">
        <v>45652</v>
      </c>
      <c r="H1627" t="s">
        <v>78</v>
      </c>
      <c r="I1627">
        <v>166.5</v>
      </c>
      <c r="J1627" s="1">
        <v>40000</v>
      </c>
      <c r="K1627" s="1">
        <v>40000</v>
      </c>
    </row>
    <row r="1628" spans="1:11" x14ac:dyDescent="0.25">
      <c r="A1628" t="s">
        <v>79</v>
      </c>
      <c r="B1628" t="s">
        <v>2705</v>
      </c>
      <c r="C1628" t="s">
        <v>42</v>
      </c>
      <c r="D1628" t="s">
        <v>4467</v>
      </c>
      <c r="E1628" t="s">
        <v>4435</v>
      </c>
      <c r="F1628" t="s">
        <v>2740</v>
      </c>
      <c r="G1628" s="2">
        <v>45652</v>
      </c>
      <c r="H1628" t="s">
        <v>80</v>
      </c>
      <c r="I1628">
        <v>104.1</v>
      </c>
      <c r="J1628" s="1">
        <v>25000</v>
      </c>
      <c r="K1628" s="1">
        <v>25000</v>
      </c>
    </row>
    <row r="1629" spans="1:11" x14ac:dyDescent="0.25">
      <c r="A1629" t="s">
        <v>68</v>
      </c>
      <c r="B1629" t="s">
        <v>2709</v>
      </c>
      <c r="C1629" t="s">
        <v>42</v>
      </c>
      <c r="D1629" t="s">
        <v>4467</v>
      </c>
      <c r="E1629" t="s">
        <v>4456</v>
      </c>
      <c r="F1629" t="s">
        <v>2740</v>
      </c>
      <c r="G1629" s="2">
        <v>45653</v>
      </c>
      <c r="H1629" t="s">
        <v>70</v>
      </c>
      <c r="I1629">
        <v>416.3</v>
      </c>
      <c r="J1629" s="1">
        <v>100000</v>
      </c>
      <c r="K1629" s="1">
        <v>100000</v>
      </c>
    </row>
    <row r="1630" spans="1:11" x14ac:dyDescent="0.25">
      <c r="A1630" t="s">
        <v>71</v>
      </c>
      <c r="B1630" t="s">
        <v>2710</v>
      </c>
      <c r="C1630" t="s">
        <v>42</v>
      </c>
      <c r="D1630" t="s">
        <v>4467</v>
      </c>
      <c r="E1630" t="s">
        <v>4436</v>
      </c>
      <c r="F1630" t="s">
        <v>2740</v>
      </c>
      <c r="G1630" s="2">
        <v>45653</v>
      </c>
      <c r="H1630" t="s">
        <v>73</v>
      </c>
      <c r="I1630">
        <v>416.3</v>
      </c>
      <c r="J1630" s="1">
        <v>100000</v>
      </c>
      <c r="K1630" s="1">
        <v>100000</v>
      </c>
    </row>
    <row r="1631" spans="1:11" x14ac:dyDescent="0.25">
      <c r="A1631" t="s">
        <v>74</v>
      </c>
      <c r="B1631" t="s">
        <v>4463</v>
      </c>
      <c r="C1631" t="s">
        <v>35</v>
      </c>
      <c r="D1631" t="s">
        <v>4464</v>
      </c>
      <c r="E1631" t="s">
        <v>3304</v>
      </c>
      <c r="F1631" t="s">
        <v>2740</v>
      </c>
      <c r="G1631" s="2">
        <v>45653</v>
      </c>
      <c r="H1631" t="s">
        <v>75</v>
      </c>
      <c r="I1631">
        <v>416.3</v>
      </c>
      <c r="J1631" s="1">
        <v>100000</v>
      </c>
      <c r="K1631" s="1">
        <v>100000</v>
      </c>
    </row>
    <row r="1632" spans="1:11" x14ac:dyDescent="0.25">
      <c r="A1632" t="s">
        <v>61</v>
      </c>
      <c r="B1632" t="s">
        <v>2708</v>
      </c>
      <c r="C1632" t="s">
        <v>16</v>
      </c>
      <c r="D1632" t="s">
        <v>4466</v>
      </c>
      <c r="E1632" t="s">
        <v>4457</v>
      </c>
      <c r="F1632" t="s">
        <v>2740</v>
      </c>
      <c r="G1632" s="2">
        <v>45654</v>
      </c>
      <c r="H1632" t="s">
        <v>64</v>
      </c>
      <c r="I1632">
        <v>208.1</v>
      </c>
      <c r="J1632" s="1">
        <v>50000</v>
      </c>
      <c r="K1632" s="1">
        <v>50000</v>
      </c>
    </row>
    <row r="1633" spans="1:11" x14ac:dyDescent="0.25">
      <c r="A1633" t="s">
        <v>65</v>
      </c>
      <c r="B1633" t="s">
        <v>66</v>
      </c>
      <c r="C1633" t="s">
        <v>35</v>
      </c>
      <c r="D1633" t="s">
        <v>4466</v>
      </c>
      <c r="E1633" t="s">
        <v>3304</v>
      </c>
      <c r="F1633" t="s">
        <v>2740</v>
      </c>
      <c r="G1633" s="2">
        <v>45654</v>
      </c>
      <c r="H1633" t="s">
        <v>67</v>
      </c>
      <c r="I1633">
        <v>416.3</v>
      </c>
      <c r="J1633" s="1">
        <v>100000</v>
      </c>
      <c r="K1633" s="1">
        <v>100000</v>
      </c>
    </row>
    <row r="1634" spans="1:11" x14ac:dyDescent="0.25">
      <c r="A1634" t="s">
        <v>53</v>
      </c>
      <c r="B1634" t="s">
        <v>2701</v>
      </c>
      <c r="C1634" t="s">
        <v>16</v>
      </c>
      <c r="D1634" t="s">
        <v>4466</v>
      </c>
      <c r="E1634" t="s">
        <v>4453</v>
      </c>
      <c r="F1634" t="s">
        <v>2740</v>
      </c>
      <c r="G1634" s="2">
        <v>45655</v>
      </c>
      <c r="H1634" t="s">
        <v>54</v>
      </c>
      <c r="I1634">
        <v>41.6</v>
      </c>
      <c r="J1634" s="1">
        <v>10000</v>
      </c>
      <c r="K1634" s="1">
        <v>10000</v>
      </c>
    </row>
    <row r="1635" spans="1:11" x14ac:dyDescent="0.25">
      <c r="A1635" t="s">
        <v>53</v>
      </c>
      <c r="B1635" t="s">
        <v>2701</v>
      </c>
      <c r="C1635" t="s">
        <v>16</v>
      </c>
      <c r="D1635" t="s">
        <v>4466</v>
      </c>
      <c r="E1635" t="s">
        <v>4453</v>
      </c>
      <c r="F1635" t="s">
        <v>2740</v>
      </c>
      <c r="G1635" s="2">
        <v>45655</v>
      </c>
      <c r="H1635" t="s">
        <v>55</v>
      </c>
      <c r="I1635">
        <v>41.7</v>
      </c>
      <c r="J1635" s="1">
        <v>10000</v>
      </c>
      <c r="K1635" s="1">
        <v>10000</v>
      </c>
    </row>
    <row r="1636" spans="1:11" x14ac:dyDescent="0.25">
      <c r="A1636" t="s">
        <v>56</v>
      </c>
      <c r="B1636" t="s">
        <v>2707</v>
      </c>
      <c r="C1636" t="s">
        <v>16</v>
      </c>
      <c r="D1636" t="s">
        <v>4462</v>
      </c>
      <c r="E1636" t="s">
        <v>4433</v>
      </c>
      <c r="F1636" t="s">
        <v>2740</v>
      </c>
      <c r="G1636" s="2">
        <v>45655</v>
      </c>
      <c r="H1636" t="s">
        <v>58</v>
      </c>
      <c r="I1636">
        <v>208.2</v>
      </c>
      <c r="J1636" s="1">
        <v>50000</v>
      </c>
      <c r="K1636" s="1">
        <v>50000</v>
      </c>
    </row>
    <row r="1637" spans="1:11" x14ac:dyDescent="0.25">
      <c r="A1637" t="s">
        <v>59</v>
      </c>
      <c r="B1637" t="s">
        <v>2705</v>
      </c>
      <c r="C1637" t="s">
        <v>42</v>
      </c>
      <c r="D1637" t="s">
        <v>4467</v>
      </c>
      <c r="E1637" t="s">
        <v>4435</v>
      </c>
      <c r="F1637" t="s">
        <v>2740</v>
      </c>
      <c r="G1637" s="2">
        <v>45655</v>
      </c>
      <c r="H1637" t="s">
        <v>60</v>
      </c>
      <c r="I1637">
        <v>104</v>
      </c>
      <c r="J1637" s="1">
        <v>25000</v>
      </c>
      <c r="K1637" s="1">
        <v>25000</v>
      </c>
    </row>
    <row r="1638" spans="1:11" x14ac:dyDescent="0.25">
      <c r="A1638" t="s">
        <v>41</v>
      </c>
      <c r="B1638" t="s">
        <v>2705</v>
      </c>
      <c r="C1638" t="s">
        <v>42</v>
      </c>
      <c r="D1638" t="s">
        <v>4467</v>
      </c>
      <c r="E1638" t="s">
        <v>4435</v>
      </c>
      <c r="F1638" t="s">
        <v>2740</v>
      </c>
      <c r="G1638" s="2">
        <v>45656</v>
      </c>
      <c r="H1638" t="s">
        <v>44</v>
      </c>
      <c r="I1638">
        <v>104.1</v>
      </c>
      <c r="J1638" s="1">
        <v>25000</v>
      </c>
      <c r="K1638" s="1">
        <v>25000</v>
      </c>
    </row>
    <row r="1639" spans="1:11" x14ac:dyDescent="0.25">
      <c r="A1639" t="s">
        <v>50</v>
      </c>
      <c r="B1639" t="s">
        <v>2706</v>
      </c>
      <c r="C1639" t="s">
        <v>27</v>
      </c>
      <c r="D1639" t="s">
        <v>4461</v>
      </c>
      <c r="E1639" t="s">
        <v>4452</v>
      </c>
      <c r="F1639" t="s">
        <v>2740</v>
      </c>
      <c r="G1639" s="2">
        <v>45656</v>
      </c>
      <c r="H1639" t="s">
        <v>52</v>
      </c>
      <c r="I1639">
        <v>416.3</v>
      </c>
      <c r="J1639" s="1">
        <v>100000</v>
      </c>
      <c r="K1639" s="1">
        <v>100000</v>
      </c>
    </row>
    <row r="1640" spans="1:11" x14ac:dyDescent="0.25">
      <c r="A1640" t="s">
        <v>15</v>
      </c>
      <c r="B1640" t="s">
        <v>2698</v>
      </c>
      <c r="C1640" t="s">
        <v>16</v>
      </c>
      <c r="D1640" t="s">
        <v>4465</v>
      </c>
      <c r="E1640" t="s">
        <v>4442</v>
      </c>
      <c r="F1640" t="s">
        <v>2740</v>
      </c>
      <c r="G1640" s="2">
        <v>45657</v>
      </c>
      <c r="H1640" t="s">
        <v>21</v>
      </c>
      <c r="I1640">
        <v>416.3</v>
      </c>
      <c r="J1640" s="1">
        <v>100000</v>
      </c>
      <c r="K1640" s="1">
        <v>100000</v>
      </c>
    </row>
    <row r="1641" spans="1:11" x14ac:dyDescent="0.25">
      <c r="A1641" t="s">
        <v>22</v>
      </c>
      <c r="B1641" t="s">
        <v>2699</v>
      </c>
      <c r="C1641" t="s">
        <v>16</v>
      </c>
      <c r="D1641" t="s">
        <v>4462</v>
      </c>
      <c r="E1641" t="s">
        <v>4440</v>
      </c>
      <c r="F1641" t="s">
        <v>2740</v>
      </c>
      <c r="G1641" s="2">
        <v>45657</v>
      </c>
      <c r="H1641" t="s">
        <v>25</v>
      </c>
      <c r="I1641">
        <v>83.3</v>
      </c>
      <c r="J1641" s="1">
        <v>20000</v>
      </c>
      <c r="K1641" s="1">
        <v>20000</v>
      </c>
    </row>
    <row r="1642" spans="1:11" x14ac:dyDescent="0.25">
      <c r="A1642" t="s">
        <v>26</v>
      </c>
      <c r="B1642" t="s">
        <v>2700</v>
      </c>
      <c r="C1642" t="s">
        <v>27</v>
      </c>
      <c r="D1642" t="s">
        <v>4466</v>
      </c>
      <c r="E1642" t="s">
        <v>4450</v>
      </c>
      <c r="F1642" t="s">
        <v>2740</v>
      </c>
      <c r="G1642" s="2">
        <v>45657</v>
      </c>
      <c r="H1642" t="s">
        <v>30</v>
      </c>
      <c r="I1642">
        <v>416.3</v>
      </c>
      <c r="J1642" s="1">
        <v>100000</v>
      </c>
      <c r="K1642" s="1">
        <v>100000</v>
      </c>
    </row>
    <row r="1643" spans="1:11" x14ac:dyDescent="0.25">
      <c r="A1643" t="s">
        <v>31</v>
      </c>
      <c r="B1643" t="s">
        <v>2701</v>
      </c>
      <c r="C1643" t="s">
        <v>16</v>
      </c>
      <c r="D1643" t="s">
        <v>4466</v>
      </c>
      <c r="E1643" t="s">
        <v>4453</v>
      </c>
      <c r="F1643" t="s">
        <v>2740</v>
      </c>
      <c r="G1643" s="2">
        <v>45657</v>
      </c>
      <c r="H1643" t="s">
        <v>33</v>
      </c>
      <c r="I1643">
        <v>145.69999999999999</v>
      </c>
      <c r="J1643" s="1">
        <v>35000</v>
      </c>
      <c r="K1643" s="1">
        <v>35000</v>
      </c>
    </row>
    <row r="1644" spans="1:11" x14ac:dyDescent="0.25">
      <c r="A1644" t="s">
        <v>34</v>
      </c>
      <c r="B1644" t="s">
        <v>2702</v>
      </c>
      <c r="C1644" t="s">
        <v>35</v>
      </c>
      <c r="D1644" t="s">
        <v>3305</v>
      </c>
      <c r="E1644" t="s">
        <v>3304</v>
      </c>
      <c r="F1644" t="s">
        <v>2740</v>
      </c>
      <c r="G1644" s="2">
        <v>45657</v>
      </c>
      <c r="H1644" t="s">
        <v>38</v>
      </c>
      <c r="I1644">
        <v>145.69999999999999</v>
      </c>
      <c r="J1644" s="1">
        <v>35000</v>
      </c>
      <c r="K1644" s="1">
        <v>35000</v>
      </c>
    </row>
    <row r="1645" spans="1:11" x14ac:dyDescent="0.25">
      <c r="A1645" t="s">
        <v>39</v>
      </c>
      <c r="B1645" t="s">
        <v>4463</v>
      </c>
      <c r="C1645" t="s">
        <v>35</v>
      </c>
      <c r="D1645" t="s">
        <v>4464</v>
      </c>
      <c r="E1645" t="s">
        <v>3304</v>
      </c>
      <c r="F1645" t="s">
        <v>2740</v>
      </c>
      <c r="G1645" s="2">
        <v>45657</v>
      </c>
      <c r="H1645" t="s">
        <v>40</v>
      </c>
      <c r="I1645">
        <v>416.3</v>
      </c>
      <c r="J1645" s="1">
        <v>100000</v>
      </c>
      <c r="K1645" s="1">
        <v>100000</v>
      </c>
    </row>
    <row r="1646" spans="1:11" x14ac:dyDescent="0.25">
      <c r="A1646" t="s">
        <v>911</v>
      </c>
      <c r="B1646" t="s">
        <v>2698</v>
      </c>
      <c r="C1646" t="s">
        <v>16</v>
      </c>
      <c r="D1646" t="s">
        <v>4465</v>
      </c>
      <c r="E1646" t="s">
        <v>4442</v>
      </c>
      <c r="F1646" t="s">
        <v>2741</v>
      </c>
      <c r="G1646" s="2">
        <v>45541</v>
      </c>
      <c r="H1646">
        <v>0</v>
      </c>
      <c r="I1646">
        <v>0</v>
      </c>
      <c r="J1646" s="1">
        <v>64912.4</v>
      </c>
      <c r="K1646" s="1">
        <v>64912.4</v>
      </c>
    </row>
    <row r="1647" spans="1:11" x14ac:dyDescent="0.25">
      <c r="A1647" t="s">
        <v>914</v>
      </c>
      <c r="B1647" t="s">
        <v>2701</v>
      </c>
      <c r="C1647" t="s">
        <v>16</v>
      </c>
      <c r="D1647" t="s">
        <v>4466</v>
      </c>
      <c r="E1647" t="s">
        <v>4453</v>
      </c>
      <c r="F1647" t="s">
        <v>2741</v>
      </c>
      <c r="G1647" s="2">
        <v>45541</v>
      </c>
      <c r="H1647">
        <v>0</v>
      </c>
      <c r="I1647">
        <v>0</v>
      </c>
      <c r="J1647" s="1">
        <v>64912.4</v>
      </c>
      <c r="K1647" s="1">
        <v>64912.4</v>
      </c>
    </row>
    <row r="1648" spans="1:11" x14ac:dyDescent="0.25">
      <c r="A1648" t="s">
        <v>915</v>
      </c>
      <c r="B1648" t="s">
        <v>2709</v>
      </c>
      <c r="C1648" t="s">
        <v>42</v>
      </c>
      <c r="D1648" t="s">
        <v>4467</v>
      </c>
      <c r="E1648" t="s">
        <v>4456</v>
      </c>
      <c r="F1648" t="s">
        <v>2741</v>
      </c>
      <c r="G1648" s="2">
        <v>45541</v>
      </c>
      <c r="H1648">
        <v>0</v>
      </c>
      <c r="I1648">
        <v>0</v>
      </c>
      <c r="J1648" s="1">
        <v>64912.4</v>
      </c>
      <c r="K1648" s="1">
        <v>64912.4</v>
      </c>
    </row>
    <row r="1649" spans="1:11" x14ac:dyDescent="0.25">
      <c r="A1649" t="s">
        <v>916</v>
      </c>
      <c r="B1649" t="s">
        <v>2714</v>
      </c>
      <c r="C1649" t="s">
        <v>16</v>
      </c>
      <c r="D1649" t="s">
        <v>4466</v>
      </c>
      <c r="E1649" t="s">
        <v>4434</v>
      </c>
      <c r="F1649" t="s">
        <v>2741</v>
      </c>
      <c r="G1649" s="2">
        <v>45541</v>
      </c>
      <c r="H1649">
        <v>0</v>
      </c>
      <c r="I1649">
        <v>0</v>
      </c>
      <c r="J1649" s="1">
        <v>64912.4</v>
      </c>
      <c r="K1649" s="1">
        <v>64912.4</v>
      </c>
    </row>
    <row r="1650" spans="1:11" x14ac:dyDescent="0.25">
      <c r="A1650" t="s">
        <v>917</v>
      </c>
      <c r="B1650" t="s">
        <v>2731</v>
      </c>
      <c r="C1650" t="s">
        <v>16</v>
      </c>
      <c r="D1650" t="s">
        <v>4465</v>
      </c>
      <c r="E1650" t="s">
        <v>4460</v>
      </c>
      <c r="F1650" t="s">
        <v>2741</v>
      </c>
      <c r="G1650" s="2">
        <v>45541</v>
      </c>
      <c r="H1650">
        <v>0</v>
      </c>
      <c r="I1650">
        <v>0</v>
      </c>
      <c r="J1650" s="1">
        <v>64912.4</v>
      </c>
      <c r="K1650" s="1">
        <v>64912.4</v>
      </c>
    </row>
    <row r="1651" spans="1:11" x14ac:dyDescent="0.25">
      <c r="A1651" t="s">
        <v>918</v>
      </c>
      <c r="B1651" t="s">
        <v>2719</v>
      </c>
      <c r="C1651" t="s">
        <v>16</v>
      </c>
      <c r="D1651" t="s">
        <v>4466</v>
      </c>
      <c r="E1651" t="s">
        <v>4430</v>
      </c>
      <c r="F1651" t="s">
        <v>2741</v>
      </c>
      <c r="G1651" s="2">
        <v>45541</v>
      </c>
      <c r="H1651">
        <v>0</v>
      </c>
      <c r="I1651">
        <v>0</v>
      </c>
      <c r="J1651" s="1">
        <v>64912.4</v>
      </c>
      <c r="K1651" s="1">
        <v>64912.4</v>
      </c>
    </row>
    <row r="1652" spans="1:11" x14ac:dyDescent="0.25">
      <c r="A1652" t="s">
        <v>919</v>
      </c>
      <c r="B1652" t="s">
        <v>2712</v>
      </c>
      <c r="C1652" t="s">
        <v>16</v>
      </c>
      <c r="D1652" t="s">
        <v>4461</v>
      </c>
      <c r="E1652" t="s">
        <v>4449</v>
      </c>
      <c r="F1652" t="s">
        <v>2741</v>
      </c>
      <c r="G1652" s="2">
        <v>45541</v>
      </c>
      <c r="H1652">
        <v>0</v>
      </c>
      <c r="I1652">
        <v>0</v>
      </c>
      <c r="J1652" s="1">
        <v>64912.4</v>
      </c>
      <c r="K1652" s="1">
        <v>64912.4</v>
      </c>
    </row>
    <row r="1653" spans="1:11" x14ac:dyDescent="0.25">
      <c r="A1653" t="s">
        <v>920</v>
      </c>
      <c r="B1653" t="s">
        <v>2730</v>
      </c>
      <c r="C1653" t="s">
        <v>42</v>
      </c>
      <c r="D1653" t="s">
        <v>4467</v>
      </c>
      <c r="E1653" t="s">
        <v>4441</v>
      </c>
      <c r="F1653" t="s">
        <v>2741</v>
      </c>
      <c r="G1653" s="2">
        <v>45541</v>
      </c>
      <c r="H1653">
        <v>0</v>
      </c>
      <c r="I1653">
        <v>0</v>
      </c>
      <c r="J1653" s="1">
        <v>64912.4</v>
      </c>
      <c r="K1653" s="1">
        <v>64912.4</v>
      </c>
    </row>
    <row r="1654" spans="1:11" x14ac:dyDescent="0.25">
      <c r="A1654" t="s">
        <v>921</v>
      </c>
      <c r="B1654" t="s">
        <v>2722</v>
      </c>
      <c r="C1654" t="s">
        <v>16</v>
      </c>
      <c r="D1654" t="s">
        <v>4462</v>
      </c>
      <c r="E1654" t="s">
        <v>4446</v>
      </c>
      <c r="F1654" t="s">
        <v>2741</v>
      </c>
      <c r="G1654" s="2">
        <v>45541</v>
      </c>
      <c r="H1654">
        <v>0</v>
      </c>
      <c r="I1654">
        <v>0</v>
      </c>
      <c r="J1654" s="1">
        <v>64912.4</v>
      </c>
      <c r="K1654" s="1">
        <v>64912.4</v>
      </c>
    </row>
    <row r="1655" spans="1:11" x14ac:dyDescent="0.25">
      <c r="A1655" t="s">
        <v>922</v>
      </c>
      <c r="B1655" t="s">
        <v>2707</v>
      </c>
      <c r="C1655" t="s">
        <v>16</v>
      </c>
      <c r="D1655" t="s">
        <v>4462</v>
      </c>
      <c r="E1655" t="s">
        <v>4433</v>
      </c>
      <c r="F1655" t="s">
        <v>2741</v>
      </c>
      <c r="G1655" s="2">
        <v>45541</v>
      </c>
      <c r="H1655">
        <v>0</v>
      </c>
      <c r="I1655">
        <v>0</v>
      </c>
      <c r="J1655" s="1">
        <v>64912.4</v>
      </c>
      <c r="K1655" s="1">
        <v>64912.4</v>
      </c>
    </row>
    <row r="1656" spans="1:11" x14ac:dyDescent="0.25">
      <c r="A1656" t="s">
        <v>923</v>
      </c>
      <c r="B1656" t="s">
        <v>2717</v>
      </c>
      <c r="C1656" t="s">
        <v>16</v>
      </c>
      <c r="D1656" t="s">
        <v>4466</v>
      </c>
      <c r="E1656" t="s">
        <v>4431</v>
      </c>
      <c r="F1656" t="s">
        <v>2741</v>
      </c>
      <c r="G1656" s="2">
        <v>45541</v>
      </c>
      <c r="H1656">
        <v>0</v>
      </c>
      <c r="I1656">
        <v>0</v>
      </c>
      <c r="J1656" s="1">
        <v>64912.4</v>
      </c>
      <c r="K1656" s="1">
        <v>64912.4</v>
      </c>
    </row>
    <row r="1657" spans="1:11" x14ac:dyDescent="0.25">
      <c r="A1657" t="s">
        <v>924</v>
      </c>
      <c r="B1657" t="s">
        <v>2710</v>
      </c>
      <c r="C1657" t="s">
        <v>42</v>
      </c>
      <c r="D1657" t="s">
        <v>4467</v>
      </c>
      <c r="E1657" t="s">
        <v>4436</v>
      </c>
      <c r="F1657" t="s">
        <v>2741</v>
      </c>
      <c r="G1657" s="2">
        <v>45541</v>
      </c>
      <c r="H1657">
        <v>0</v>
      </c>
      <c r="I1657">
        <v>0</v>
      </c>
      <c r="J1657" s="1">
        <v>64912.4</v>
      </c>
      <c r="K1657" s="1">
        <v>64912.4</v>
      </c>
    </row>
    <row r="1658" spans="1:11" x14ac:dyDescent="0.25">
      <c r="A1658" t="s">
        <v>907</v>
      </c>
      <c r="B1658" t="s">
        <v>2713</v>
      </c>
      <c r="C1658" t="s">
        <v>16</v>
      </c>
      <c r="D1658" t="s">
        <v>4465</v>
      </c>
      <c r="E1658" t="s">
        <v>4428</v>
      </c>
      <c r="F1658" t="s">
        <v>2741</v>
      </c>
      <c r="G1658" s="2">
        <v>45542</v>
      </c>
      <c r="H1658">
        <v>0</v>
      </c>
      <c r="I1658">
        <v>0</v>
      </c>
      <c r="J1658" s="1">
        <v>64912.4</v>
      </c>
      <c r="K1658" s="1">
        <v>64912.4</v>
      </c>
    </row>
    <row r="1659" spans="1:11" x14ac:dyDescent="0.25">
      <c r="A1659" t="s">
        <v>908</v>
      </c>
      <c r="B1659" t="s">
        <v>2720</v>
      </c>
      <c r="C1659" t="s">
        <v>16</v>
      </c>
      <c r="D1659" t="s">
        <v>4461</v>
      </c>
      <c r="E1659" t="s">
        <v>4425</v>
      </c>
      <c r="F1659" t="s">
        <v>2741</v>
      </c>
      <c r="G1659" s="2">
        <v>45542</v>
      </c>
      <c r="H1659">
        <v>0</v>
      </c>
      <c r="I1659">
        <v>0</v>
      </c>
      <c r="J1659" s="1">
        <v>64912.4</v>
      </c>
      <c r="K1659" s="1">
        <v>64912.4</v>
      </c>
    </row>
    <row r="1660" spans="1:11" x14ac:dyDescent="0.25">
      <c r="A1660" t="s">
        <v>909</v>
      </c>
      <c r="B1660" t="s">
        <v>2737</v>
      </c>
      <c r="C1660" t="s">
        <v>16</v>
      </c>
      <c r="D1660" t="s">
        <v>4466</v>
      </c>
      <c r="E1660" t="s">
        <v>4432</v>
      </c>
      <c r="F1660" t="s">
        <v>2741</v>
      </c>
      <c r="G1660" s="2">
        <v>45542</v>
      </c>
      <c r="H1660">
        <v>0</v>
      </c>
      <c r="I1660">
        <v>0</v>
      </c>
      <c r="J1660" s="1">
        <v>64912.4</v>
      </c>
      <c r="K1660" s="1">
        <v>64912.4</v>
      </c>
    </row>
    <row r="1661" spans="1:11" x14ac:dyDescent="0.25">
      <c r="A1661" t="s">
        <v>910</v>
      </c>
      <c r="B1661" t="s">
        <v>2734</v>
      </c>
      <c r="C1661" t="s">
        <v>16</v>
      </c>
      <c r="D1661" t="s">
        <v>4461</v>
      </c>
      <c r="E1661" t="s">
        <v>4455</v>
      </c>
      <c r="F1661" t="s">
        <v>2741</v>
      </c>
      <c r="G1661" s="2">
        <v>45542</v>
      </c>
      <c r="H1661">
        <v>0</v>
      </c>
      <c r="I1661">
        <v>0</v>
      </c>
      <c r="J1661" s="1">
        <v>64912.4</v>
      </c>
      <c r="K1661" s="1">
        <v>64912.4</v>
      </c>
    </row>
    <row r="1662" spans="1:11" x14ac:dyDescent="0.25">
      <c r="A1662" t="s">
        <v>904</v>
      </c>
      <c r="B1662" t="s">
        <v>2700</v>
      </c>
      <c r="C1662" t="s">
        <v>27</v>
      </c>
      <c r="D1662" t="s">
        <v>4466</v>
      </c>
      <c r="E1662" t="s">
        <v>4450</v>
      </c>
      <c r="F1662" t="s">
        <v>2741</v>
      </c>
      <c r="G1662" s="2">
        <v>45543</v>
      </c>
      <c r="H1662">
        <v>0</v>
      </c>
      <c r="I1662">
        <v>0</v>
      </c>
      <c r="J1662" s="1">
        <v>64912.4</v>
      </c>
      <c r="K1662" s="1">
        <v>64912.4</v>
      </c>
    </row>
    <row r="1663" spans="1:11" x14ac:dyDescent="0.25">
      <c r="A1663" t="s">
        <v>905</v>
      </c>
      <c r="B1663" t="s">
        <v>2699</v>
      </c>
      <c r="C1663" t="s">
        <v>16</v>
      </c>
      <c r="D1663" t="s">
        <v>4462</v>
      </c>
      <c r="E1663" t="s">
        <v>4440</v>
      </c>
      <c r="F1663" t="s">
        <v>2741</v>
      </c>
      <c r="G1663" s="2">
        <v>45543</v>
      </c>
      <c r="H1663">
        <v>0</v>
      </c>
      <c r="I1663">
        <v>0</v>
      </c>
      <c r="J1663" s="1">
        <v>64912.4</v>
      </c>
      <c r="K1663" s="1">
        <v>64912.4</v>
      </c>
    </row>
    <row r="1664" spans="1:11" x14ac:dyDescent="0.25">
      <c r="A1664" t="s">
        <v>895</v>
      </c>
      <c r="B1664" t="s">
        <v>2727</v>
      </c>
      <c r="C1664" t="s">
        <v>16</v>
      </c>
      <c r="D1664" t="s">
        <v>4465</v>
      </c>
      <c r="E1664" t="s">
        <v>4445</v>
      </c>
      <c r="F1664" t="s">
        <v>2741</v>
      </c>
      <c r="G1664" s="2">
        <v>45545</v>
      </c>
      <c r="H1664">
        <v>0</v>
      </c>
      <c r="I1664">
        <v>0</v>
      </c>
      <c r="J1664" s="1">
        <v>64912.4</v>
      </c>
      <c r="K1664" s="1">
        <v>64912.4</v>
      </c>
    </row>
    <row r="1665" spans="1:11" x14ac:dyDescent="0.25">
      <c r="A1665" t="s">
        <v>898</v>
      </c>
      <c r="B1665" t="s">
        <v>2723</v>
      </c>
      <c r="C1665" t="s">
        <v>16</v>
      </c>
      <c r="D1665" t="s">
        <v>4462</v>
      </c>
      <c r="E1665" t="s">
        <v>4443</v>
      </c>
      <c r="F1665" t="s">
        <v>2741</v>
      </c>
      <c r="G1665" s="2">
        <v>45545</v>
      </c>
      <c r="H1665">
        <v>0</v>
      </c>
      <c r="I1665">
        <v>0</v>
      </c>
      <c r="J1665" s="1">
        <v>64912.4</v>
      </c>
      <c r="K1665" s="1">
        <v>64912.4</v>
      </c>
    </row>
    <row r="1666" spans="1:11" x14ac:dyDescent="0.25">
      <c r="A1666" t="s">
        <v>883</v>
      </c>
      <c r="B1666" t="s">
        <v>2724</v>
      </c>
      <c r="C1666" t="s">
        <v>16</v>
      </c>
      <c r="D1666" t="s">
        <v>4462</v>
      </c>
      <c r="E1666" t="s">
        <v>4451</v>
      </c>
      <c r="F1666" t="s">
        <v>2741</v>
      </c>
      <c r="G1666" s="2">
        <v>45546</v>
      </c>
      <c r="H1666">
        <v>0</v>
      </c>
      <c r="I1666">
        <v>0</v>
      </c>
      <c r="J1666" s="1">
        <v>64912.4</v>
      </c>
      <c r="K1666" s="1">
        <v>64912.4</v>
      </c>
    </row>
    <row r="1667" spans="1:11" x14ac:dyDescent="0.25">
      <c r="A1667" t="s">
        <v>882</v>
      </c>
      <c r="B1667" t="s">
        <v>2705</v>
      </c>
      <c r="C1667" t="s">
        <v>42</v>
      </c>
      <c r="D1667" t="s">
        <v>4467</v>
      </c>
      <c r="E1667" t="s">
        <v>4435</v>
      </c>
      <c r="F1667" t="s">
        <v>2741</v>
      </c>
      <c r="G1667" s="2">
        <v>45547</v>
      </c>
      <c r="H1667">
        <v>0</v>
      </c>
      <c r="I1667">
        <v>0</v>
      </c>
      <c r="J1667" s="1">
        <v>64912.4</v>
      </c>
      <c r="K1667" s="1">
        <v>64912.4</v>
      </c>
    </row>
    <row r="1668" spans="1:11" x14ac:dyDescent="0.25">
      <c r="A1668" t="s">
        <v>862</v>
      </c>
      <c r="B1668" t="s">
        <v>2729</v>
      </c>
      <c r="C1668" t="s">
        <v>16</v>
      </c>
      <c r="D1668" t="s">
        <v>4465</v>
      </c>
      <c r="E1668" t="s">
        <v>4427</v>
      </c>
      <c r="F1668" t="s">
        <v>2741</v>
      </c>
      <c r="G1668" s="2">
        <v>45549</v>
      </c>
      <c r="H1668">
        <v>0</v>
      </c>
      <c r="I1668">
        <v>0</v>
      </c>
      <c r="J1668" s="1">
        <v>64912.4</v>
      </c>
      <c r="K1668" s="1">
        <v>64912.4</v>
      </c>
    </row>
    <row r="1669" spans="1:11" x14ac:dyDescent="0.25">
      <c r="A1669" t="s">
        <v>855</v>
      </c>
      <c r="B1669" t="s">
        <v>2733</v>
      </c>
      <c r="C1669" t="s">
        <v>16</v>
      </c>
      <c r="D1669" t="s">
        <v>4465</v>
      </c>
      <c r="E1669" t="s">
        <v>4448</v>
      </c>
      <c r="F1669" t="s">
        <v>2741</v>
      </c>
      <c r="G1669" s="2">
        <v>45551</v>
      </c>
      <c r="H1669">
        <v>0</v>
      </c>
      <c r="I1669">
        <v>0</v>
      </c>
      <c r="J1669" s="1">
        <v>64912.4</v>
      </c>
      <c r="K1669" s="1">
        <v>64912.4</v>
      </c>
    </row>
    <row r="1670" spans="1:11" x14ac:dyDescent="0.25">
      <c r="A1670" t="s">
        <v>851</v>
      </c>
      <c r="B1670" t="s">
        <v>2718</v>
      </c>
      <c r="C1670" t="s">
        <v>16</v>
      </c>
      <c r="D1670" t="s">
        <v>4466</v>
      </c>
      <c r="E1670" t="s">
        <v>4438</v>
      </c>
      <c r="F1670" t="s">
        <v>2741</v>
      </c>
      <c r="G1670" s="2">
        <v>45552</v>
      </c>
      <c r="H1670">
        <v>0</v>
      </c>
      <c r="I1670">
        <v>0</v>
      </c>
      <c r="J1670" s="1">
        <v>64912.4</v>
      </c>
      <c r="K1670" s="1">
        <v>64912.4</v>
      </c>
    </row>
    <row r="1671" spans="1:11" x14ac:dyDescent="0.25">
      <c r="A1671" t="s">
        <v>840</v>
      </c>
      <c r="B1671" t="s">
        <v>2728</v>
      </c>
      <c r="C1671" t="s">
        <v>16</v>
      </c>
      <c r="D1671" t="s">
        <v>4465</v>
      </c>
      <c r="E1671" t="s">
        <v>4439</v>
      </c>
      <c r="F1671" t="s">
        <v>2741</v>
      </c>
      <c r="G1671" s="2">
        <v>45554</v>
      </c>
      <c r="H1671">
        <v>0</v>
      </c>
      <c r="I1671">
        <v>0</v>
      </c>
      <c r="J1671" s="1">
        <v>64912.4</v>
      </c>
      <c r="K1671" s="1">
        <v>64912.4</v>
      </c>
    </row>
    <row r="1672" spans="1:11" x14ac:dyDescent="0.25">
      <c r="A1672" t="s">
        <v>838</v>
      </c>
      <c r="B1672" t="s">
        <v>2732</v>
      </c>
      <c r="C1672" t="s">
        <v>16</v>
      </c>
      <c r="D1672" t="s">
        <v>4461</v>
      </c>
      <c r="E1672" t="s">
        <v>4444</v>
      </c>
      <c r="F1672" t="s">
        <v>2741</v>
      </c>
      <c r="G1672" s="2">
        <v>45555</v>
      </c>
      <c r="H1672">
        <v>0</v>
      </c>
      <c r="I1672">
        <v>0</v>
      </c>
      <c r="J1672" s="1">
        <v>64912.4</v>
      </c>
      <c r="K1672" s="1">
        <v>64912.4</v>
      </c>
    </row>
    <row r="1673" spans="1:11" x14ac:dyDescent="0.25">
      <c r="A1673" t="s">
        <v>806</v>
      </c>
      <c r="B1673" t="s">
        <v>2711</v>
      </c>
      <c r="C1673" t="s">
        <v>16</v>
      </c>
      <c r="D1673" t="s">
        <v>4461</v>
      </c>
      <c r="E1673" t="s">
        <v>4447</v>
      </c>
      <c r="F1673" t="s">
        <v>2741</v>
      </c>
      <c r="G1673" s="2">
        <v>45558</v>
      </c>
      <c r="H1673">
        <v>0</v>
      </c>
      <c r="I1673">
        <v>0</v>
      </c>
      <c r="J1673" s="1">
        <v>64912.4</v>
      </c>
      <c r="K1673" s="1">
        <v>64912.4</v>
      </c>
    </row>
    <row r="1674" spans="1:11" x14ac:dyDescent="0.25">
      <c r="A1674" t="s">
        <v>798</v>
      </c>
      <c r="B1674" t="s">
        <v>2736</v>
      </c>
      <c r="C1674" t="s">
        <v>16</v>
      </c>
      <c r="D1674" t="s">
        <v>4461</v>
      </c>
      <c r="E1674" t="s">
        <v>4459</v>
      </c>
      <c r="F1674" t="s">
        <v>2741</v>
      </c>
      <c r="G1674" s="2">
        <v>45559</v>
      </c>
      <c r="H1674">
        <v>0</v>
      </c>
      <c r="I1674">
        <v>0</v>
      </c>
      <c r="J1674" s="1">
        <v>64912.4</v>
      </c>
      <c r="K1674" s="1">
        <v>64912.4</v>
      </c>
    </row>
    <row r="1675" spans="1:11" x14ac:dyDescent="0.25">
      <c r="A1675" t="s">
        <v>789</v>
      </c>
      <c r="B1675" t="s">
        <v>2725</v>
      </c>
      <c r="C1675" t="s">
        <v>16</v>
      </c>
      <c r="D1675" t="s">
        <v>4465</v>
      </c>
      <c r="E1675" t="s">
        <v>4429</v>
      </c>
      <c r="F1675" t="s">
        <v>2741</v>
      </c>
      <c r="G1675" s="2">
        <v>45560</v>
      </c>
      <c r="H1675">
        <v>0</v>
      </c>
      <c r="I1675">
        <v>0</v>
      </c>
      <c r="J1675" s="1">
        <v>64912.4</v>
      </c>
      <c r="K1675" s="1">
        <v>64912.4</v>
      </c>
    </row>
    <row r="1676" spans="1:11" x14ac:dyDescent="0.25">
      <c r="A1676" t="s">
        <v>772</v>
      </c>
      <c r="B1676" t="s">
        <v>2705</v>
      </c>
      <c r="C1676" t="s">
        <v>42</v>
      </c>
      <c r="D1676" t="s">
        <v>4467</v>
      </c>
      <c r="E1676" t="s">
        <v>4435</v>
      </c>
      <c r="F1676" t="s">
        <v>2741</v>
      </c>
      <c r="G1676" s="2">
        <v>45562</v>
      </c>
      <c r="H1676">
        <v>0</v>
      </c>
      <c r="I1676">
        <v>0</v>
      </c>
      <c r="J1676" s="1">
        <v>92732</v>
      </c>
      <c r="K1676" s="1">
        <v>92732</v>
      </c>
    </row>
    <row r="1677" spans="1:11" x14ac:dyDescent="0.25">
      <c r="A1677" t="s">
        <v>756</v>
      </c>
      <c r="B1677" t="s">
        <v>2708</v>
      </c>
      <c r="C1677" t="s">
        <v>16</v>
      </c>
      <c r="D1677" t="s">
        <v>4466</v>
      </c>
      <c r="E1677" t="s">
        <v>4457</v>
      </c>
      <c r="F1677" t="s">
        <v>2741</v>
      </c>
      <c r="G1677" s="2">
        <v>45563</v>
      </c>
      <c r="H1677">
        <v>0</v>
      </c>
      <c r="I1677">
        <v>0</v>
      </c>
      <c r="J1677" s="1">
        <v>64912.4</v>
      </c>
      <c r="K1677" s="1">
        <v>64912.4</v>
      </c>
    </row>
    <row r="1678" spans="1:11" x14ac:dyDescent="0.25">
      <c r="A1678" t="s">
        <v>753</v>
      </c>
      <c r="B1678" t="s">
        <v>2719</v>
      </c>
      <c r="C1678" t="s">
        <v>16</v>
      </c>
      <c r="D1678" t="s">
        <v>4466</v>
      </c>
      <c r="E1678" t="s">
        <v>4430</v>
      </c>
      <c r="F1678" t="s">
        <v>2741</v>
      </c>
      <c r="G1678" s="2">
        <v>45563</v>
      </c>
      <c r="H1678">
        <v>0</v>
      </c>
      <c r="I1678">
        <v>0</v>
      </c>
      <c r="J1678" s="1">
        <v>92732</v>
      </c>
      <c r="K1678" s="1">
        <v>92732</v>
      </c>
    </row>
    <row r="1679" spans="1:11" x14ac:dyDescent="0.25">
      <c r="A1679" t="s">
        <v>755</v>
      </c>
      <c r="B1679" t="s">
        <v>2712</v>
      </c>
      <c r="C1679" t="s">
        <v>16</v>
      </c>
      <c r="D1679" t="s">
        <v>4461</v>
      </c>
      <c r="E1679" t="s">
        <v>4449</v>
      </c>
      <c r="F1679" t="s">
        <v>2741</v>
      </c>
      <c r="G1679" s="2">
        <v>45563</v>
      </c>
      <c r="H1679">
        <v>0</v>
      </c>
      <c r="I1679">
        <v>0</v>
      </c>
      <c r="J1679" s="1">
        <v>92732</v>
      </c>
      <c r="K1679" s="1">
        <v>92732</v>
      </c>
    </row>
    <row r="1680" spans="1:11" x14ac:dyDescent="0.25">
      <c r="A1680" t="s">
        <v>756</v>
      </c>
      <c r="B1680" t="s">
        <v>2708</v>
      </c>
      <c r="C1680" t="s">
        <v>16</v>
      </c>
      <c r="D1680" t="s">
        <v>4466</v>
      </c>
      <c r="E1680" t="s">
        <v>4457</v>
      </c>
      <c r="F1680" t="s">
        <v>2741</v>
      </c>
      <c r="G1680" s="2">
        <v>45563</v>
      </c>
      <c r="H1680">
        <v>0</v>
      </c>
      <c r="I1680">
        <v>0</v>
      </c>
      <c r="J1680" s="1">
        <v>92732</v>
      </c>
      <c r="K1680" s="1">
        <v>92732</v>
      </c>
    </row>
    <row r="1681" spans="1:11" x14ac:dyDescent="0.25">
      <c r="A1681" t="s">
        <v>758</v>
      </c>
      <c r="B1681" t="s">
        <v>2734</v>
      </c>
      <c r="C1681" t="s">
        <v>16</v>
      </c>
      <c r="D1681" t="s">
        <v>4461</v>
      </c>
      <c r="E1681" t="s">
        <v>4455</v>
      </c>
      <c r="F1681" t="s">
        <v>2741</v>
      </c>
      <c r="G1681" s="2">
        <v>45563</v>
      </c>
      <c r="H1681">
        <v>0</v>
      </c>
      <c r="I1681">
        <v>0</v>
      </c>
      <c r="J1681" s="1">
        <v>92732</v>
      </c>
      <c r="K1681" s="1">
        <v>92732</v>
      </c>
    </row>
    <row r="1682" spans="1:11" x14ac:dyDescent="0.25">
      <c r="A1682" t="s">
        <v>759</v>
      </c>
      <c r="B1682" t="s">
        <v>2707</v>
      </c>
      <c r="C1682" t="s">
        <v>16</v>
      </c>
      <c r="D1682" t="s">
        <v>4462</v>
      </c>
      <c r="E1682" t="s">
        <v>4433</v>
      </c>
      <c r="F1682" t="s">
        <v>2741</v>
      </c>
      <c r="G1682" s="2">
        <v>45563</v>
      </c>
      <c r="H1682">
        <v>0</v>
      </c>
      <c r="I1682">
        <v>0</v>
      </c>
      <c r="J1682" s="1">
        <v>92732</v>
      </c>
      <c r="K1682" s="1">
        <v>92732</v>
      </c>
    </row>
    <row r="1683" spans="1:11" x14ac:dyDescent="0.25">
      <c r="A1683" t="s">
        <v>766</v>
      </c>
      <c r="B1683" t="s">
        <v>2730</v>
      </c>
      <c r="C1683" t="s">
        <v>42</v>
      </c>
      <c r="D1683" t="s">
        <v>4467</v>
      </c>
      <c r="E1683" t="s">
        <v>4441</v>
      </c>
      <c r="F1683" t="s">
        <v>2741</v>
      </c>
      <c r="G1683" s="2">
        <v>45563</v>
      </c>
      <c r="H1683">
        <v>0</v>
      </c>
      <c r="I1683">
        <v>0</v>
      </c>
      <c r="J1683" s="1">
        <v>92732</v>
      </c>
      <c r="K1683" s="1">
        <v>92732</v>
      </c>
    </row>
    <row r="1684" spans="1:11" x14ac:dyDescent="0.25">
      <c r="A1684" t="s">
        <v>769</v>
      </c>
      <c r="B1684" t="s">
        <v>2713</v>
      </c>
      <c r="C1684" t="s">
        <v>16</v>
      </c>
      <c r="D1684" t="s">
        <v>4465</v>
      </c>
      <c r="E1684" t="s">
        <v>4428</v>
      </c>
      <c r="F1684" t="s">
        <v>2741</v>
      </c>
      <c r="G1684" s="2">
        <v>45563</v>
      </c>
      <c r="H1684">
        <v>0</v>
      </c>
      <c r="I1684">
        <v>0</v>
      </c>
      <c r="J1684" s="1">
        <v>92732</v>
      </c>
      <c r="K1684" s="1">
        <v>92732</v>
      </c>
    </row>
    <row r="1685" spans="1:11" x14ac:dyDescent="0.25">
      <c r="A1685" t="s">
        <v>745</v>
      </c>
      <c r="B1685" t="s">
        <v>4472</v>
      </c>
      <c r="C1685" t="s">
        <v>16</v>
      </c>
      <c r="D1685" t="s">
        <v>4461</v>
      </c>
      <c r="E1685" t="s">
        <v>4373</v>
      </c>
      <c r="F1685" t="s">
        <v>2741</v>
      </c>
      <c r="G1685" s="2">
        <v>45564</v>
      </c>
      <c r="H1685">
        <v>0</v>
      </c>
      <c r="I1685">
        <v>0</v>
      </c>
      <c r="J1685" s="1">
        <v>64912.4</v>
      </c>
      <c r="K1685" s="1">
        <v>64912.4</v>
      </c>
    </row>
    <row r="1686" spans="1:11" x14ac:dyDescent="0.25">
      <c r="A1686" t="s">
        <v>748</v>
      </c>
      <c r="B1686" t="s">
        <v>2709</v>
      </c>
      <c r="C1686" t="s">
        <v>42</v>
      </c>
      <c r="D1686" t="s">
        <v>4467</v>
      </c>
      <c r="E1686" t="s">
        <v>4456</v>
      </c>
      <c r="F1686" t="s">
        <v>2741</v>
      </c>
      <c r="G1686" s="2">
        <v>45564</v>
      </c>
      <c r="H1686">
        <v>0</v>
      </c>
      <c r="I1686">
        <v>0</v>
      </c>
      <c r="J1686" s="1">
        <v>92732</v>
      </c>
      <c r="K1686" s="1">
        <v>92732</v>
      </c>
    </row>
    <row r="1687" spans="1:11" x14ac:dyDescent="0.25">
      <c r="A1687" t="s">
        <v>744</v>
      </c>
      <c r="B1687" t="s">
        <v>2716</v>
      </c>
      <c r="C1687" t="s">
        <v>16</v>
      </c>
      <c r="D1687" t="s">
        <v>4462</v>
      </c>
      <c r="E1687" t="s">
        <v>4458</v>
      </c>
      <c r="F1687" t="s">
        <v>2741</v>
      </c>
      <c r="G1687" s="2">
        <v>45565</v>
      </c>
      <c r="H1687">
        <v>0</v>
      </c>
      <c r="I1687">
        <v>0</v>
      </c>
      <c r="J1687" s="1">
        <v>64912.4</v>
      </c>
      <c r="K1687" s="1">
        <v>64912.4</v>
      </c>
    </row>
    <row r="1688" spans="1:11" x14ac:dyDescent="0.25">
      <c r="A1688" t="s">
        <v>742</v>
      </c>
      <c r="B1688" t="s">
        <v>2701</v>
      </c>
      <c r="C1688" t="s">
        <v>16</v>
      </c>
      <c r="D1688" t="s">
        <v>4466</v>
      </c>
      <c r="E1688" t="s">
        <v>4453</v>
      </c>
      <c r="F1688" t="s">
        <v>2741</v>
      </c>
      <c r="G1688" s="2">
        <v>45565</v>
      </c>
      <c r="H1688">
        <v>0</v>
      </c>
      <c r="I1688">
        <v>0</v>
      </c>
      <c r="J1688" s="1">
        <v>92732</v>
      </c>
      <c r="K1688" s="1">
        <v>92732</v>
      </c>
    </row>
    <row r="1689" spans="1:11" x14ac:dyDescent="0.25">
      <c r="A1689" t="s">
        <v>734</v>
      </c>
      <c r="B1689" t="s">
        <v>2730</v>
      </c>
      <c r="C1689" t="s">
        <v>42</v>
      </c>
      <c r="D1689" t="s">
        <v>4467</v>
      </c>
      <c r="E1689" t="s">
        <v>4441</v>
      </c>
      <c r="F1689" t="s">
        <v>2741</v>
      </c>
      <c r="G1689" s="2">
        <v>45566</v>
      </c>
      <c r="H1689">
        <v>0</v>
      </c>
      <c r="I1689">
        <v>0</v>
      </c>
      <c r="J1689" s="1">
        <v>92732</v>
      </c>
      <c r="K1689" s="1">
        <v>92732</v>
      </c>
    </row>
    <row r="1690" spans="1:11" x14ac:dyDescent="0.25">
      <c r="A1690" t="s">
        <v>737</v>
      </c>
      <c r="B1690" t="s">
        <v>2714</v>
      </c>
      <c r="C1690" t="s">
        <v>16</v>
      </c>
      <c r="D1690" t="s">
        <v>4466</v>
      </c>
      <c r="E1690" t="s">
        <v>4434</v>
      </c>
      <c r="F1690" t="s">
        <v>2741</v>
      </c>
      <c r="G1690" s="2">
        <v>45566</v>
      </c>
      <c r="H1690">
        <v>0</v>
      </c>
      <c r="I1690">
        <v>0</v>
      </c>
      <c r="J1690" s="1">
        <v>92732</v>
      </c>
      <c r="K1690" s="1">
        <v>92732</v>
      </c>
    </row>
    <row r="1691" spans="1:11" x14ac:dyDescent="0.25">
      <c r="A1691" t="s">
        <v>727</v>
      </c>
      <c r="B1691" t="s">
        <v>2726</v>
      </c>
      <c r="C1691" t="s">
        <v>16</v>
      </c>
      <c r="D1691" t="s">
        <v>4466</v>
      </c>
      <c r="E1691" t="s">
        <v>4437</v>
      </c>
      <c r="F1691" t="s">
        <v>2741</v>
      </c>
      <c r="G1691" s="2">
        <v>45567</v>
      </c>
      <c r="H1691">
        <v>0</v>
      </c>
      <c r="I1691">
        <v>0</v>
      </c>
      <c r="J1691" s="1">
        <v>64912.4</v>
      </c>
      <c r="K1691" s="1">
        <v>64912.4</v>
      </c>
    </row>
    <row r="1692" spans="1:11" x14ac:dyDescent="0.25">
      <c r="A1692" t="s">
        <v>726</v>
      </c>
      <c r="B1692" t="s">
        <v>2727</v>
      </c>
      <c r="C1692" t="s">
        <v>16</v>
      </c>
      <c r="D1692" t="s">
        <v>4465</v>
      </c>
      <c r="E1692" t="s">
        <v>4445</v>
      </c>
      <c r="F1692" t="s">
        <v>2741</v>
      </c>
      <c r="G1692" s="2">
        <v>45567</v>
      </c>
      <c r="H1692">
        <v>0</v>
      </c>
      <c r="I1692">
        <v>0</v>
      </c>
      <c r="J1692" s="1">
        <v>92732</v>
      </c>
      <c r="K1692" s="1">
        <v>92732</v>
      </c>
    </row>
    <row r="1693" spans="1:11" x14ac:dyDescent="0.25">
      <c r="A1693" t="s">
        <v>719</v>
      </c>
      <c r="B1693" t="s">
        <v>2712</v>
      </c>
      <c r="C1693" t="s">
        <v>16</v>
      </c>
      <c r="D1693" t="s">
        <v>4461</v>
      </c>
      <c r="E1693" t="s">
        <v>4449</v>
      </c>
      <c r="F1693" t="s">
        <v>2741</v>
      </c>
      <c r="G1693" s="2">
        <v>45568</v>
      </c>
      <c r="H1693">
        <v>0</v>
      </c>
      <c r="I1693">
        <v>0</v>
      </c>
      <c r="J1693" s="1">
        <v>92732</v>
      </c>
      <c r="K1693" s="1">
        <v>92732</v>
      </c>
    </row>
    <row r="1694" spans="1:11" x14ac:dyDescent="0.25">
      <c r="A1694" t="s">
        <v>711</v>
      </c>
      <c r="B1694" t="s">
        <v>2729</v>
      </c>
      <c r="C1694" t="s">
        <v>16</v>
      </c>
      <c r="D1694" t="s">
        <v>4465</v>
      </c>
      <c r="E1694" t="s">
        <v>4427</v>
      </c>
      <c r="F1694" t="s">
        <v>2741</v>
      </c>
      <c r="G1694" s="2">
        <v>45569</v>
      </c>
      <c r="H1694">
        <v>0</v>
      </c>
      <c r="I1694">
        <v>0</v>
      </c>
      <c r="J1694" s="1">
        <v>92732</v>
      </c>
      <c r="K1694" s="1">
        <v>92732</v>
      </c>
    </row>
    <row r="1695" spans="1:11" x14ac:dyDescent="0.25">
      <c r="A1695" t="s">
        <v>713</v>
      </c>
      <c r="B1695" t="s">
        <v>2716</v>
      </c>
      <c r="C1695" t="s">
        <v>16</v>
      </c>
      <c r="D1695" t="s">
        <v>4462</v>
      </c>
      <c r="E1695" t="s">
        <v>4458</v>
      </c>
      <c r="F1695" t="s">
        <v>2741</v>
      </c>
      <c r="G1695" s="2">
        <v>45569</v>
      </c>
      <c r="H1695">
        <v>0</v>
      </c>
      <c r="I1695">
        <v>0</v>
      </c>
      <c r="J1695" s="1">
        <v>92732</v>
      </c>
      <c r="K1695" s="1">
        <v>92732</v>
      </c>
    </row>
    <row r="1696" spans="1:11" x14ac:dyDescent="0.25">
      <c r="A1696" t="s">
        <v>711</v>
      </c>
      <c r="B1696" t="s">
        <v>2729</v>
      </c>
      <c r="C1696" t="s">
        <v>16</v>
      </c>
      <c r="D1696" t="s">
        <v>4465</v>
      </c>
      <c r="E1696" t="s">
        <v>4427</v>
      </c>
      <c r="F1696" t="s">
        <v>2741</v>
      </c>
      <c r="G1696" s="2">
        <v>45569</v>
      </c>
      <c r="H1696">
        <v>0</v>
      </c>
      <c r="I1696">
        <v>0</v>
      </c>
      <c r="J1696" s="1">
        <v>92732</v>
      </c>
      <c r="K1696" s="1">
        <v>92732</v>
      </c>
    </row>
    <row r="1697" spans="1:11" x14ac:dyDescent="0.25">
      <c r="A1697" t="s">
        <v>702</v>
      </c>
      <c r="B1697" t="s">
        <v>2699</v>
      </c>
      <c r="C1697" t="s">
        <v>16</v>
      </c>
      <c r="D1697" t="s">
        <v>4462</v>
      </c>
      <c r="E1697" t="s">
        <v>4440</v>
      </c>
      <c r="F1697" t="s">
        <v>2741</v>
      </c>
      <c r="G1697" s="2">
        <v>45570</v>
      </c>
      <c r="H1697">
        <v>0</v>
      </c>
      <c r="I1697">
        <v>0</v>
      </c>
      <c r="J1697" s="1">
        <v>92732</v>
      </c>
      <c r="K1697" s="1">
        <v>92732</v>
      </c>
    </row>
    <row r="1698" spans="1:11" x14ac:dyDescent="0.25">
      <c r="A1698" t="s">
        <v>690</v>
      </c>
      <c r="B1698" t="s">
        <v>2705</v>
      </c>
      <c r="C1698" t="s">
        <v>42</v>
      </c>
      <c r="D1698" t="s">
        <v>4467</v>
      </c>
      <c r="E1698" t="s">
        <v>4435</v>
      </c>
      <c r="F1698" t="s">
        <v>2741</v>
      </c>
      <c r="G1698" s="2">
        <v>45573</v>
      </c>
      <c r="H1698">
        <v>0</v>
      </c>
      <c r="I1698">
        <v>0</v>
      </c>
      <c r="J1698" s="1">
        <v>92732</v>
      </c>
      <c r="K1698" s="1">
        <v>92732</v>
      </c>
    </row>
    <row r="1699" spans="1:11" x14ac:dyDescent="0.25">
      <c r="A1699" t="s">
        <v>682</v>
      </c>
      <c r="B1699" t="s">
        <v>2700</v>
      </c>
      <c r="C1699" t="s">
        <v>27</v>
      </c>
      <c r="D1699" t="s">
        <v>4466</v>
      </c>
      <c r="E1699" t="s">
        <v>4450</v>
      </c>
      <c r="F1699" t="s">
        <v>2741</v>
      </c>
      <c r="G1699" s="2">
        <v>45574</v>
      </c>
      <c r="H1699">
        <v>0</v>
      </c>
      <c r="I1699">
        <v>0</v>
      </c>
      <c r="J1699" s="1">
        <v>92732</v>
      </c>
      <c r="K1699" s="1">
        <v>92732</v>
      </c>
    </row>
    <row r="1700" spans="1:11" x14ac:dyDescent="0.25">
      <c r="A1700" t="s">
        <v>676</v>
      </c>
      <c r="B1700" t="s">
        <v>2723</v>
      </c>
      <c r="C1700" t="s">
        <v>16</v>
      </c>
      <c r="D1700" t="s">
        <v>4462</v>
      </c>
      <c r="E1700" t="s">
        <v>4443</v>
      </c>
      <c r="F1700" t="s">
        <v>2741</v>
      </c>
      <c r="G1700" s="2">
        <v>45576</v>
      </c>
      <c r="H1700">
        <v>0</v>
      </c>
      <c r="I1700">
        <v>0</v>
      </c>
      <c r="J1700" s="1">
        <v>92732</v>
      </c>
      <c r="K1700" s="1">
        <v>92732</v>
      </c>
    </row>
    <row r="1701" spans="1:11" x14ac:dyDescent="0.25">
      <c r="A1701" t="s">
        <v>671</v>
      </c>
      <c r="B1701" t="s">
        <v>2733</v>
      </c>
      <c r="C1701" t="s">
        <v>16</v>
      </c>
      <c r="D1701" t="s">
        <v>4465</v>
      </c>
      <c r="E1701" t="s">
        <v>4448</v>
      </c>
      <c r="F1701" t="s">
        <v>2741</v>
      </c>
      <c r="G1701" s="2">
        <v>45576</v>
      </c>
      <c r="H1701">
        <v>0</v>
      </c>
      <c r="I1701">
        <v>0</v>
      </c>
      <c r="J1701" s="1">
        <v>92732</v>
      </c>
      <c r="K1701" s="1">
        <v>92732</v>
      </c>
    </row>
    <row r="1702" spans="1:11" x14ac:dyDescent="0.25">
      <c r="A1702" t="s">
        <v>677</v>
      </c>
      <c r="B1702" t="s">
        <v>2698</v>
      </c>
      <c r="C1702" t="s">
        <v>16</v>
      </c>
      <c r="D1702" t="s">
        <v>4465</v>
      </c>
      <c r="E1702" t="s">
        <v>4442</v>
      </c>
      <c r="F1702" t="s">
        <v>2741</v>
      </c>
      <c r="G1702" s="2">
        <v>45576</v>
      </c>
      <c r="H1702">
        <v>0</v>
      </c>
      <c r="I1702">
        <v>0</v>
      </c>
      <c r="J1702" s="1">
        <v>92732</v>
      </c>
      <c r="K1702" s="1">
        <v>92732</v>
      </c>
    </row>
    <row r="1703" spans="1:11" x14ac:dyDescent="0.25">
      <c r="A1703" t="s">
        <v>667</v>
      </c>
      <c r="B1703" t="s">
        <v>2731</v>
      </c>
      <c r="C1703" t="s">
        <v>16</v>
      </c>
      <c r="D1703" t="s">
        <v>4465</v>
      </c>
      <c r="E1703" t="s">
        <v>4460</v>
      </c>
      <c r="F1703" t="s">
        <v>2741</v>
      </c>
      <c r="G1703" s="2">
        <v>45579</v>
      </c>
      <c r="H1703">
        <v>0</v>
      </c>
      <c r="I1703">
        <v>0</v>
      </c>
      <c r="J1703" s="1">
        <v>92732</v>
      </c>
      <c r="K1703" s="1">
        <v>92732</v>
      </c>
    </row>
    <row r="1704" spans="1:11" x14ac:dyDescent="0.25">
      <c r="A1704" t="s">
        <v>663</v>
      </c>
      <c r="B1704" t="s">
        <v>2724</v>
      </c>
      <c r="C1704" t="s">
        <v>16</v>
      </c>
      <c r="D1704" t="s">
        <v>4462</v>
      </c>
      <c r="E1704" t="s">
        <v>4451</v>
      </c>
      <c r="F1704" t="s">
        <v>2741</v>
      </c>
      <c r="G1704" s="2">
        <v>45579</v>
      </c>
      <c r="H1704">
        <v>0</v>
      </c>
      <c r="I1704">
        <v>0</v>
      </c>
      <c r="J1704" s="1">
        <v>92732</v>
      </c>
      <c r="K1704" s="1">
        <v>92732</v>
      </c>
    </row>
    <row r="1705" spans="1:11" x14ac:dyDescent="0.25">
      <c r="A1705" t="s">
        <v>663</v>
      </c>
      <c r="B1705" t="s">
        <v>2724</v>
      </c>
      <c r="C1705" t="s">
        <v>16</v>
      </c>
      <c r="D1705" t="s">
        <v>4462</v>
      </c>
      <c r="E1705" t="s">
        <v>4451</v>
      </c>
      <c r="F1705" t="s">
        <v>2741</v>
      </c>
      <c r="G1705" s="2">
        <v>45579</v>
      </c>
      <c r="H1705">
        <v>0</v>
      </c>
      <c r="I1705">
        <v>0</v>
      </c>
      <c r="J1705" s="1">
        <v>92732</v>
      </c>
      <c r="K1705" s="1">
        <v>92732</v>
      </c>
    </row>
    <row r="1706" spans="1:11" x14ac:dyDescent="0.25">
      <c r="A1706" t="s">
        <v>662</v>
      </c>
      <c r="B1706" t="s">
        <v>2699</v>
      </c>
      <c r="C1706" t="s">
        <v>16</v>
      </c>
      <c r="D1706" t="s">
        <v>4462</v>
      </c>
      <c r="E1706" t="s">
        <v>4440</v>
      </c>
      <c r="F1706" t="s">
        <v>2741</v>
      </c>
      <c r="G1706" s="2">
        <v>45580</v>
      </c>
      <c r="H1706">
        <v>0</v>
      </c>
      <c r="I1706">
        <v>0</v>
      </c>
      <c r="J1706" s="1">
        <v>92732</v>
      </c>
      <c r="K1706" s="1">
        <v>92732</v>
      </c>
    </row>
    <row r="1707" spans="1:11" x14ac:dyDescent="0.25">
      <c r="A1707" t="s">
        <v>638</v>
      </c>
      <c r="B1707" t="s">
        <v>2700</v>
      </c>
      <c r="C1707" t="s">
        <v>27</v>
      </c>
      <c r="D1707" t="s">
        <v>4466</v>
      </c>
      <c r="E1707" t="s">
        <v>4450</v>
      </c>
      <c r="F1707" t="s">
        <v>2741</v>
      </c>
      <c r="G1707" s="2">
        <v>45584</v>
      </c>
      <c r="H1707">
        <v>0</v>
      </c>
      <c r="I1707">
        <v>0</v>
      </c>
      <c r="J1707" s="1">
        <v>92732</v>
      </c>
      <c r="K1707" s="1">
        <v>92732</v>
      </c>
    </row>
    <row r="1708" spans="1:11" x14ac:dyDescent="0.25">
      <c r="A1708" t="s">
        <v>644</v>
      </c>
      <c r="B1708" t="s">
        <v>2710</v>
      </c>
      <c r="C1708" t="s">
        <v>42</v>
      </c>
      <c r="D1708" t="s">
        <v>4467</v>
      </c>
      <c r="E1708" t="s">
        <v>4436</v>
      </c>
      <c r="F1708" t="s">
        <v>2741</v>
      </c>
      <c r="G1708" s="2">
        <v>45584</v>
      </c>
      <c r="H1708">
        <v>0</v>
      </c>
      <c r="I1708">
        <v>0</v>
      </c>
      <c r="J1708" s="1">
        <v>92732</v>
      </c>
      <c r="K1708" s="1">
        <v>92732</v>
      </c>
    </row>
    <row r="1709" spans="1:11" x14ac:dyDescent="0.25">
      <c r="A1709" t="s">
        <v>636</v>
      </c>
      <c r="B1709" t="s">
        <v>2721</v>
      </c>
      <c r="C1709" t="s">
        <v>16</v>
      </c>
      <c r="D1709" t="s">
        <v>4466</v>
      </c>
      <c r="E1709" t="s">
        <v>4438</v>
      </c>
      <c r="F1709" t="s">
        <v>2741</v>
      </c>
      <c r="G1709" s="2">
        <v>45585</v>
      </c>
      <c r="H1709">
        <v>0</v>
      </c>
      <c r="I1709">
        <v>0</v>
      </c>
      <c r="J1709" s="1">
        <v>64912.4</v>
      </c>
      <c r="K1709" s="1">
        <v>64912.4</v>
      </c>
    </row>
    <row r="1710" spans="1:11" x14ac:dyDescent="0.25">
      <c r="A1710" t="s">
        <v>634</v>
      </c>
      <c r="B1710" t="s">
        <v>2718</v>
      </c>
      <c r="C1710" t="s">
        <v>16</v>
      </c>
      <c r="D1710" t="s">
        <v>4466</v>
      </c>
      <c r="E1710" t="s">
        <v>4438</v>
      </c>
      <c r="F1710" t="s">
        <v>2741</v>
      </c>
      <c r="G1710" s="2">
        <v>45585</v>
      </c>
      <c r="H1710">
        <v>0</v>
      </c>
      <c r="I1710">
        <v>0</v>
      </c>
      <c r="J1710" s="1">
        <v>92732</v>
      </c>
      <c r="K1710" s="1">
        <v>92732</v>
      </c>
    </row>
    <row r="1711" spans="1:11" x14ac:dyDescent="0.25">
      <c r="A1711" t="s">
        <v>636</v>
      </c>
      <c r="B1711" t="s">
        <v>2721</v>
      </c>
      <c r="C1711" t="s">
        <v>16</v>
      </c>
      <c r="D1711" t="s">
        <v>4466</v>
      </c>
      <c r="E1711" t="s">
        <v>4438</v>
      </c>
      <c r="F1711" t="s">
        <v>2741</v>
      </c>
      <c r="G1711" s="2">
        <v>45585</v>
      </c>
      <c r="H1711">
        <v>0</v>
      </c>
      <c r="I1711">
        <v>0</v>
      </c>
      <c r="J1711" s="1">
        <v>92732</v>
      </c>
      <c r="K1711" s="1">
        <v>92732</v>
      </c>
    </row>
    <row r="1712" spans="1:11" x14ac:dyDescent="0.25">
      <c r="A1712" t="s">
        <v>634</v>
      </c>
      <c r="B1712" t="s">
        <v>2718</v>
      </c>
      <c r="C1712" t="s">
        <v>16</v>
      </c>
      <c r="D1712" t="s">
        <v>4466</v>
      </c>
      <c r="E1712" t="s">
        <v>4438</v>
      </c>
      <c r="F1712" t="s">
        <v>2741</v>
      </c>
      <c r="G1712" s="2">
        <v>45585</v>
      </c>
      <c r="H1712">
        <v>0</v>
      </c>
      <c r="I1712">
        <v>0</v>
      </c>
      <c r="J1712" s="1">
        <v>92732</v>
      </c>
      <c r="K1712" s="1">
        <v>92732</v>
      </c>
    </row>
    <row r="1713" spans="1:11" x14ac:dyDescent="0.25">
      <c r="A1713" t="s">
        <v>636</v>
      </c>
      <c r="B1713" t="s">
        <v>2721</v>
      </c>
      <c r="C1713" t="s">
        <v>16</v>
      </c>
      <c r="D1713" t="s">
        <v>4466</v>
      </c>
      <c r="E1713" t="s">
        <v>4438</v>
      </c>
      <c r="F1713" t="s">
        <v>2741</v>
      </c>
      <c r="G1713" s="2">
        <v>45585</v>
      </c>
      <c r="H1713">
        <v>0</v>
      </c>
      <c r="I1713">
        <v>0</v>
      </c>
      <c r="J1713" s="1">
        <v>92732</v>
      </c>
      <c r="K1713" s="1">
        <v>92732</v>
      </c>
    </row>
    <row r="1714" spans="1:11" x14ac:dyDescent="0.25">
      <c r="A1714" t="s">
        <v>630</v>
      </c>
      <c r="B1714" t="s">
        <v>2726</v>
      </c>
      <c r="C1714" t="s">
        <v>16</v>
      </c>
      <c r="D1714" t="s">
        <v>4466</v>
      </c>
      <c r="E1714" t="s">
        <v>4437</v>
      </c>
      <c r="F1714" t="s">
        <v>2741</v>
      </c>
      <c r="G1714" s="2">
        <v>45586</v>
      </c>
      <c r="H1714">
        <v>0</v>
      </c>
      <c r="I1714">
        <v>0</v>
      </c>
      <c r="J1714" s="1">
        <v>92732</v>
      </c>
      <c r="K1714" s="1">
        <v>92732</v>
      </c>
    </row>
    <row r="1715" spans="1:11" x14ac:dyDescent="0.25">
      <c r="A1715" t="s">
        <v>622</v>
      </c>
      <c r="B1715" t="s">
        <v>2735</v>
      </c>
      <c r="C1715" t="s">
        <v>16</v>
      </c>
      <c r="D1715" t="s">
        <v>4462</v>
      </c>
      <c r="E1715" t="s">
        <v>4426</v>
      </c>
      <c r="F1715" t="s">
        <v>2741</v>
      </c>
      <c r="G1715" s="2">
        <v>45587</v>
      </c>
      <c r="H1715">
        <v>0</v>
      </c>
      <c r="I1715">
        <v>0</v>
      </c>
      <c r="J1715" s="1">
        <v>64912.4</v>
      </c>
      <c r="K1715" s="1">
        <v>64912.4</v>
      </c>
    </row>
    <row r="1716" spans="1:11" x14ac:dyDescent="0.25">
      <c r="A1716" t="s">
        <v>622</v>
      </c>
      <c r="B1716" t="s">
        <v>2735</v>
      </c>
      <c r="C1716" t="s">
        <v>16</v>
      </c>
      <c r="D1716" t="s">
        <v>4462</v>
      </c>
      <c r="E1716" t="s">
        <v>4426</v>
      </c>
      <c r="F1716" t="s">
        <v>2741</v>
      </c>
      <c r="G1716" s="2">
        <v>45587</v>
      </c>
      <c r="H1716">
        <v>0</v>
      </c>
      <c r="I1716">
        <v>0</v>
      </c>
      <c r="J1716" s="1">
        <v>92732</v>
      </c>
      <c r="K1716" s="1">
        <v>92732</v>
      </c>
    </row>
    <row r="1717" spans="1:11" x14ac:dyDescent="0.25">
      <c r="A1717" t="s">
        <v>622</v>
      </c>
      <c r="B1717" t="s">
        <v>2735</v>
      </c>
      <c r="C1717" t="s">
        <v>16</v>
      </c>
      <c r="D1717" t="s">
        <v>4462</v>
      </c>
      <c r="E1717" t="s">
        <v>4426</v>
      </c>
      <c r="F1717" t="s">
        <v>2741</v>
      </c>
      <c r="G1717" s="2">
        <v>45587</v>
      </c>
      <c r="H1717">
        <v>0</v>
      </c>
      <c r="I1717">
        <v>0</v>
      </c>
      <c r="J1717" s="1">
        <v>92732</v>
      </c>
      <c r="K1717" s="1">
        <v>92732</v>
      </c>
    </row>
    <row r="1718" spans="1:11" x14ac:dyDescent="0.25">
      <c r="A1718" t="s">
        <v>600</v>
      </c>
      <c r="B1718" t="s">
        <v>2708</v>
      </c>
      <c r="C1718" t="s">
        <v>16</v>
      </c>
      <c r="D1718" t="s">
        <v>4466</v>
      </c>
      <c r="E1718" t="s">
        <v>4457</v>
      </c>
      <c r="F1718" t="s">
        <v>2741</v>
      </c>
      <c r="G1718" s="2">
        <v>45589</v>
      </c>
      <c r="H1718">
        <v>0</v>
      </c>
      <c r="I1718">
        <v>0</v>
      </c>
      <c r="J1718" s="1">
        <v>92732</v>
      </c>
      <c r="K1718" s="1">
        <v>92732</v>
      </c>
    </row>
    <row r="1719" spans="1:11" x14ac:dyDescent="0.25">
      <c r="A1719" t="s">
        <v>608</v>
      </c>
      <c r="B1719" t="s">
        <v>2732</v>
      </c>
      <c r="C1719" t="s">
        <v>16</v>
      </c>
      <c r="D1719" t="s">
        <v>4461</v>
      </c>
      <c r="E1719" t="s">
        <v>4444</v>
      </c>
      <c r="F1719" t="s">
        <v>2741</v>
      </c>
      <c r="G1719" s="2">
        <v>45589</v>
      </c>
      <c r="H1719">
        <v>0</v>
      </c>
      <c r="I1719">
        <v>0</v>
      </c>
      <c r="J1719" s="1">
        <v>92732</v>
      </c>
      <c r="K1719" s="1">
        <v>92732</v>
      </c>
    </row>
    <row r="1720" spans="1:11" x14ac:dyDescent="0.25">
      <c r="A1720" t="s">
        <v>606</v>
      </c>
      <c r="B1720" t="s">
        <v>2725</v>
      </c>
      <c r="C1720" t="s">
        <v>16</v>
      </c>
      <c r="D1720" t="s">
        <v>4465</v>
      </c>
      <c r="E1720" t="s">
        <v>4429</v>
      </c>
      <c r="F1720" t="s">
        <v>2741</v>
      </c>
      <c r="G1720" s="2">
        <v>45589</v>
      </c>
      <c r="H1720">
        <v>0</v>
      </c>
      <c r="I1720">
        <v>0</v>
      </c>
      <c r="J1720" s="1">
        <v>92732</v>
      </c>
      <c r="K1720" s="1">
        <v>92732</v>
      </c>
    </row>
    <row r="1721" spans="1:11" x14ac:dyDescent="0.25">
      <c r="A1721" t="s">
        <v>607</v>
      </c>
      <c r="B1721" t="s">
        <v>2711</v>
      </c>
      <c r="C1721" t="s">
        <v>16</v>
      </c>
      <c r="D1721" t="s">
        <v>4461</v>
      </c>
      <c r="E1721" t="s">
        <v>4447</v>
      </c>
      <c r="F1721" t="s">
        <v>2741</v>
      </c>
      <c r="G1721" s="2">
        <v>45589</v>
      </c>
      <c r="H1721">
        <v>0</v>
      </c>
      <c r="I1721">
        <v>0</v>
      </c>
      <c r="J1721" s="1">
        <v>92732</v>
      </c>
      <c r="K1721" s="1">
        <v>92732</v>
      </c>
    </row>
    <row r="1722" spans="1:11" x14ac:dyDescent="0.25">
      <c r="A1722" t="s">
        <v>608</v>
      </c>
      <c r="B1722" t="s">
        <v>2732</v>
      </c>
      <c r="C1722" t="s">
        <v>16</v>
      </c>
      <c r="D1722" t="s">
        <v>4461</v>
      </c>
      <c r="E1722" t="s">
        <v>4444</v>
      </c>
      <c r="F1722" t="s">
        <v>2741</v>
      </c>
      <c r="G1722" s="2">
        <v>45589</v>
      </c>
      <c r="H1722">
        <v>0</v>
      </c>
      <c r="I1722">
        <v>0</v>
      </c>
      <c r="J1722" s="1">
        <v>92732</v>
      </c>
      <c r="K1722" s="1">
        <v>92732</v>
      </c>
    </row>
    <row r="1723" spans="1:11" x14ac:dyDescent="0.25">
      <c r="A1723" t="s">
        <v>579</v>
      </c>
      <c r="B1723" t="s">
        <v>2701</v>
      </c>
      <c r="C1723" t="s">
        <v>16</v>
      </c>
      <c r="D1723" t="s">
        <v>4466</v>
      </c>
      <c r="E1723" t="s">
        <v>4453</v>
      </c>
      <c r="F1723" t="s">
        <v>2741</v>
      </c>
      <c r="G1723" s="2">
        <v>45591</v>
      </c>
      <c r="H1723">
        <v>0</v>
      </c>
      <c r="I1723">
        <v>0</v>
      </c>
      <c r="J1723" s="1">
        <v>92732</v>
      </c>
      <c r="K1723" s="1">
        <v>92732</v>
      </c>
    </row>
    <row r="1724" spans="1:11" x14ac:dyDescent="0.25">
      <c r="A1724" t="s">
        <v>582</v>
      </c>
      <c r="B1724" t="s">
        <v>2709</v>
      </c>
      <c r="C1724" t="s">
        <v>42</v>
      </c>
      <c r="D1724" t="s">
        <v>4467</v>
      </c>
      <c r="E1724" t="s">
        <v>4456</v>
      </c>
      <c r="F1724" t="s">
        <v>2741</v>
      </c>
      <c r="G1724" s="2">
        <v>45591</v>
      </c>
      <c r="H1724">
        <v>0</v>
      </c>
      <c r="I1724">
        <v>0</v>
      </c>
      <c r="J1724" s="1">
        <v>92732</v>
      </c>
      <c r="K1724" s="1">
        <v>92732</v>
      </c>
    </row>
    <row r="1725" spans="1:11" x14ac:dyDescent="0.25">
      <c r="A1725" t="s">
        <v>585</v>
      </c>
      <c r="B1725" t="s">
        <v>2707</v>
      </c>
      <c r="C1725" t="s">
        <v>16</v>
      </c>
      <c r="D1725" t="s">
        <v>4462</v>
      </c>
      <c r="E1725" t="s">
        <v>4433</v>
      </c>
      <c r="F1725" t="s">
        <v>2741</v>
      </c>
      <c r="G1725" s="2">
        <v>45591</v>
      </c>
      <c r="H1725">
        <v>0</v>
      </c>
      <c r="I1725">
        <v>0</v>
      </c>
      <c r="J1725" s="1">
        <v>92732</v>
      </c>
      <c r="K1725" s="1">
        <v>92732</v>
      </c>
    </row>
    <row r="1726" spans="1:11" x14ac:dyDescent="0.25">
      <c r="A1726" t="s">
        <v>566</v>
      </c>
      <c r="B1726" t="s">
        <v>2734</v>
      </c>
      <c r="C1726" t="s">
        <v>16</v>
      </c>
      <c r="D1726" t="s">
        <v>4461</v>
      </c>
      <c r="E1726" t="s">
        <v>4455</v>
      </c>
      <c r="F1726" t="s">
        <v>2741</v>
      </c>
      <c r="G1726" s="2">
        <v>45592</v>
      </c>
      <c r="H1726">
        <v>0</v>
      </c>
      <c r="I1726">
        <v>0</v>
      </c>
      <c r="J1726" s="1">
        <v>92732</v>
      </c>
      <c r="K1726" s="1">
        <v>92732</v>
      </c>
    </row>
    <row r="1727" spans="1:11" x14ac:dyDescent="0.25">
      <c r="A1727" t="s">
        <v>560</v>
      </c>
      <c r="B1727" t="s">
        <v>2725</v>
      </c>
      <c r="C1727" t="s">
        <v>16</v>
      </c>
      <c r="D1727" t="s">
        <v>4465</v>
      </c>
      <c r="E1727" t="s">
        <v>4429</v>
      </c>
      <c r="F1727" t="s">
        <v>2741</v>
      </c>
      <c r="G1727" s="2">
        <v>45593</v>
      </c>
      <c r="H1727">
        <v>0</v>
      </c>
      <c r="I1727">
        <v>0</v>
      </c>
      <c r="J1727" s="1">
        <v>92732</v>
      </c>
      <c r="K1727" s="1">
        <v>185464</v>
      </c>
    </row>
    <row r="1728" spans="1:11" x14ac:dyDescent="0.25">
      <c r="A1728" t="s">
        <v>564</v>
      </c>
      <c r="B1728" t="s">
        <v>2727</v>
      </c>
      <c r="C1728" t="s">
        <v>16</v>
      </c>
      <c r="D1728" t="s">
        <v>4465</v>
      </c>
      <c r="E1728" t="s">
        <v>4445</v>
      </c>
      <c r="F1728" t="s">
        <v>2741</v>
      </c>
      <c r="G1728" s="2">
        <v>45593</v>
      </c>
      <c r="H1728">
        <v>0</v>
      </c>
      <c r="I1728">
        <v>0</v>
      </c>
      <c r="J1728" s="1">
        <v>92732</v>
      </c>
      <c r="K1728" s="1">
        <v>92732</v>
      </c>
    </row>
    <row r="1729" spans="1:11" x14ac:dyDescent="0.25">
      <c r="A1729" t="s">
        <v>541</v>
      </c>
      <c r="B1729" t="s">
        <v>2737</v>
      </c>
      <c r="C1729" t="s">
        <v>16</v>
      </c>
      <c r="D1729" t="s">
        <v>4466</v>
      </c>
      <c r="E1729" t="s">
        <v>4432</v>
      </c>
      <c r="F1729" t="s">
        <v>2741</v>
      </c>
      <c r="G1729" s="2">
        <v>45596</v>
      </c>
      <c r="H1729">
        <v>0</v>
      </c>
      <c r="I1729">
        <v>0</v>
      </c>
      <c r="J1729" s="1">
        <v>92732</v>
      </c>
      <c r="K1729" s="1">
        <v>92732</v>
      </c>
    </row>
    <row r="1730" spans="1:11" x14ac:dyDescent="0.25">
      <c r="A1730" t="s">
        <v>546</v>
      </c>
      <c r="B1730" t="s">
        <v>2720</v>
      </c>
      <c r="C1730" t="s">
        <v>16</v>
      </c>
      <c r="D1730" t="s">
        <v>4461</v>
      </c>
      <c r="E1730" t="s">
        <v>4425</v>
      </c>
      <c r="F1730" t="s">
        <v>2741</v>
      </c>
      <c r="G1730" s="2">
        <v>45596</v>
      </c>
      <c r="H1730">
        <v>0</v>
      </c>
      <c r="I1730">
        <v>0</v>
      </c>
      <c r="J1730" s="1">
        <v>92732</v>
      </c>
      <c r="K1730" s="1">
        <v>92732</v>
      </c>
    </row>
    <row r="1731" spans="1:11" x14ac:dyDescent="0.25">
      <c r="A1731" t="s">
        <v>547</v>
      </c>
      <c r="B1731" t="s">
        <v>2728</v>
      </c>
      <c r="C1731" t="s">
        <v>16</v>
      </c>
      <c r="D1731" t="s">
        <v>4465</v>
      </c>
      <c r="E1731" t="s">
        <v>4439</v>
      </c>
      <c r="F1731" t="s">
        <v>2741</v>
      </c>
      <c r="G1731" s="2">
        <v>45596</v>
      </c>
      <c r="H1731">
        <v>0</v>
      </c>
      <c r="I1731">
        <v>0</v>
      </c>
      <c r="J1731" s="1">
        <v>92732</v>
      </c>
      <c r="K1731" s="1">
        <v>92732</v>
      </c>
    </row>
    <row r="1732" spans="1:11" x14ac:dyDescent="0.25">
      <c r="A1732" t="s">
        <v>533</v>
      </c>
      <c r="B1732" t="s">
        <v>2722</v>
      </c>
      <c r="C1732" t="s">
        <v>16</v>
      </c>
      <c r="D1732" t="s">
        <v>4462</v>
      </c>
      <c r="E1732" t="s">
        <v>4446</v>
      </c>
      <c r="F1732" t="s">
        <v>2741</v>
      </c>
      <c r="G1732" s="2">
        <v>45597</v>
      </c>
      <c r="H1732">
        <v>0</v>
      </c>
      <c r="I1732">
        <v>0</v>
      </c>
      <c r="J1732" s="1">
        <v>92732</v>
      </c>
      <c r="K1732" s="1">
        <v>92732</v>
      </c>
    </row>
    <row r="1733" spans="1:11" x14ac:dyDescent="0.25">
      <c r="A1733" t="s">
        <v>534</v>
      </c>
      <c r="B1733" t="s">
        <v>2717</v>
      </c>
      <c r="C1733" t="s">
        <v>16</v>
      </c>
      <c r="D1733" t="s">
        <v>4466</v>
      </c>
      <c r="E1733" t="s">
        <v>4431</v>
      </c>
      <c r="F1733" t="s">
        <v>2741</v>
      </c>
      <c r="G1733" s="2">
        <v>45597</v>
      </c>
      <c r="H1733">
        <v>0</v>
      </c>
      <c r="I1733">
        <v>0</v>
      </c>
      <c r="J1733" s="1">
        <v>92732</v>
      </c>
      <c r="K1733" s="1">
        <v>92732</v>
      </c>
    </row>
    <row r="1734" spans="1:11" x14ac:dyDescent="0.25">
      <c r="A1734" t="s">
        <v>482</v>
      </c>
      <c r="B1734" t="s">
        <v>2737</v>
      </c>
      <c r="C1734" t="s">
        <v>16</v>
      </c>
      <c r="D1734" t="s">
        <v>4466</v>
      </c>
      <c r="E1734" t="s">
        <v>4432</v>
      </c>
      <c r="F1734" t="s">
        <v>2741</v>
      </c>
      <c r="G1734" s="2">
        <v>45602</v>
      </c>
      <c r="H1734">
        <v>0</v>
      </c>
      <c r="I1734">
        <v>0</v>
      </c>
      <c r="J1734" s="1">
        <v>90661</v>
      </c>
      <c r="K1734" s="1">
        <v>90661</v>
      </c>
    </row>
    <row r="1735" spans="1:11" x14ac:dyDescent="0.25">
      <c r="A1735" t="s">
        <v>489</v>
      </c>
      <c r="B1735" t="s">
        <v>2716</v>
      </c>
      <c r="C1735" t="s">
        <v>16</v>
      </c>
      <c r="D1735" t="s">
        <v>4462</v>
      </c>
      <c r="E1735" t="s">
        <v>4458</v>
      </c>
      <c r="F1735" t="s">
        <v>2741</v>
      </c>
      <c r="G1735" s="2">
        <v>45602</v>
      </c>
      <c r="H1735">
        <v>0</v>
      </c>
      <c r="I1735">
        <v>0</v>
      </c>
      <c r="J1735" s="1">
        <v>90661</v>
      </c>
      <c r="K1735" s="1">
        <v>90661</v>
      </c>
    </row>
    <row r="1736" spans="1:11" x14ac:dyDescent="0.25">
      <c r="A1736" t="s">
        <v>490</v>
      </c>
      <c r="B1736" t="s">
        <v>2717</v>
      </c>
      <c r="C1736" t="s">
        <v>16</v>
      </c>
      <c r="D1736" t="s">
        <v>4466</v>
      </c>
      <c r="E1736" t="s">
        <v>4431</v>
      </c>
      <c r="F1736" t="s">
        <v>2741</v>
      </c>
      <c r="G1736" s="2">
        <v>45602</v>
      </c>
      <c r="H1736">
        <v>0</v>
      </c>
      <c r="I1736">
        <v>0</v>
      </c>
      <c r="J1736" s="1">
        <v>90661</v>
      </c>
      <c r="K1736" s="1">
        <v>90661</v>
      </c>
    </row>
    <row r="1737" spans="1:11" x14ac:dyDescent="0.25">
      <c r="A1737" t="s">
        <v>493</v>
      </c>
      <c r="B1737" t="s">
        <v>2723</v>
      </c>
      <c r="C1737" t="s">
        <v>16</v>
      </c>
      <c r="D1737" t="s">
        <v>4462</v>
      </c>
      <c r="E1737" t="s">
        <v>4443</v>
      </c>
      <c r="F1737" t="s">
        <v>2741</v>
      </c>
      <c r="G1737" s="2">
        <v>45602</v>
      </c>
      <c r="H1737">
        <v>0</v>
      </c>
      <c r="I1737">
        <v>0</v>
      </c>
      <c r="J1737" s="1">
        <v>90661</v>
      </c>
      <c r="K1737" s="1">
        <v>90661</v>
      </c>
    </row>
    <row r="1738" spans="1:11" x14ac:dyDescent="0.25">
      <c r="A1738" t="s">
        <v>494</v>
      </c>
      <c r="B1738" t="s">
        <v>2719</v>
      </c>
      <c r="C1738" t="s">
        <v>16</v>
      </c>
      <c r="D1738" t="s">
        <v>4466</v>
      </c>
      <c r="E1738" t="s">
        <v>4430</v>
      </c>
      <c r="F1738" t="s">
        <v>2741</v>
      </c>
      <c r="G1738" s="2">
        <v>45602</v>
      </c>
      <c r="H1738">
        <v>0</v>
      </c>
      <c r="I1738">
        <v>0</v>
      </c>
      <c r="J1738" s="1">
        <v>90661</v>
      </c>
      <c r="K1738" s="1">
        <v>90661</v>
      </c>
    </row>
    <row r="1739" spans="1:11" x14ac:dyDescent="0.25">
      <c r="A1739" t="s">
        <v>495</v>
      </c>
      <c r="B1739" t="s">
        <v>2726</v>
      </c>
      <c r="C1739" t="s">
        <v>16</v>
      </c>
      <c r="D1739" t="s">
        <v>4466</v>
      </c>
      <c r="E1739" t="s">
        <v>4437</v>
      </c>
      <c r="F1739" t="s">
        <v>2741</v>
      </c>
      <c r="G1739" s="2">
        <v>45602</v>
      </c>
      <c r="H1739">
        <v>0</v>
      </c>
      <c r="I1739">
        <v>0</v>
      </c>
      <c r="J1739" s="1">
        <v>90661</v>
      </c>
      <c r="K1739" s="1">
        <v>90661</v>
      </c>
    </row>
    <row r="1740" spans="1:11" x14ac:dyDescent="0.25">
      <c r="A1740" t="s">
        <v>496</v>
      </c>
      <c r="B1740" t="s">
        <v>2714</v>
      </c>
      <c r="C1740" t="s">
        <v>16</v>
      </c>
      <c r="D1740" t="s">
        <v>4466</v>
      </c>
      <c r="E1740" t="s">
        <v>4434</v>
      </c>
      <c r="F1740" t="s">
        <v>2741</v>
      </c>
      <c r="G1740" s="2">
        <v>45602</v>
      </c>
      <c r="H1740">
        <v>0</v>
      </c>
      <c r="I1740">
        <v>0</v>
      </c>
      <c r="J1740" s="1">
        <v>90661</v>
      </c>
      <c r="K1740" s="1">
        <v>90661</v>
      </c>
    </row>
    <row r="1741" spans="1:11" x14ac:dyDescent="0.25">
      <c r="A1741" t="s">
        <v>497</v>
      </c>
      <c r="B1741" t="s">
        <v>2710</v>
      </c>
      <c r="C1741" t="s">
        <v>42</v>
      </c>
      <c r="D1741" t="s">
        <v>4467</v>
      </c>
      <c r="E1741" t="s">
        <v>4436</v>
      </c>
      <c r="F1741" t="s">
        <v>2741</v>
      </c>
      <c r="G1741" s="2">
        <v>45602</v>
      </c>
      <c r="H1741">
        <v>0</v>
      </c>
      <c r="I1741">
        <v>0</v>
      </c>
      <c r="J1741" s="1">
        <v>90661</v>
      </c>
      <c r="K1741" s="1">
        <v>90661</v>
      </c>
    </row>
    <row r="1742" spans="1:11" x14ac:dyDescent="0.25">
      <c r="A1742" t="s">
        <v>478</v>
      </c>
      <c r="B1742" t="s">
        <v>2722</v>
      </c>
      <c r="C1742" t="s">
        <v>16</v>
      </c>
      <c r="D1742" t="s">
        <v>4462</v>
      </c>
      <c r="E1742" t="s">
        <v>4446</v>
      </c>
      <c r="F1742" t="s">
        <v>2741</v>
      </c>
      <c r="G1742" s="2">
        <v>45603</v>
      </c>
      <c r="H1742">
        <v>0</v>
      </c>
      <c r="I1742">
        <v>0</v>
      </c>
      <c r="J1742" s="1">
        <v>90661</v>
      </c>
      <c r="K1742" s="1">
        <v>90661</v>
      </c>
    </row>
    <row r="1743" spans="1:11" x14ac:dyDescent="0.25">
      <c r="A1743" t="s">
        <v>481</v>
      </c>
      <c r="B1743" t="s">
        <v>2713</v>
      </c>
      <c r="C1743" t="s">
        <v>16</v>
      </c>
      <c r="D1743" t="s">
        <v>4465</v>
      </c>
      <c r="E1743" t="s">
        <v>4428</v>
      </c>
      <c r="F1743" t="s">
        <v>2741</v>
      </c>
      <c r="G1743" s="2">
        <v>45603</v>
      </c>
      <c r="H1743">
        <v>0</v>
      </c>
      <c r="I1743">
        <v>0</v>
      </c>
      <c r="J1743" s="1">
        <v>90661</v>
      </c>
      <c r="K1743" s="1">
        <v>90661</v>
      </c>
    </row>
    <row r="1744" spans="1:11" x14ac:dyDescent="0.25">
      <c r="A1744" t="s">
        <v>472</v>
      </c>
      <c r="B1744" t="s">
        <v>2720</v>
      </c>
      <c r="C1744" t="s">
        <v>16</v>
      </c>
      <c r="D1744" t="s">
        <v>4461</v>
      </c>
      <c r="E1744" t="s">
        <v>4425</v>
      </c>
      <c r="F1744" t="s">
        <v>2741</v>
      </c>
      <c r="G1744" s="2">
        <v>45604</v>
      </c>
      <c r="H1744">
        <v>0</v>
      </c>
      <c r="I1744">
        <v>0</v>
      </c>
      <c r="J1744" s="1">
        <v>90661</v>
      </c>
      <c r="K1744" s="1">
        <v>90661</v>
      </c>
    </row>
    <row r="1745" spans="1:11" x14ac:dyDescent="0.25">
      <c r="A1745" t="s">
        <v>469</v>
      </c>
      <c r="B1745" t="s">
        <v>2728</v>
      </c>
      <c r="C1745" t="s">
        <v>16</v>
      </c>
      <c r="D1745" t="s">
        <v>4465</v>
      </c>
      <c r="E1745" t="s">
        <v>4439</v>
      </c>
      <c r="F1745" t="s">
        <v>2741</v>
      </c>
      <c r="G1745" s="2">
        <v>45605</v>
      </c>
      <c r="H1745">
        <v>0</v>
      </c>
      <c r="I1745">
        <v>0</v>
      </c>
      <c r="J1745" s="1">
        <v>90661</v>
      </c>
      <c r="K1745" s="1">
        <v>90661</v>
      </c>
    </row>
    <row r="1746" spans="1:11" x14ac:dyDescent="0.25">
      <c r="A1746" t="s">
        <v>455</v>
      </c>
      <c r="B1746" t="s">
        <v>2731</v>
      </c>
      <c r="C1746" t="s">
        <v>16</v>
      </c>
      <c r="D1746" t="s">
        <v>4465</v>
      </c>
      <c r="E1746" t="s">
        <v>4460</v>
      </c>
      <c r="F1746" t="s">
        <v>2741</v>
      </c>
      <c r="G1746" s="2">
        <v>45606</v>
      </c>
      <c r="H1746">
        <v>0</v>
      </c>
      <c r="I1746">
        <v>0</v>
      </c>
      <c r="J1746" s="1">
        <v>90661</v>
      </c>
      <c r="K1746" s="1">
        <v>90661</v>
      </c>
    </row>
    <row r="1747" spans="1:11" x14ac:dyDescent="0.25">
      <c r="A1747" t="s">
        <v>458</v>
      </c>
      <c r="B1747" t="s">
        <v>2733</v>
      </c>
      <c r="C1747" t="s">
        <v>16</v>
      </c>
      <c r="D1747" t="s">
        <v>4465</v>
      </c>
      <c r="E1747" t="s">
        <v>4448</v>
      </c>
      <c r="F1747" t="s">
        <v>2741</v>
      </c>
      <c r="G1747" s="2">
        <v>45606</v>
      </c>
      <c r="H1747">
        <v>0</v>
      </c>
      <c r="I1747">
        <v>0</v>
      </c>
      <c r="J1747" s="1">
        <v>90661</v>
      </c>
      <c r="K1747" s="1">
        <v>90661</v>
      </c>
    </row>
    <row r="1748" spans="1:11" x14ac:dyDescent="0.25">
      <c r="A1748" t="s">
        <v>430</v>
      </c>
      <c r="B1748" t="s">
        <v>2698</v>
      </c>
      <c r="C1748" t="s">
        <v>16</v>
      </c>
      <c r="D1748" t="s">
        <v>4465</v>
      </c>
      <c r="E1748" t="s">
        <v>4442</v>
      </c>
      <c r="F1748" t="s">
        <v>2741</v>
      </c>
      <c r="G1748" s="2">
        <v>45610</v>
      </c>
      <c r="H1748">
        <v>0</v>
      </c>
      <c r="I1748">
        <v>0</v>
      </c>
      <c r="J1748" s="1">
        <v>90661</v>
      </c>
      <c r="K1748" s="1">
        <v>90661</v>
      </c>
    </row>
    <row r="1749" spans="1:11" x14ac:dyDescent="0.25">
      <c r="A1749" t="s">
        <v>426</v>
      </c>
      <c r="B1749" t="s">
        <v>2711</v>
      </c>
      <c r="C1749" t="s">
        <v>16</v>
      </c>
      <c r="D1749" t="s">
        <v>4461</v>
      </c>
      <c r="E1749" t="s">
        <v>4447</v>
      </c>
      <c r="F1749" t="s">
        <v>2741</v>
      </c>
      <c r="G1749" s="2">
        <v>45611</v>
      </c>
      <c r="H1749">
        <v>0</v>
      </c>
      <c r="I1749">
        <v>0</v>
      </c>
      <c r="J1749" s="1">
        <v>90661</v>
      </c>
      <c r="K1749" s="1">
        <v>90661</v>
      </c>
    </row>
    <row r="1750" spans="1:11" x14ac:dyDescent="0.25">
      <c r="A1750" t="s">
        <v>246</v>
      </c>
      <c r="B1750" t="s">
        <v>2730</v>
      </c>
      <c r="C1750" t="s">
        <v>42</v>
      </c>
      <c r="D1750" t="s">
        <v>4467</v>
      </c>
      <c r="E1750" t="s">
        <v>4441</v>
      </c>
      <c r="F1750" t="s">
        <v>2741</v>
      </c>
      <c r="G1750" s="2">
        <v>45631</v>
      </c>
      <c r="H1750">
        <v>0</v>
      </c>
      <c r="I1750">
        <v>0</v>
      </c>
      <c r="J1750" s="1">
        <v>125954.01</v>
      </c>
      <c r="K1750" s="1">
        <v>125954.01</v>
      </c>
    </row>
    <row r="1751" spans="1:11" x14ac:dyDescent="0.25">
      <c r="A1751" t="s">
        <v>247</v>
      </c>
      <c r="B1751" t="s">
        <v>2723</v>
      </c>
      <c r="C1751" t="s">
        <v>16</v>
      </c>
      <c r="D1751" t="s">
        <v>4462</v>
      </c>
      <c r="E1751" t="s">
        <v>4443</v>
      </c>
      <c r="F1751" t="s">
        <v>2741</v>
      </c>
      <c r="G1751" s="2">
        <v>45631</v>
      </c>
      <c r="H1751">
        <v>0</v>
      </c>
      <c r="I1751">
        <v>0</v>
      </c>
      <c r="J1751" s="1">
        <v>128025.01</v>
      </c>
      <c r="K1751" s="1">
        <v>128025.01</v>
      </c>
    </row>
    <row r="1752" spans="1:11" x14ac:dyDescent="0.25">
      <c r="A1752" t="s">
        <v>248</v>
      </c>
      <c r="B1752" t="s">
        <v>2701</v>
      </c>
      <c r="C1752" t="s">
        <v>16</v>
      </c>
      <c r="D1752" t="s">
        <v>4466</v>
      </c>
      <c r="E1752" t="s">
        <v>4453</v>
      </c>
      <c r="F1752" t="s">
        <v>2741</v>
      </c>
      <c r="G1752" s="2">
        <v>45631</v>
      </c>
      <c r="H1752">
        <v>0</v>
      </c>
      <c r="I1752">
        <v>0</v>
      </c>
      <c r="J1752" s="1">
        <v>125954.01</v>
      </c>
      <c r="K1752" s="1">
        <v>125954.01</v>
      </c>
    </row>
    <row r="1753" spans="1:11" x14ac:dyDescent="0.25">
      <c r="A1753" t="s">
        <v>249</v>
      </c>
      <c r="B1753" t="s">
        <v>2705</v>
      </c>
      <c r="C1753" t="s">
        <v>42</v>
      </c>
      <c r="D1753" t="s">
        <v>4467</v>
      </c>
      <c r="E1753" t="s">
        <v>4435</v>
      </c>
      <c r="F1753" t="s">
        <v>2741</v>
      </c>
      <c r="G1753" s="2">
        <v>45631</v>
      </c>
      <c r="H1753">
        <v>0</v>
      </c>
      <c r="I1753">
        <v>0</v>
      </c>
      <c r="J1753" s="1">
        <v>125954.01</v>
      </c>
      <c r="K1753" s="1">
        <v>125954.01</v>
      </c>
    </row>
    <row r="1754" spans="1:11" x14ac:dyDescent="0.25">
      <c r="A1754" t="s">
        <v>251</v>
      </c>
      <c r="B1754" t="s">
        <v>2714</v>
      </c>
      <c r="C1754" t="s">
        <v>16</v>
      </c>
      <c r="D1754" t="s">
        <v>4466</v>
      </c>
      <c r="E1754" t="s">
        <v>4434</v>
      </c>
      <c r="F1754" t="s">
        <v>2741</v>
      </c>
      <c r="G1754" s="2">
        <v>45631</v>
      </c>
      <c r="H1754">
        <v>0</v>
      </c>
      <c r="I1754">
        <v>0</v>
      </c>
      <c r="J1754" s="1">
        <v>128025.01</v>
      </c>
      <c r="K1754" s="1">
        <v>128025.01</v>
      </c>
    </row>
    <row r="1755" spans="1:11" x14ac:dyDescent="0.25">
      <c r="A1755" t="s">
        <v>253</v>
      </c>
      <c r="B1755" t="s">
        <v>2731</v>
      </c>
      <c r="C1755" t="s">
        <v>16</v>
      </c>
      <c r="D1755" t="s">
        <v>4465</v>
      </c>
      <c r="E1755" t="s">
        <v>4460</v>
      </c>
      <c r="F1755" t="s">
        <v>2741</v>
      </c>
      <c r="G1755" s="2">
        <v>45631</v>
      </c>
      <c r="H1755">
        <v>0</v>
      </c>
      <c r="I1755">
        <v>0</v>
      </c>
      <c r="J1755" s="1">
        <v>128025.01</v>
      </c>
      <c r="K1755" s="1">
        <v>128025.01</v>
      </c>
    </row>
    <row r="1756" spans="1:11" x14ac:dyDescent="0.25">
      <c r="A1756" t="s">
        <v>254</v>
      </c>
      <c r="B1756" t="s">
        <v>2716</v>
      </c>
      <c r="C1756" t="s">
        <v>16</v>
      </c>
      <c r="D1756" t="s">
        <v>4462</v>
      </c>
      <c r="E1756" t="s">
        <v>4458</v>
      </c>
      <c r="F1756" t="s">
        <v>2741</v>
      </c>
      <c r="G1756" s="2">
        <v>45631</v>
      </c>
      <c r="H1756">
        <v>0</v>
      </c>
      <c r="I1756">
        <v>0</v>
      </c>
      <c r="J1756" s="1">
        <v>128025.01</v>
      </c>
      <c r="K1756" s="1">
        <v>128025.01</v>
      </c>
    </row>
    <row r="1757" spans="1:11" x14ac:dyDescent="0.25">
      <c r="A1757" t="s">
        <v>255</v>
      </c>
      <c r="B1757" t="s">
        <v>2712</v>
      </c>
      <c r="C1757" t="s">
        <v>16</v>
      </c>
      <c r="D1757" t="s">
        <v>4461</v>
      </c>
      <c r="E1757" t="s">
        <v>4449</v>
      </c>
      <c r="F1757" t="s">
        <v>2741</v>
      </c>
      <c r="G1757" s="2">
        <v>45631</v>
      </c>
      <c r="H1757">
        <v>0</v>
      </c>
      <c r="I1757">
        <v>0</v>
      </c>
      <c r="J1757" s="1">
        <v>125954.01</v>
      </c>
      <c r="K1757" s="1">
        <v>125954.01</v>
      </c>
    </row>
    <row r="1758" spans="1:11" x14ac:dyDescent="0.25">
      <c r="A1758" t="s">
        <v>256</v>
      </c>
      <c r="B1758" t="s">
        <v>2707</v>
      </c>
      <c r="C1758" t="s">
        <v>16</v>
      </c>
      <c r="D1758" t="s">
        <v>4462</v>
      </c>
      <c r="E1758" t="s">
        <v>4433</v>
      </c>
      <c r="F1758" t="s">
        <v>2741</v>
      </c>
      <c r="G1758" s="2">
        <v>45631</v>
      </c>
      <c r="H1758">
        <v>0</v>
      </c>
      <c r="I1758">
        <v>0</v>
      </c>
      <c r="J1758" s="1">
        <v>125954.01</v>
      </c>
      <c r="K1758" s="1">
        <v>125954.01</v>
      </c>
    </row>
    <row r="1759" spans="1:11" x14ac:dyDescent="0.25">
      <c r="A1759" t="s">
        <v>257</v>
      </c>
      <c r="B1759" t="s">
        <v>2719</v>
      </c>
      <c r="C1759" t="s">
        <v>16</v>
      </c>
      <c r="D1759" t="s">
        <v>4466</v>
      </c>
      <c r="E1759" t="s">
        <v>4430</v>
      </c>
      <c r="F1759" t="s">
        <v>2741</v>
      </c>
      <c r="G1759" s="2">
        <v>45631</v>
      </c>
      <c r="H1759">
        <v>0</v>
      </c>
      <c r="I1759">
        <v>0</v>
      </c>
      <c r="J1759" s="1">
        <v>128025.01</v>
      </c>
      <c r="K1759" s="1">
        <v>128025.01</v>
      </c>
    </row>
    <row r="1760" spans="1:11" x14ac:dyDescent="0.25">
      <c r="A1760" t="s">
        <v>258</v>
      </c>
      <c r="B1760" t="s">
        <v>2717</v>
      </c>
      <c r="C1760" t="s">
        <v>16</v>
      </c>
      <c r="D1760" t="s">
        <v>4466</v>
      </c>
      <c r="E1760" t="s">
        <v>4431</v>
      </c>
      <c r="F1760" t="s">
        <v>2741</v>
      </c>
      <c r="G1760" s="2">
        <v>45631</v>
      </c>
      <c r="H1760">
        <v>0</v>
      </c>
      <c r="I1760">
        <v>0</v>
      </c>
      <c r="J1760" s="1">
        <v>128025.01</v>
      </c>
      <c r="K1760" s="1">
        <v>128025.01</v>
      </c>
    </row>
    <row r="1761" spans="1:11" x14ac:dyDescent="0.25">
      <c r="A1761" t="s">
        <v>259</v>
      </c>
      <c r="B1761" t="s">
        <v>2698</v>
      </c>
      <c r="C1761" t="s">
        <v>16</v>
      </c>
      <c r="D1761" t="s">
        <v>4465</v>
      </c>
      <c r="E1761" t="s">
        <v>4442</v>
      </c>
      <c r="F1761" t="s">
        <v>2741</v>
      </c>
      <c r="G1761" s="2">
        <v>45631</v>
      </c>
      <c r="H1761">
        <v>0</v>
      </c>
      <c r="I1761">
        <v>0</v>
      </c>
      <c r="J1761" s="1">
        <v>128025.01</v>
      </c>
      <c r="K1761" s="1">
        <v>128025.01</v>
      </c>
    </row>
    <row r="1762" spans="1:11" x14ac:dyDescent="0.25">
      <c r="A1762" t="s">
        <v>261</v>
      </c>
      <c r="B1762" t="s">
        <v>2720</v>
      </c>
      <c r="C1762" t="s">
        <v>16</v>
      </c>
      <c r="D1762" t="s">
        <v>4461</v>
      </c>
      <c r="E1762" t="s">
        <v>4425</v>
      </c>
      <c r="F1762" t="s">
        <v>2741</v>
      </c>
      <c r="G1762" s="2">
        <v>45631</v>
      </c>
      <c r="H1762">
        <v>0</v>
      </c>
      <c r="I1762">
        <v>0</v>
      </c>
      <c r="J1762" s="1">
        <v>128025.01</v>
      </c>
      <c r="K1762" s="1">
        <v>128025.01</v>
      </c>
    </row>
    <row r="1763" spans="1:11" x14ac:dyDescent="0.25">
      <c r="A1763" t="s">
        <v>262</v>
      </c>
      <c r="B1763" t="s">
        <v>2737</v>
      </c>
      <c r="C1763" t="s">
        <v>16</v>
      </c>
      <c r="D1763" t="s">
        <v>4466</v>
      </c>
      <c r="E1763" t="s">
        <v>4432</v>
      </c>
      <c r="F1763" t="s">
        <v>2741</v>
      </c>
      <c r="G1763" s="2">
        <v>45631</v>
      </c>
      <c r="H1763">
        <v>0</v>
      </c>
      <c r="I1763">
        <v>0</v>
      </c>
      <c r="J1763" s="1">
        <v>128025.01</v>
      </c>
      <c r="K1763" s="1">
        <v>128025.01</v>
      </c>
    </row>
    <row r="1764" spans="1:11" x14ac:dyDescent="0.25">
      <c r="A1764" t="s">
        <v>238</v>
      </c>
      <c r="B1764" t="s">
        <v>2725</v>
      </c>
      <c r="C1764" t="s">
        <v>16</v>
      </c>
      <c r="D1764" t="s">
        <v>4465</v>
      </c>
      <c r="E1764" t="s">
        <v>4429</v>
      </c>
      <c r="F1764" t="s">
        <v>2741</v>
      </c>
      <c r="G1764" s="2">
        <v>45632</v>
      </c>
      <c r="H1764">
        <v>0</v>
      </c>
      <c r="I1764">
        <v>0</v>
      </c>
      <c r="J1764" s="1">
        <v>33222.01</v>
      </c>
      <c r="K1764" s="1">
        <v>33222.01</v>
      </c>
    </row>
    <row r="1765" spans="1:11" x14ac:dyDescent="0.25">
      <c r="A1765" t="s">
        <v>236</v>
      </c>
      <c r="B1765" t="s">
        <v>2700</v>
      </c>
      <c r="C1765" t="s">
        <v>27</v>
      </c>
      <c r="D1765" t="s">
        <v>4466</v>
      </c>
      <c r="E1765" t="s">
        <v>4450</v>
      </c>
      <c r="F1765" t="s">
        <v>2741</v>
      </c>
      <c r="G1765" s="2">
        <v>45632</v>
      </c>
      <c r="H1765">
        <v>0</v>
      </c>
      <c r="I1765">
        <v>0</v>
      </c>
      <c r="J1765" s="1">
        <v>125954.01</v>
      </c>
      <c r="K1765" s="1">
        <v>125954.01</v>
      </c>
    </row>
    <row r="1766" spans="1:11" x14ac:dyDescent="0.25">
      <c r="A1766" t="s">
        <v>240</v>
      </c>
      <c r="B1766" t="s">
        <v>2727</v>
      </c>
      <c r="C1766" t="s">
        <v>16</v>
      </c>
      <c r="D1766" t="s">
        <v>4465</v>
      </c>
      <c r="E1766" t="s">
        <v>4445</v>
      </c>
      <c r="F1766" t="s">
        <v>2741</v>
      </c>
      <c r="G1766" s="2">
        <v>45632</v>
      </c>
      <c r="H1766">
        <v>0</v>
      </c>
      <c r="I1766">
        <v>0</v>
      </c>
      <c r="J1766" s="1">
        <v>125954.01</v>
      </c>
      <c r="K1766" s="1">
        <v>125954.01</v>
      </c>
    </row>
    <row r="1767" spans="1:11" x14ac:dyDescent="0.25">
      <c r="A1767" t="s">
        <v>243</v>
      </c>
      <c r="B1767" t="s">
        <v>2722</v>
      </c>
      <c r="C1767" t="s">
        <v>16</v>
      </c>
      <c r="D1767" t="s">
        <v>4462</v>
      </c>
      <c r="E1767" t="s">
        <v>4446</v>
      </c>
      <c r="F1767" t="s">
        <v>2741</v>
      </c>
      <c r="G1767" s="2">
        <v>45632</v>
      </c>
      <c r="H1767">
        <v>0</v>
      </c>
      <c r="I1767">
        <v>0</v>
      </c>
      <c r="J1767" s="1">
        <v>128025.01</v>
      </c>
      <c r="K1767" s="1">
        <v>128025.01</v>
      </c>
    </row>
    <row r="1768" spans="1:11" x14ac:dyDescent="0.25">
      <c r="A1768" t="s">
        <v>244</v>
      </c>
      <c r="B1768" t="s">
        <v>2709</v>
      </c>
      <c r="C1768" t="s">
        <v>42</v>
      </c>
      <c r="D1768" t="s">
        <v>4467</v>
      </c>
      <c r="E1768" t="s">
        <v>4456</v>
      </c>
      <c r="F1768" t="s">
        <v>2741</v>
      </c>
      <c r="G1768" s="2">
        <v>45632</v>
      </c>
      <c r="H1768">
        <v>0</v>
      </c>
      <c r="I1768">
        <v>0</v>
      </c>
      <c r="J1768" s="1">
        <v>125954.01</v>
      </c>
      <c r="K1768" s="1">
        <v>125954.01</v>
      </c>
    </row>
    <row r="1769" spans="1:11" x14ac:dyDescent="0.25">
      <c r="A1769" t="s">
        <v>245</v>
      </c>
      <c r="B1769" t="s">
        <v>2710</v>
      </c>
      <c r="C1769" t="s">
        <v>42</v>
      </c>
      <c r="D1769" t="s">
        <v>4467</v>
      </c>
      <c r="E1769" t="s">
        <v>4436</v>
      </c>
      <c r="F1769" t="s">
        <v>2741</v>
      </c>
      <c r="G1769" s="2">
        <v>45632</v>
      </c>
      <c r="H1769">
        <v>0</v>
      </c>
      <c r="I1769">
        <v>0</v>
      </c>
      <c r="J1769" s="1">
        <v>128025.01</v>
      </c>
      <c r="K1769" s="1">
        <v>128025.01</v>
      </c>
    </row>
    <row r="1770" spans="1:11" x14ac:dyDescent="0.25">
      <c r="A1770" t="s">
        <v>227</v>
      </c>
      <c r="B1770" t="s">
        <v>2713</v>
      </c>
      <c r="C1770" t="s">
        <v>16</v>
      </c>
      <c r="D1770" t="s">
        <v>4465</v>
      </c>
      <c r="E1770" t="s">
        <v>4428</v>
      </c>
      <c r="F1770" t="s">
        <v>2741</v>
      </c>
      <c r="G1770" s="2">
        <v>45634</v>
      </c>
      <c r="H1770">
        <v>0</v>
      </c>
      <c r="I1770">
        <v>0</v>
      </c>
      <c r="J1770" s="1">
        <v>128025.01</v>
      </c>
      <c r="K1770" s="1">
        <v>128025.01</v>
      </c>
    </row>
    <row r="1771" spans="1:11" x14ac:dyDescent="0.25">
      <c r="A1771" t="s">
        <v>220</v>
      </c>
      <c r="B1771" t="s">
        <v>2733</v>
      </c>
      <c r="C1771" t="s">
        <v>16</v>
      </c>
      <c r="D1771" t="s">
        <v>4465</v>
      </c>
      <c r="E1771" t="s">
        <v>4448</v>
      </c>
      <c r="F1771" t="s">
        <v>2741</v>
      </c>
      <c r="G1771" s="2">
        <v>45635</v>
      </c>
      <c r="H1771">
        <v>0</v>
      </c>
      <c r="I1771">
        <v>0</v>
      </c>
      <c r="J1771" s="1">
        <v>128025.01</v>
      </c>
      <c r="K1771" s="1">
        <v>128025.01</v>
      </c>
    </row>
    <row r="1772" spans="1:11" x14ac:dyDescent="0.25">
      <c r="A1772" t="s">
        <v>210</v>
      </c>
      <c r="B1772" t="s">
        <v>2728</v>
      </c>
      <c r="C1772" t="s">
        <v>16</v>
      </c>
      <c r="D1772" t="s">
        <v>4465</v>
      </c>
      <c r="E1772" t="s">
        <v>4439</v>
      </c>
      <c r="F1772" t="s">
        <v>2741</v>
      </c>
      <c r="G1772" s="2">
        <v>45636</v>
      </c>
      <c r="H1772">
        <v>0</v>
      </c>
      <c r="I1772">
        <v>0</v>
      </c>
      <c r="J1772" s="1">
        <v>128025.01</v>
      </c>
      <c r="K1772" s="1">
        <v>128025.01</v>
      </c>
    </row>
    <row r="1773" spans="1:11" x14ac:dyDescent="0.25">
      <c r="A1773" t="s">
        <v>215</v>
      </c>
      <c r="B1773" t="s">
        <v>2711</v>
      </c>
      <c r="C1773" t="s">
        <v>16</v>
      </c>
      <c r="D1773" t="s">
        <v>4461</v>
      </c>
      <c r="E1773" t="s">
        <v>4447</v>
      </c>
      <c r="F1773" t="s">
        <v>2741</v>
      </c>
      <c r="G1773" s="2">
        <v>45636</v>
      </c>
      <c r="H1773">
        <v>0</v>
      </c>
      <c r="I1773">
        <v>0</v>
      </c>
      <c r="J1773" s="1">
        <v>128025.01</v>
      </c>
      <c r="K1773" s="1">
        <v>128025.01</v>
      </c>
    </row>
    <row r="1774" spans="1:11" x14ac:dyDescent="0.25">
      <c r="A1774" t="s">
        <v>216</v>
      </c>
      <c r="B1774" t="s">
        <v>2732</v>
      </c>
      <c r="C1774" t="s">
        <v>16</v>
      </c>
      <c r="D1774" t="s">
        <v>4461</v>
      </c>
      <c r="E1774" t="s">
        <v>4444</v>
      </c>
      <c r="F1774" t="s">
        <v>2741</v>
      </c>
      <c r="G1774" s="2">
        <v>45636</v>
      </c>
      <c r="H1774">
        <v>0</v>
      </c>
      <c r="I1774">
        <v>0</v>
      </c>
      <c r="J1774" s="1">
        <v>125954.01</v>
      </c>
      <c r="K1774" s="1">
        <v>125954.01</v>
      </c>
    </row>
    <row r="1775" spans="1:11" x14ac:dyDescent="0.25">
      <c r="A1775" t="s">
        <v>219</v>
      </c>
      <c r="B1775" t="s">
        <v>2708</v>
      </c>
      <c r="C1775" t="s">
        <v>16</v>
      </c>
      <c r="D1775" t="s">
        <v>4466</v>
      </c>
      <c r="E1775" t="s">
        <v>4457</v>
      </c>
      <c r="F1775" t="s">
        <v>2741</v>
      </c>
      <c r="G1775" s="2">
        <v>45636</v>
      </c>
      <c r="H1775">
        <v>0</v>
      </c>
      <c r="I1775">
        <v>0</v>
      </c>
      <c r="J1775" s="1">
        <v>125954.01</v>
      </c>
      <c r="K1775" s="1">
        <v>125954.01</v>
      </c>
    </row>
    <row r="1776" spans="1:11" x14ac:dyDescent="0.25">
      <c r="A1776" t="s">
        <v>186</v>
      </c>
      <c r="B1776" t="s">
        <v>2729</v>
      </c>
      <c r="C1776" t="s">
        <v>16</v>
      </c>
      <c r="D1776" t="s">
        <v>4465</v>
      </c>
      <c r="E1776" t="s">
        <v>4427</v>
      </c>
      <c r="F1776" t="s">
        <v>2741</v>
      </c>
      <c r="G1776" s="2">
        <v>45640</v>
      </c>
      <c r="H1776">
        <v>0</v>
      </c>
      <c r="I1776">
        <v>0</v>
      </c>
      <c r="J1776" s="1">
        <v>125954.01</v>
      </c>
      <c r="K1776" s="1">
        <v>125954.01</v>
      </c>
    </row>
    <row r="1777" spans="1:11" x14ac:dyDescent="0.25">
      <c r="A1777" t="s">
        <v>174</v>
      </c>
      <c r="B1777" t="s">
        <v>2726</v>
      </c>
      <c r="C1777" t="s">
        <v>16</v>
      </c>
      <c r="D1777" t="s">
        <v>4466</v>
      </c>
      <c r="E1777" t="s">
        <v>4437</v>
      </c>
      <c r="F1777" t="s">
        <v>2741</v>
      </c>
      <c r="G1777" s="2">
        <v>45642</v>
      </c>
      <c r="H1777">
        <v>0</v>
      </c>
      <c r="I1777">
        <v>0</v>
      </c>
      <c r="J1777" s="1">
        <v>128025.01</v>
      </c>
      <c r="K1777" s="1">
        <v>128025.01</v>
      </c>
    </row>
    <row r="1778" spans="1:11" x14ac:dyDescent="0.25">
      <c r="A1778" t="s">
        <v>173</v>
      </c>
      <c r="B1778" t="s">
        <v>2718</v>
      </c>
      <c r="C1778" t="s">
        <v>16</v>
      </c>
      <c r="D1778" t="s">
        <v>4466</v>
      </c>
      <c r="E1778" t="s">
        <v>4438</v>
      </c>
      <c r="F1778" t="s">
        <v>2741</v>
      </c>
      <c r="G1778" s="2">
        <v>45643</v>
      </c>
      <c r="H1778">
        <v>0</v>
      </c>
      <c r="I1778">
        <v>0</v>
      </c>
      <c r="J1778" s="1">
        <v>125954.01</v>
      </c>
      <c r="K1778" s="1">
        <v>125954.01</v>
      </c>
    </row>
    <row r="1779" spans="1:11" x14ac:dyDescent="0.25">
      <c r="A1779" t="s">
        <v>159</v>
      </c>
      <c r="B1779" t="s">
        <v>2724</v>
      </c>
      <c r="C1779" t="s">
        <v>16</v>
      </c>
      <c r="D1779" t="s">
        <v>4462</v>
      </c>
      <c r="E1779" t="s">
        <v>4451</v>
      </c>
      <c r="F1779" t="s">
        <v>2741</v>
      </c>
      <c r="G1779" s="2">
        <v>45644</v>
      </c>
      <c r="H1779">
        <v>0</v>
      </c>
      <c r="I1779">
        <v>0</v>
      </c>
      <c r="J1779" s="1">
        <v>125954.01</v>
      </c>
      <c r="K1779" s="1">
        <v>125954.01</v>
      </c>
    </row>
    <row r="1780" spans="1:11" x14ac:dyDescent="0.25">
      <c r="A1780" t="s">
        <v>148</v>
      </c>
      <c r="B1780" t="s">
        <v>2721</v>
      </c>
      <c r="C1780" t="s">
        <v>16</v>
      </c>
      <c r="D1780" t="s">
        <v>4466</v>
      </c>
      <c r="E1780" t="s">
        <v>4438</v>
      </c>
      <c r="F1780" t="s">
        <v>2741</v>
      </c>
      <c r="G1780" s="2">
        <v>45646</v>
      </c>
      <c r="H1780">
        <v>0</v>
      </c>
      <c r="I1780">
        <v>0</v>
      </c>
      <c r="J1780" s="1">
        <v>125954.01</v>
      </c>
      <c r="K1780" s="1">
        <v>125954.01</v>
      </c>
    </row>
    <row r="1781" spans="1:11" x14ac:dyDescent="0.25">
      <c r="A1781" t="s">
        <v>114</v>
      </c>
      <c r="B1781" t="s">
        <v>2715</v>
      </c>
      <c r="C1781" t="s">
        <v>16</v>
      </c>
      <c r="D1781" t="s">
        <v>4462</v>
      </c>
      <c r="E1781" t="s">
        <v>4454</v>
      </c>
      <c r="F1781" t="s">
        <v>2741</v>
      </c>
      <c r="G1781" s="2">
        <v>45649</v>
      </c>
      <c r="H1781">
        <v>0</v>
      </c>
      <c r="I1781">
        <v>0</v>
      </c>
      <c r="J1781" s="1">
        <v>64912.4</v>
      </c>
      <c r="K1781" s="1">
        <v>64912.4</v>
      </c>
    </row>
    <row r="1782" spans="1:11" x14ac:dyDescent="0.25">
      <c r="A1782" t="s">
        <v>114</v>
      </c>
      <c r="B1782" t="s">
        <v>2715</v>
      </c>
      <c r="C1782" t="s">
        <v>16</v>
      </c>
      <c r="D1782" t="s">
        <v>4462</v>
      </c>
      <c r="E1782" t="s">
        <v>4454</v>
      </c>
      <c r="F1782" t="s">
        <v>2741</v>
      </c>
      <c r="G1782" s="2">
        <v>45649</v>
      </c>
      <c r="H1782">
        <v>0</v>
      </c>
      <c r="I1782">
        <v>0</v>
      </c>
      <c r="J1782" s="1">
        <v>125954.01</v>
      </c>
      <c r="K1782" s="1">
        <v>125954.01</v>
      </c>
    </row>
    <row r="1783" spans="1:11" x14ac:dyDescent="0.25">
      <c r="A1783" t="s">
        <v>114</v>
      </c>
      <c r="B1783" t="s">
        <v>2715</v>
      </c>
      <c r="C1783" t="s">
        <v>16</v>
      </c>
      <c r="D1783" t="s">
        <v>4462</v>
      </c>
      <c r="E1783" t="s">
        <v>4454</v>
      </c>
      <c r="F1783" t="s">
        <v>2741</v>
      </c>
      <c r="G1783" s="2">
        <v>45649</v>
      </c>
      <c r="H1783">
        <v>0</v>
      </c>
      <c r="I1783">
        <v>0</v>
      </c>
      <c r="J1783" s="1">
        <v>92732</v>
      </c>
      <c r="K1783" s="1">
        <v>92732</v>
      </c>
    </row>
    <row r="1784" spans="1:11" x14ac:dyDescent="0.25">
      <c r="A1784" t="s">
        <v>114</v>
      </c>
      <c r="B1784" t="s">
        <v>2715</v>
      </c>
      <c r="C1784" t="s">
        <v>16</v>
      </c>
      <c r="D1784" t="s">
        <v>4462</v>
      </c>
      <c r="E1784" t="s">
        <v>4454</v>
      </c>
      <c r="F1784" t="s">
        <v>2741</v>
      </c>
      <c r="G1784" s="2">
        <v>45649</v>
      </c>
      <c r="H1784">
        <v>0</v>
      </c>
      <c r="I1784">
        <v>0</v>
      </c>
      <c r="J1784" s="1">
        <v>92732</v>
      </c>
      <c r="K1784" s="1">
        <v>92732</v>
      </c>
    </row>
    <row r="1785" spans="1:11" x14ac:dyDescent="0.25">
      <c r="A1785" t="s">
        <v>45</v>
      </c>
      <c r="B1785" t="s">
        <v>2699</v>
      </c>
      <c r="C1785" t="s">
        <v>16</v>
      </c>
      <c r="D1785" t="s">
        <v>4462</v>
      </c>
      <c r="E1785" t="s">
        <v>4440</v>
      </c>
      <c r="F1785" t="s">
        <v>2741</v>
      </c>
      <c r="G1785" s="2">
        <v>45656</v>
      </c>
      <c r="H1785">
        <v>0</v>
      </c>
      <c r="I1785">
        <v>0</v>
      </c>
      <c r="J1785" s="1">
        <v>125954.01</v>
      </c>
      <c r="K1785" s="1">
        <v>125954.01</v>
      </c>
    </row>
    <row r="1786" spans="1:11" x14ac:dyDescent="0.25">
      <c r="A1786" t="s">
        <v>2590</v>
      </c>
      <c r="B1786" t="s">
        <v>2735</v>
      </c>
      <c r="C1786" t="s">
        <v>16</v>
      </c>
      <c r="D1786" t="s">
        <v>4462</v>
      </c>
      <c r="E1786" t="s">
        <v>4426</v>
      </c>
      <c r="F1786" t="s">
        <v>2748</v>
      </c>
      <c r="G1786" s="2">
        <v>45322</v>
      </c>
      <c r="H1786">
        <v>0</v>
      </c>
      <c r="I1786">
        <v>0</v>
      </c>
      <c r="J1786" s="1">
        <v>91511.23</v>
      </c>
      <c r="K1786" s="1">
        <v>91511.23</v>
      </c>
    </row>
    <row r="1787" spans="1:11" x14ac:dyDescent="0.25">
      <c r="A1787" t="s">
        <v>1147</v>
      </c>
      <c r="B1787" t="s">
        <v>2736</v>
      </c>
      <c r="C1787" t="s">
        <v>16</v>
      </c>
      <c r="D1787" t="s">
        <v>4461</v>
      </c>
      <c r="E1787" t="s">
        <v>4459</v>
      </c>
      <c r="F1787" t="s">
        <v>2748</v>
      </c>
      <c r="G1787" s="2">
        <v>45510</v>
      </c>
      <c r="H1787">
        <v>0</v>
      </c>
      <c r="I1787">
        <v>0</v>
      </c>
      <c r="J1787" s="1">
        <v>91511.23</v>
      </c>
      <c r="K1787" s="1">
        <v>91511.23</v>
      </c>
    </row>
    <row r="1788" spans="1:11" x14ac:dyDescent="0.25">
      <c r="A1788" t="s">
        <v>1128</v>
      </c>
      <c r="B1788" t="s">
        <v>2735</v>
      </c>
      <c r="C1788" t="s">
        <v>16</v>
      </c>
      <c r="D1788" t="s">
        <v>4462</v>
      </c>
      <c r="E1788" t="s">
        <v>4426</v>
      </c>
      <c r="F1788" t="s">
        <v>2748</v>
      </c>
      <c r="G1788" s="2">
        <v>45512</v>
      </c>
      <c r="H1788">
        <v>0</v>
      </c>
      <c r="I1788">
        <v>0</v>
      </c>
      <c r="J1788" s="1">
        <v>91511.23</v>
      </c>
      <c r="K1788" s="1">
        <v>91511.23</v>
      </c>
    </row>
    <row r="1789" spans="1:11" x14ac:dyDescent="0.25">
      <c r="A1789" t="s">
        <v>529</v>
      </c>
      <c r="B1789" t="s">
        <v>2730</v>
      </c>
      <c r="C1789" t="s">
        <v>42</v>
      </c>
      <c r="D1789" t="s">
        <v>4467</v>
      </c>
      <c r="E1789" t="s">
        <v>4441</v>
      </c>
      <c r="F1789" t="s">
        <v>2748</v>
      </c>
      <c r="G1789" s="2">
        <v>45597</v>
      </c>
      <c r="H1789">
        <v>0</v>
      </c>
      <c r="I1789">
        <v>0</v>
      </c>
      <c r="J1789" s="1">
        <v>175193.75</v>
      </c>
      <c r="K1789" s="1">
        <v>175193.75</v>
      </c>
    </row>
    <row r="1790" spans="1:11" x14ac:dyDescent="0.25">
      <c r="A1790" t="s">
        <v>491</v>
      </c>
      <c r="B1790" t="s">
        <v>2721</v>
      </c>
      <c r="C1790" t="s">
        <v>16</v>
      </c>
      <c r="D1790" t="s">
        <v>4466</v>
      </c>
      <c r="E1790" t="s">
        <v>4438</v>
      </c>
      <c r="F1790" t="s">
        <v>2748</v>
      </c>
      <c r="G1790" s="2">
        <v>45602</v>
      </c>
      <c r="H1790">
        <v>0</v>
      </c>
      <c r="I1790">
        <v>0</v>
      </c>
      <c r="J1790" s="1">
        <v>82173.58</v>
      </c>
      <c r="K1790" s="1">
        <v>82173.58</v>
      </c>
    </row>
    <row r="1791" spans="1:11" x14ac:dyDescent="0.25">
      <c r="A1791" t="s">
        <v>113</v>
      </c>
      <c r="B1791" t="s">
        <v>2715</v>
      </c>
      <c r="C1791" t="s">
        <v>16</v>
      </c>
      <c r="D1791" t="s">
        <v>4462</v>
      </c>
      <c r="E1791" t="s">
        <v>4454</v>
      </c>
      <c r="F1791" t="s">
        <v>2748</v>
      </c>
      <c r="G1791" s="2">
        <v>45649</v>
      </c>
      <c r="H1791">
        <v>0</v>
      </c>
      <c r="I1791">
        <v>0</v>
      </c>
      <c r="J1791" s="1">
        <v>91511.23</v>
      </c>
      <c r="K1791" s="1">
        <v>91511.23</v>
      </c>
    </row>
    <row r="1792" spans="1:11" x14ac:dyDescent="0.25">
      <c r="A1792" t="s">
        <v>2648</v>
      </c>
      <c r="B1792" t="s">
        <v>2717</v>
      </c>
      <c r="C1792" t="s">
        <v>16</v>
      </c>
      <c r="D1792" t="s">
        <v>4466</v>
      </c>
      <c r="E1792" t="s">
        <v>4431</v>
      </c>
      <c r="F1792" t="s">
        <v>2749</v>
      </c>
      <c r="G1792" s="2">
        <v>45313</v>
      </c>
      <c r="H1792">
        <v>0</v>
      </c>
      <c r="I1792">
        <v>0</v>
      </c>
      <c r="J1792" s="1">
        <v>2662.52</v>
      </c>
      <c r="K1792" s="1">
        <v>2662.52</v>
      </c>
    </row>
    <row r="1793" spans="1:11" x14ac:dyDescent="0.25">
      <c r="A1793" t="s">
        <v>2621</v>
      </c>
      <c r="B1793" t="s">
        <v>2733</v>
      </c>
      <c r="C1793" t="s">
        <v>16</v>
      </c>
      <c r="D1793" t="s">
        <v>4465</v>
      </c>
      <c r="E1793" t="s">
        <v>4448</v>
      </c>
      <c r="F1793" t="s">
        <v>2749</v>
      </c>
      <c r="G1793" s="2">
        <v>45317</v>
      </c>
      <c r="H1793">
        <v>0</v>
      </c>
      <c r="I1793">
        <v>0</v>
      </c>
      <c r="J1793" s="1">
        <v>7013.73</v>
      </c>
      <c r="K1793" s="1">
        <v>7013.73</v>
      </c>
    </row>
    <row r="1794" spans="1:11" x14ac:dyDescent="0.25">
      <c r="A1794" t="s">
        <v>2590</v>
      </c>
      <c r="B1794" t="s">
        <v>2735</v>
      </c>
      <c r="C1794" t="s">
        <v>16</v>
      </c>
      <c r="D1794" t="s">
        <v>4462</v>
      </c>
      <c r="E1794" t="s">
        <v>4426</v>
      </c>
      <c r="F1794" t="s">
        <v>2749</v>
      </c>
      <c r="G1794" s="2">
        <v>45322</v>
      </c>
      <c r="H1794">
        <v>0</v>
      </c>
      <c r="I1794">
        <v>0</v>
      </c>
      <c r="J1794" s="1">
        <v>9151.1200000000008</v>
      </c>
      <c r="K1794" s="1">
        <v>9151.1200000000008</v>
      </c>
    </row>
    <row r="1795" spans="1:11" x14ac:dyDescent="0.25">
      <c r="A1795" t="s">
        <v>1147</v>
      </c>
      <c r="B1795" t="s">
        <v>2736</v>
      </c>
      <c r="C1795" t="s">
        <v>16</v>
      </c>
      <c r="D1795" t="s">
        <v>4461</v>
      </c>
      <c r="E1795" t="s">
        <v>4459</v>
      </c>
      <c r="F1795" t="s">
        <v>2749</v>
      </c>
      <c r="G1795" s="2">
        <v>45510</v>
      </c>
      <c r="H1795">
        <v>0</v>
      </c>
      <c r="I1795">
        <v>0</v>
      </c>
      <c r="J1795" s="1">
        <v>9151.1200000000008</v>
      </c>
      <c r="K1795" s="1">
        <v>9151.1200000000008</v>
      </c>
    </row>
    <row r="1796" spans="1:11" x14ac:dyDescent="0.25">
      <c r="A1796" t="s">
        <v>1128</v>
      </c>
      <c r="B1796" t="s">
        <v>2735</v>
      </c>
      <c r="C1796" t="s">
        <v>16</v>
      </c>
      <c r="D1796" t="s">
        <v>4462</v>
      </c>
      <c r="E1796" t="s">
        <v>4426</v>
      </c>
      <c r="F1796" t="s">
        <v>2749</v>
      </c>
      <c r="G1796" s="2">
        <v>45512</v>
      </c>
      <c r="H1796">
        <v>0</v>
      </c>
      <c r="I1796">
        <v>0</v>
      </c>
      <c r="J1796" s="1">
        <v>9151.1200000000008</v>
      </c>
      <c r="K1796" s="1">
        <v>9151.1200000000008</v>
      </c>
    </row>
    <row r="1797" spans="1:11" x14ac:dyDescent="0.25">
      <c r="A1797" t="s">
        <v>1069</v>
      </c>
      <c r="B1797" t="s">
        <v>2708</v>
      </c>
      <c r="C1797" t="s">
        <v>16</v>
      </c>
      <c r="D1797" t="s">
        <v>4466</v>
      </c>
      <c r="E1797" t="s">
        <v>4457</v>
      </c>
      <c r="F1797" t="s">
        <v>2749</v>
      </c>
      <c r="G1797" s="2">
        <v>45519</v>
      </c>
      <c r="H1797">
        <v>0</v>
      </c>
      <c r="I1797">
        <v>0</v>
      </c>
      <c r="J1797" s="1">
        <v>9151.1200000000008</v>
      </c>
      <c r="K1797" s="1">
        <v>9151.1200000000008</v>
      </c>
    </row>
    <row r="1798" spans="1:11" x14ac:dyDescent="0.25">
      <c r="A1798" t="s">
        <v>529</v>
      </c>
      <c r="B1798" t="s">
        <v>2730</v>
      </c>
      <c r="C1798" t="s">
        <v>42</v>
      </c>
      <c r="D1798" t="s">
        <v>4467</v>
      </c>
      <c r="E1798" t="s">
        <v>4441</v>
      </c>
      <c r="F1798" t="s">
        <v>2749</v>
      </c>
      <c r="G1798" s="2">
        <v>45597</v>
      </c>
      <c r="H1798">
        <v>0</v>
      </c>
      <c r="I1798">
        <v>0</v>
      </c>
      <c r="J1798" s="1">
        <v>17519.38</v>
      </c>
      <c r="K1798" s="1">
        <v>17519.38</v>
      </c>
    </row>
    <row r="1799" spans="1:11" x14ac:dyDescent="0.25">
      <c r="A1799" t="s">
        <v>491</v>
      </c>
      <c r="B1799" t="s">
        <v>2721</v>
      </c>
      <c r="C1799" t="s">
        <v>16</v>
      </c>
      <c r="D1799" t="s">
        <v>4466</v>
      </c>
      <c r="E1799" t="s">
        <v>4438</v>
      </c>
      <c r="F1799" t="s">
        <v>2749</v>
      </c>
      <c r="G1799" s="2">
        <v>45602</v>
      </c>
      <c r="H1799">
        <v>0</v>
      </c>
      <c r="I1799">
        <v>0</v>
      </c>
      <c r="J1799" s="1">
        <v>8217.36</v>
      </c>
      <c r="K1799" s="1">
        <v>8217.36</v>
      </c>
    </row>
    <row r="1800" spans="1:11" x14ac:dyDescent="0.25">
      <c r="A1800" t="s">
        <v>113</v>
      </c>
      <c r="B1800" t="s">
        <v>2715</v>
      </c>
      <c r="C1800" t="s">
        <v>16</v>
      </c>
      <c r="D1800" t="s">
        <v>4462</v>
      </c>
      <c r="E1800" t="s">
        <v>4454</v>
      </c>
      <c r="F1800" t="s">
        <v>2749</v>
      </c>
      <c r="G1800" s="2">
        <v>45649</v>
      </c>
      <c r="H1800">
        <v>0</v>
      </c>
      <c r="I1800">
        <v>0</v>
      </c>
      <c r="J1800" s="1">
        <v>9151.1200000000008</v>
      </c>
      <c r="K1800" s="1">
        <v>9151.1200000000008</v>
      </c>
    </row>
    <row r="1801" spans="1:11" x14ac:dyDescent="0.25">
      <c r="A1801" t="s">
        <v>1616</v>
      </c>
      <c r="B1801" t="s">
        <v>2717</v>
      </c>
      <c r="C1801" t="s">
        <v>16</v>
      </c>
      <c r="D1801" t="s">
        <v>4466</v>
      </c>
      <c r="E1801" t="s">
        <v>4431</v>
      </c>
      <c r="F1801" t="s">
        <v>4484</v>
      </c>
      <c r="G1801" s="2">
        <v>45448</v>
      </c>
      <c r="H1801">
        <v>0</v>
      </c>
      <c r="I1801">
        <v>0</v>
      </c>
      <c r="J1801" s="1">
        <v>250000</v>
      </c>
      <c r="K1801" s="1">
        <v>250000</v>
      </c>
    </row>
    <row r="1802" spans="1:11" x14ac:dyDescent="0.25">
      <c r="A1802" t="s">
        <v>2678</v>
      </c>
      <c r="B1802" t="s">
        <v>2717</v>
      </c>
      <c r="C1802" t="s">
        <v>16</v>
      </c>
      <c r="D1802" t="s">
        <v>4466</v>
      </c>
      <c r="E1802" t="s">
        <v>4431</v>
      </c>
      <c r="F1802" t="s">
        <v>2744</v>
      </c>
      <c r="G1802" s="2">
        <v>45310</v>
      </c>
      <c r="H1802">
        <v>0</v>
      </c>
      <c r="I1802">
        <v>0</v>
      </c>
      <c r="J1802" s="1">
        <v>150000</v>
      </c>
      <c r="K1802" s="1">
        <v>150000</v>
      </c>
    </row>
    <row r="1803" spans="1:11" x14ac:dyDescent="0.25">
      <c r="A1803" t="s">
        <v>1462</v>
      </c>
      <c r="B1803" t="s">
        <v>2736</v>
      </c>
      <c r="C1803" t="s">
        <v>16</v>
      </c>
      <c r="D1803" t="s">
        <v>4461</v>
      </c>
      <c r="E1803" t="s">
        <v>4459</v>
      </c>
      <c r="F1803" t="s">
        <v>2744</v>
      </c>
      <c r="G1803" s="2">
        <v>45469</v>
      </c>
      <c r="H1803">
        <v>0</v>
      </c>
      <c r="I1803">
        <v>0</v>
      </c>
      <c r="J1803" s="1">
        <v>5000</v>
      </c>
      <c r="K1803" s="1">
        <v>5000</v>
      </c>
    </row>
    <row r="1804" spans="1:11" x14ac:dyDescent="0.25">
      <c r="A1804" t="s">
        <v>1455</v>
      </c>
      <c r="B1804" t="s">
        <v>2723</v>
      </c>
      <c r="C1804" t="s">
        <v>16</v>
      </c>
      <c r="D1804" t="s">
        <v>4462</v>
      </c>
      <c r="E1804" t="s">
        <v>4443</v>
      </c>
      <c r="F1804" t="s">
        <v>2744</v>
      </c>
      <c r="G1804" s="2">
        <v>45470</v>
      </c>
      <c r="H1804">
        <v>0</v>
      </c>
      <c r="I1804">
        <v>0</v>
      </c>
      <c r="J1804" s="1">
        <v>5000</v>
      </c>
      <c r="K1804" s="1">
        <v>5000</v>
      </c>
    </row>
    <row r="1805" spans="1:11" x14ac:dyDescent="0.25">
      <c r="A1805" t="s">
        <v>1458</v>
      </c>
      <c r="B1805" t="s">
        <v>2713</v>
      </c>
      <c r="C1805" t="s">
        <v>16</v>
      </c>
      <c r="D1805" t="s">
        <v>4465</v>
      </c>
      <c r="E1805" t="s">
        <v>4428</v>
      </c>
      <c r="F1805" t="s">
        <v>2744</v>
      </c>
      <c r="G1805" s="2">
        <v>45470</v>
      </c>
      <c r="H1805">
        <v>0</v>
      </c>
      <c r="I1805">
        <v>0</v>
      </c>
      <c r="J1805" s="1">
        <v>5000</v>
      </c>
      <c r="K1805" s="1">
        <v>5000</v>
      </c>
    </row>
    <row r="1806" spans="1:11" x14ac:dyDescent="0.25">
      <c r="A1806" t="s">
        <v>1444</v>
      </c>
      <c r="B1806" t="s">
        <v>2728</v>
      </c>
      <c r="C1806" t="s">
        <v>16</v>
      </c>
      <c r="D1806" t="s">
        <v>4465</v>
      </c>
      <c r="E1806" t="s">
        <v>4439</v>
      </c>
      <c r="F1806" t="s">
        <v>2744</v>
      </c>
      <c r="G1806" s="2">
        <v>45471</v>
      </c>
      <c r="H1806">
        <v>0</v>
      </c>
      <c r="I1806">
        <v>0</v>
      </c>
      <c r="J1806" s="1">
        <v>5000</v>
      </c>
      <c r="K1806" s="1">
        <v>5000</v>
      </c>
    </row>
    <row r="1807" spans="1:11" x14ac:dyDescent="0.25">
      <c r="A1807" t="s">
        <v>673</v>
      </c>
      <c r="B1807" t="s">
        <v>2698</v>
      </c>
      <c r="C1807" t="s">
        <v>16</v>
      </c>
      <c r="D1807" t="s">
        <v>4465</v>
      </c>
      <c r="E1807" t="s">
        <v>4442</v>
      </c>
      <c r="F1807" t="s">
        <v>2744</v>
      </c>
      <c r="G1807" s="2">
        <v>45576</v>
      </c>
      <c r="H1807">
        <v>0</v>
      </c>
      <c r="I1807">
        <v>0</v>
      </c>
      <c r="J1807" s="1">
        <v>5000</v>
      </c>
      <c r="K1807" s="1">
        <v>5000</v>
      </c>
    </row>
    <row r="1808" spans="1:11" x14ac:dyDescent="0.25">
      <c r="A1808" t="s">
        <v>600</v>
      </c>
      <c r="B1808" t="s">
        <v>2708</v>
      </c>
      <c r="C1808" t="s">
        <v>16</v>
      </c>
      <c r="D1808" t="s">
        <v>4466</v>
      </c>
      <c r="E1808" t="s">
        <v>4457</v>
      </c>
      <c r="F1808" t="s">
        <v>2744</v>
      </c>
      <c r="G1808" s="2">
        <v>45589</v>
      </c>
      <c r="H1808">
        <v>0</v>
      </c>
      <c r="I1808">
        <v>0</v>
      </c>
      <c r="J1808" s="1">
        <v>5000</v>
      </c>
      <c r="K1808" s="1">
        <v>5000</v>
      </c>
    </row>
    <row r="1809" spans="1:11" x14ac:dyDescent="0.25">
      <c r="A1809" t="s">
        <v>2695</v>
      </c>
      <c r="B1809" t="s">
        <v>2720</v>
      </c>
      <c r="C1809" t="s">
        <v>16</v>
      </c>
      <c r="D1809" t="s">
        <v>4461</v>
      </c>
      <c r="E1809" t="s">
        <v>4425</v>
      </c>
      <c r="F1809" t="s">
        <v>2443</v>
      </c>
      <c r="G1809" s="2">
        <v>45302</v>
      </c>
      <c r="H1809">
        <v>0</v>
      </c>
      <c r="I1809">
        <v>0</v>
      </c>
      <c r="J1809" s="1">
        <v>111308.86</v>
      </c>
      <c r="K1809" s="1">
        <v>111308.86</v>
      </c>
    </row>
    <row r="1810" spans="1:11" x14ac:dyDescent="0.25">
      <c r="A1810" t="s">
        <v>2687</v>
      </c>
      <c r="B1810" t="s">
        <v>2735</v>
      </c>
      <c r="C1810" t="s">
        <v>16</v>
      </c>
      <c r="D1810" t="s">
        <v>4462</v>
      </c>
      <c r="E1810" t="s">
        <v>4426</v>
      </c>
      <c r="F1810" t="s">
        <v>2443</v>
      </c>
      <c r="G1810" s="2">
        <v>45307</v>
      </c>
      <c r="H1810">
        <v>0</v>
      </c>
      <c r="I1810">
        <v>0</v>
      </c>
      <c r="J1810" s="1">
        <v>145500</v>
      </c>
      <c r="K1810" s="1">
        <v>145500</v>
      </c>
    </row>
    <row r="1811" spans="1:11" x14ac:dyDescent="0.25">
      <c r="A1811" t="s">
        <v>2685</v>
      </c>
      <c r="B1811" t="s">
        <v>2713</v>
      </c>
      <c r="C1811" t="s">
        <v>16</v>
      </c>
      <c r="D1811" t="s">
        <v>4465</v>
      </c>
      <c r="E1811" t="s">
        <v>4428</v>
      </c>
      <c r="F1811" t="s">
        <v>2443</v>
      </c>
      <c r="G1811" s="2">
        <v>45308</v>
      </c>
      <c r="H1811">
        <v>0</v>
      </c>
      <c r="I1811">
        <v>0</v>
      </c>
      <c r="J1811" s="1">
        <v>145500</v>
      </c>
      <c r="K1811" s="1">
        <v>145500</v>
      </c>
    </row>
    <row r="1812" spans="1:11" x14ac:dyDescent="0.25">
      <c r="A1812" t="s">
        <v>2682</v>
      </c>
      <c r="B1812" t="s">
        <v>2725</v>
      </c>
      <c r="C1812" t="s">
        <v>16</v>
      </c>
      <c r="D1812" t="s">
        <v>4465</v>
      </c>
      <c r="E1812" t="s">
        <v>4429</v>
      </c>
      <c r="F1812" t="s">
        <v>2443</v>
      </c>
      <c r="G1812" s="2">
        <v>45309</v>
      </c>
      <c r="H1812">
        <v>0</v>
      </c>
      <c r="I1812">
        <v>0</v>
      </c>
      <c r="J1812" s="1">
        <v>145500</v>
      </c>
      <c r="K1812" s="1">
        <v>145500</v>
      </c>
    </row>
    <row r="1813" spans="1:11" x14ac:dyDescent="0.25">
      <c r="A1813" t="s">
        <v>2659</v>
      </c>
      <c r="B1813" t="s">
        <v>2726</v>
      </c>
      <c r="C1813" t="s">
        <v>16</v>
      </c>
      <c r="D1813" t="s">
        <v>4466</v>
      </c>
      <c r="E1813" t="s">
        <v>4437</v>
      </c>
      <c r="F1813" t="s">
        <v>2443</v>
      </c>
      <c r="G1813" s="2">
        <v>45310</v>
      </c>
      <c r="H1813">
        <v>0</v>
      </c>
      <c r="I1813">
        <v>0</v>
      </c>
      <c r="J1813" s="1">
        <v>145500</v>
      </c>
      <c r="K1813" s="1">
        <v>145500</v>
      </c>
    </row>
    <row r="1814" spans="1:11" x14ac:dyDescent="0.25">
      <c r="A1814" t="s">
        <v>2653</v>
      </c>
      <c r="B1814" t="s">
        <v>2721</v>
      </c>
      <c r="C1814" t="s">
        <v>16</v>
      </c>
      <c r="D1814" t="s">
        <v>4466</v>
      </c>
      <c r="E1814" t="s">
        <v>4438</v>
      </c>
      <c r="F1814" t="s">
        <v>2443</v>
      </c>
      <c r="G1814" s="2">
        <v>45311</v>
      </c>
      <c r="H1814">
        <v>0</v>
      </c>
      <c r="I1814">
        <v>0</v>
      </c>
      <c r="J1814" s="1">
        <v>145500</v>
      </c>
      <c r="K1814" s="1">
        <v>145500</v>
      </c>
    </row>
    <row r="1815" spans="1:11" x14ac:dyDescent="0.25">
      <c r="A1815" t="s">
        <v>2636</v>
      </c>
      <c r="B1815" t="s">
        <v>2730</v>
      </c>
      <c r="C1815" t="s">
        <v>42</v>
      </c>
      <c r="D1815" t="s">
        <v>4467</v>
      </c>
      <c r="E1815" t="s">
        <v>4441</v>
      </c>
      <c r="F1815" t="s">
        <v>2443</v>
      </c>
      <c r="G1815" s="2">
        <v>45313</v>
      </c>
      <c r="H1815">
        <v>0</v>
      </c>
      <c r="I1815">
        <v>0</v>
      </c>
      <c r="J1815" s="1">
        <v>145500</v>
      </c>
      <c r="K1815" s="1">
        <v>145500</v>
      </c>
    </row>
    <row r="1816" spans="1:11" x14ac:dyDescent="0.25">
      <c r="A1816" t="s">
        <v>2634</v>
      </c>
      <c r="B1816" t="s">
        <v>2727</v>
      </c>
      <c r="C1816" t="s">
        <v>16</v>
      </c>
      <c r="D1816" t="s">
        <v>4465</v>
      </c>
      <c r="E1816" t="s">
        <v>4445</v>
      </c>
      <c r="F1816" t="s">
        <v>2443</v>
      </c>
      <c r="G1816" s="2">
        <v>45314</v>
      </c>
      <c r="H1816">
        <v>0</v>
      </c>
      <c r="I1816">
        <v>0</v>
      </c>
      <c r="J1816" s="1">
        <v>145500</v>
      </c>
      <c r="K1816" s="1">
        <v>145500</v>
      </c>
    </row>
    <row r="1817" spans="1:11" x14ac:dyDescent="0.25">
      <c r="A1817" t="s">
        <v>2623</v>
      </c>
      <c r="B1817" t="s">
        <v>2711</v>
      </c>
      <c r="C1817" t="s">
        <v>16</v>
      </c>
      <c r="D1817" t="s">
        <v>4461</v>
      </c>
      <c r="E1817" t="s">
        <v>4447</v>
      </c>
      <c r="F1817" t="s">
        <v>2443</v>
      </c>
      <c r="G1817" s="2">
        <v>45316</v>
      </c>
      <c r="H1817">
        <v>0</v>
      </c>
      <c r="I1817">
        <v>0</v>
      </c>
      <c r="J1817" s="1">
        <v>145500</v>
      </c>
      <c r="K1817" s="1">
        <v>145500</v>
      </c>
    </row>
    <row r="1818" spans="1:11" x14ac:dyDescent="0.25">
      <c r="A1818" t="s">
        <v>2621</v>
      </c>
      <c r="B1818" t="s">
        <v>2733</v>
      </c>
      <c r="C1818" t="s">
        <v>16</v>
      </c>
      <c r="D1818" t="s">
        <v>4465</v>
      </c>
      <c r="E1818" t="s">
        <v>4448</v>
      </c>
      <c r="F1818" t="s">
        <v>2443</v>
      </c>
      <c r="G1818" s="2">
        <v>45317</v>
      </c>
      <c r="H1818">
        <v>0</v>
      </c>
      <c r="I1818">
        <v>0</v>
      </c>
      <c r="J1818" s="1">
        <v>145500</v>
      </c>
      <c r="K1818" s="1">
        <v>145500</v>
      </c>
    </row>
    <row r="1819" spans="1:11" x14ac:dyDescent="0.25">
      <c r="A1819" t="s">
        <v>2619</v>
      </c>
      <c r="B1819" t="s">
        <v>2699</v>
      </c>
      <c r="C1819" t="s">
        <v>16</v>
      </c>
      <c r="D1819" t="s">
        <v>4462</v>
      </c>
      <c r="E1819" t="s">
        <v>4440</v>
      </c>
      <c r="F1819" t="s">
        <v>2443</v>
      </c>
      <c r="G1819" s="2">
        <v>45318</v>
      </c>
      <c r="H1819">
        <v>0</v>
      </c>
      <c r="I1819">
        <v>0</v>
      </c>
      <c r="J1819" s="1">
        <v>145500</v>
      </c>
      <c r="K1819" s="1">
        <v>145500</v>
      </c>
    </row>
    <row r="1820" spans="1:11" x14ac:dyDescent="0.25">
      <c r="A1820" t="s">
        <v>2611</v>
      </c>
      <c r="B1820" t="s">
        <v>2700</v>
      </c>
      <c r="C1820" t="s">
        <v>27</v>
      </c>
      <c r="D1820" t="s">
        <v>4466</v>
      </c>
      <c r="E1820" t="s">
        <v>4450</v>
      </c>
      <c r="F1820" t="s">
        <v>2443</v>
      </c>
      <c r="G1820" s="2">
        <v>45320</v>
      </c>
      <c r="H1820">
        <v>0</v>
      </c>
      <c r="I1820">
        <v>0</v>
      </c>
      <c r="J1820" s="1">
        <v>145500</v>
      </c>
      <c r="K1820" s="1">
        <v>145500</v>
      </c>
    </row>
    <row r="1821" spans="1:11" x14ac:dyDescent="0.25">
      <c r="A1821" t="s">
        <v>2601</v>
      </c>
      <c r="B1821" t="s">
        <v>2710</v>
      </c>
      <c r="C1821" t="s">
        <v>42</v>
      </c>
      <c r="D1821" t="s">
        <v>4467</v>
      </c>
      <c r="E1821" t="s">
        <v>4436</v>
      </c>
      <c r="F1821" t="s">
        <v>2443</v>
      </c>
      <c r="G1821" s="2">
        <v>45322</v>
      </c>
      <c r="H1821">
        <v>0</v>
      </c>
      <c r="I1821">
        <v>0</v>
      </c>
      <c r="J1821" s="1">
        <v>145500</v>
      </c>
      <c r="K1821" s="1">
        <v>145500</v>
      </c>
    </row>
    <row r="1822" spans="1:11" x14ac:dyDescent="0.25">
      <c r="A1822" t="s">
        <v>2577</v>
      </c>
      <c r="B1822" t="s">
        <v>2699</v>
      </c>
      <c r="C1822" t="s">
        <v>16</v>
      </c>
      <c r="D1822" t="s">
        <v>4462</v>
      </c>
      <c r="E1822" t="s">
        <v>4440</v>
      </c>
      <c r="F1822" t="s">
        <v>2443</v>
      </c>
      <c r="G1822" s="2">
        <v>45324</v>
      </c>
      <c r="H1822">
        <v>0</v>
      </c>
      <c r="I1822">
        <v>0</v>
      </c>
      <c r="J1822" s="1">
        <v>145500</v>
      </c>
      <c r="K1822" s="1">
        <v>145500</v>
      </c>
    </row>
    <row r="1823" spans="1:11" x14ac:dyDescent="0.25">
      <c r="A1823" t="s">
        <v>2558</v>
      </c>
      <c r="B1823" t="s">
        <v>2725</v>
      </c>
      <c r="C1823" t="s">
        <v>16</v>
      </c>
      <c r="D1823" t="s">
        <v>4465</v>
      </c>
      <c r="E1823" t="s">
        <v>4429</v>
      </c>
      <c r="F1823" t="s">
        <v>2443</v>
      </c>
      <c r="G1823" s="2">
        <v>45327</v>
      </c>
      <c r="H1823">
        <v>0</v>
      </c>
      <c r="I1823">
        <v>0</v>
      </c>
      <c r="J1823" s="1">
        <v>145500</v>
      </c>
      <c r="K1823" s="1">
        <v>145500</v>
      </c>
    </row>
    <row r="1824" spans="1:11" x14ac:dyDescent="0.25">
      <c r="A1824" t="s">
        <v>2540</v>
      </c>
      <c r="B1824" t="s">
        <v>2700</v>
      </c>
      <c r="C1824" t="s">
        <v>27</v>
      </c>
      <c r="D1824" t="s">
        <v>4466</v>
      </c>
      <c r="E1824" t="s">
        <v>4450</v>
      </c>
      <c r="F1824" t="s">
        <v>2443</v>
      </c>
      <c r="G1824" s="2">
        <v>45331</v>
      </c>
      <c r="H1824">
        <v>0</v>
      </c>
      <c r="I1824">
        <v>0</v>
      </c>
      <c r="J1824" s="1">
        <v>145500</v>
      </c>
      <c r="K1824" s="1">
        <v>145500</v>
      </c>
    </row>
    <row r="1825" spans="1:11" x14ac:dyDescent="0.25">
      <c r="A1825" t="s">
        <v>2524</v>
      </c>
      <c r="B1825" t="s">
        <v>2730</v>
      </c>
      <c r="C1825" t="s">
        <v>42</v>
      </c>
      <c r="D1825" t="s">
        <v>4467</v>
      </c>
      <c r="E1825" t="s">
        <v>4441</v>
      </c>
      <c r="F1825" t="s">
        <v>2443</v>
      </c>
      <c r="G1825" s="2">
        <v>45334</v>
      </c>
      <c r="H1825">
        <v>0</v>
      </c>
      <c r="I1825">
        <v>0</v>
      </c>
      <c r="J1825" s="1">
        <v>145500</v>
      </c>
      <c r="K1825" s="1">
        <v>145500</v>
      </c>
    </row>
    <row r="1826" spans="1:11" x14ac:dyDescent="0.25">
      <c r="A1826" t="s">
        <v>2523</v>
      </c>
      <c r="B1826" t="s">
        <v>2725</v>
      </c>
      <c r="C1826" t="s">
        <v>16</v>
      </c>
      <c r="D1826" t="s">
        <v>4465</v>
      </c>
      <c r="E1826" t="s">
        <v>4429</v>
      </c>
      <c r="F1826" t="s">
        <v>2443</v>
      </c>
      <c r="G1826" s="2">
        <v>45334</v>
      </c>
      <c r="H1826">
        <v>0</v>
      </c>
      <c r="I1826">
        <v>0</v>
      </c>
      <c r="J1826" s="1">
        <v>628345.46</v>
      </c>
      <c r="K1826" s="1">
        <v>628345.46</v>
      </c>
    </row>
    <row r="1827" spans="1:11" x14ac:dyDescent="0.25">
      <c r="A1827" t="s">
        <v>2510</v>
      </c>
      <c r="B1827" t="s">
        <v>2713</v>
      </c>
      <c r="C1827" t="s">
        <v>16</v>
      </c>
      <c r="D1827" t="s">
        <v>4465</v>
      </c>
      <c r="E1827" t="s">
        <v>4428</v>
      </c>
      <c r="F1827" t="s">
        <v>2443</v>
      </c>
      <c r="G1827" s="2">
        <v>45336</v>
      </c>
      <c r="H1827">
        <v>0</v>
      </c>
      <c r="I1827">
        <v>0</v>
      </c>
      <c r="J1827" s="1">
        <v>145500</v>
      </c>
      <c r="K1827" s="1">
        <v>291000</v>
      </c>
    </row>
    <row r="1828" spans="1:11" x14ac:dyDescent="0.25">
      <c r="A1828" t="s">
        <v>2481</v>
      </c>
      <c r="B1828" t="s">
        <v>2711</v>
      </c>
      <c r="C1828" t="s">
        <v>16</v>
      </c>
      <c r="D1828" t="s">
        <v>4461</v>
      </c>
      <c r="E1828" t="s">
        <v>4447</v>
      </c>
      <c r="F1828" t="s">
        <v>2443</v>
      </c>
      <c r="G1828" s="2">
        <v>45341</v>
      </c>
      <c r="H1828">
        <v>0</v>
      </c>
      <c r="I1828">
        <v>0</v>
      </c>
      <c r="J1828" s="1">
        <v>145500</v>
      </c>
      <c r="K1828" s="1">
        <v>145500</v>
      </c>
    </row>
    <row r="1829" spans="1:11" x14ac:dyDescent="0.25">
      <c r="A1829" t="s">
        <v>2460</v>
      </c>
      <c r="B1829" t="s">
        <v>2707</v>
      </c>
      <c r="C1829" t="s">
        <v>16</v>
      </c>
      <c r="D1829" t="s">
        <v>4462</v>
      </c>
      <c r="E1829" t="s">
        <v>4433</v>
      </c>
      <c r="F1829" t="s">
        <v>2443</v>
      </c>
      <c r="G1829" s="2">
        <v>45342</v>
      </c>
      <c r="H1829">
        <v>0</v>
      </c>
      <c r="I1829">
        <v>0</v>
      </c>
      <c r="J1829" s="1">
        <v>42343.199999999997</v>
      </c>
      <c r="K1829" s="1">
        <v>42343.199999999997</v>
      </c>
    </row>
    <row r="1830" spans="1:11" x14ac:dyDescent="0.25">
      <c r="A1830" t="s">
        <v>2465</v>
      </c>
      <c r="B1830" t="s">
        <v>2711</v>
      </c>
      <c r="C1830" t="s">
        <v>16</v>
      </c>
      <c r="D1830" t="s">
        <v>4461</v>
      </c>
      <c r="E1830" t="s">
        <v>4447</v>
      </c>
      <c r="F1830" t="s">
        <v>2443</v>
      </c>
      <c r="G1830" s="2">
        <v>45342</v>
      </c>
      <c r="H1830">
        <v>0</v>
      </c>
      <c r="I1830">
        <v>0</v>
      </c>
      <c r="J1830" s="1">
        <v>103974.87</v>
      </c>
      <c r="K1830" s="1">
        <v>103974.87</v>
      </c>
    </row>
    <row r="1831" spans="1:11" x14ac:dyDescent="0.25">
      <c r="A1831" t="s">
        <v>2452</v>
      </c>
      <c r="B1831" t="s">
        <v>2723</v>
      </c>
      <c r="C1831" t="s">
        <v>16</v>
      </c>
      <c r="D1831" t="s">
        <v>4462</v>
      </c>
      <c r="E1831" t="s">
        <v>4443</v>
      </c>
      <c r="F1831" t="s">
        <v>2443</v>
      </c>
      <c r="G1831" s="2">
        <v>45343</v>
      </c>
      <c r="H1831">
        <v>0</v>
      </c>
      <c r="I1831">
        <v>0</v>
      </c>
      <c r="J1831" s="1">
        <v>792308.86</v>
      </c>
      <c r="K1831" s="1">
        <v>792308.86</v>
      </c>
    </row>
    <row r="1832" spans="1:11" x14ac:dyDescent="0.25">
      <c r="A1832" t="s">
        <v>2455</v>
      </c>
      <c r="B1832" t="s">
        <v>2735</v>
      </c>
      <c r="C1832" t="s">
        <v>16</v>
      </c>
      <c r="D1832" t="s">
        <v>4462</v>
      </c>
      <c r="E1832" t="s">
        <v>4426</v>
      </c>
      <c r="F1832" t="s">
        <v>2443</v>
      </c>
      <c r="G1832" s="2">
        <v>45343</v>
      </c>
      <c r="H1832">
        <v>0</v>
      </c>
      <c r="I1832">
        <v>0</v>
      </c>
      <c r="J1832" s="1">
        <v>145500</v>
      </c>
      <c r="K1832" s="1">
        <v>145500</v>
      </c>
    </row>
    <row r="1833" spans="1:11" x14ac:dyDescent="0.25">
      <c r="A1833" t="s">
        <v>2455</v>
      </c>
      <c r="B1833" t="s">
        <v>2735</v>
      </c>
      <c r="C1833" t="s">
        <v>16</v>
      </c>
      <c r="D1833" t="s">
        <v>4462</v>
      </c>
      <c r="E1833" t="s">
        <v>4426</v>
      </c>
      <c r="F1833" t="s">
        <v>2443</v>
      </c>
      <c r="G1833" s="2">
        <v>45343</v>
      </c>
      <c r="H1833">
        <v>0</v>
      </c>
      <c r="I1833">
        <v>0</v>
      </c>
      <c r="J1833" s="1">
        <v>300345.46000000002</v>
      </c>
      <c r="K1833" s="1">
        <v>300345.46000000002</v>
      </c>
    </row>
    <row r="1834" spans="1:11" x14ac:dyDescent="0.25">
      <c r="A1834" t="s">
        <v>2455</v>
      </c>
      <c r="B1834" t="s">
        <v>2735</v>
      </c>
      <c r="C1834" t="s">
        <v>16</v>
      </c>
      <c r="D1834" t="s">
        <v>4462</v>
      </c>
      <c r="E1834" t="s">
        <v>4426</v>
      </c>
      <c r="F1834" t="s">
        <v>2443</v>
      </c>
      <c r="G1834" s="2">
        <v>45343</v>
      </c>
      <c r="H1834">
        <v>0</v>
      </c>
      <c r="I1834">
        <v>0</v>
      </c>
      <c r="J1834" s="1">
        <v>30034.55</v>
      </c>
      <c r="K1834" s="1">
        <v>30034.55</v>
      </c>
    </row>
    <row r="1835" spans="1:11" x14ac:dyDescent="0.25">
      <c r="A1835" t="s">
        <v>2434</v>
      </c>
      <c r="B1835" t="s">
        <v>2701</v>
      </c>
      <c r="C1835" t="s">
        <v>16</v>
      </c>
      <c r="D1835" t="s">
        <v>4466</v>
      </c>
      <c r="E1835" t="s">
        <v>4453</v>
      </c>
      <c r="F1835" t="s">
        <v>2443</v>
      </c>
      <c r="G1835" s="2">
        <v>45344</v>
      </c>
      <c r="H1835">
        <v>0</v>
      </c>
      <c r="I1835">
        <v>0</v>
      </c>
      <c r="J1835" s="1">
        <v>145500</v>
      </c>
      <c r="K1835" s="1">
        <v>145500</v>
      </c>
    </row>
    <row r="1836" spans="1:11" x14ac:dyDescent="0.25">
      <c r="A1836" t="s">
        <v>2446</v>
      </c>
      <c r="B1836" t="s">
        <v>2710</v>
      </c>
      <c r="C1836" t="s">
        <v>42</v>
      </c>
      <c r="D1836" t="s">
        <v>4467</v>
      </c>
      <c r="E1836" t="s">
        <v>4436</v>
      </c>
      <c r="F1836" t="s">
        <v>2443</v>
      </c>
      <c r="G1836" s="2">
        <v>45344</v>
      </c>
      <c r="H1836">
        <v>0</v>
      </c>
      <c r="I1836">
        <v>0</v>
      </c>
      <c r="J1836" s="1">
        <v>145500</v>
      </c>
      <c r="K1836" s="1">
        <v>145500</v>
      </c>
    </row>
    <row r="1837" spans="1:11" x14ac:dyDescent="0.25">
      <c r="A1837" t="s">
        <v>2447</v>
      </c>
      <c r="B1837" t="s">
        <v>2721</v>
      </c>
      <c r="C1837" t="s">
        <v>16</v>
      </c>
      <c r="D1837" t="s">
        <v>4466</v>
      </c>
      <c r="E1837" t="s">
        <v>4438</v>
      </c>
      <c r="F1837" t="s">
        <v>2443</v>
      </c>
      <c r="G1837" s="2">
        <v>45344</v>
      </c>
      <c r="H1837">
        <v>0</v>
      </c>
      <c r="I1837">
        <v>0</v>
      </c>
      <c r="J1837" s="1">
        <v>145500</v>
      </c>
      <c r="K1837" s="1">
        <v>145500</v>
      </c>
    </row>
    <row r="1838" spans="1:11" x14ac:dyDescent="0.25">
      <c r="A1838" t="s">
        <v>2451</v>
      </c>
      <c r="B1838" t="s">
        <v>2722</v>
      </c>
      <c r="C1838" t="s">
        <v>16</v>
      </c>
      <c r="D1838" t="s">
        <v>4462</v>
      </c>
      <c r="E1838" t="s">
        <v>4446</v>
      </c>
      <c r="F1838" t="s">
        <v>2443</v>
      </c>
      <c r="G1838" s="2">
        <v>45344</v>
      </c>
      <c r="H1838">
        <v>0</v>
      </c>
      <c r="I1838">
        <v>0</v>
      </c>
      <c r="J1838" s="1">
        <v>145500</v>
      </c>
      <c r="K1838" s="1">
        <v>145500</v>
      </c>
    </row>
    <row r="1839" spans="1:11" x14ac:dyDescent="0.25">
      <c r="A1839" t="s">
        <v>2442</v>
      </c>
      <c r="B1839" t="s">
        <v>2699</v>
      </c>
      <c r="C1839" t="s">
        <v>16</v>
      </c>
      <c r="D1839" t="s">
        <v>4462</v>
      </c>
      <c r="E1839" t="s">
        <v>4440</v>
      </c>
      <c r="F1839" t="s">
        <v>2443</v>
      </c>
      <c r="G1839" s="2">
        <v>45344</v>
      </c>
      <c r="H1839">
        <v>0</v>
      </c>
      <c r="I1839">
        <v>0</v>
      </c>
      <c r="J1839" s="1">
        <v>338808.86</v>
      </c>
      <c r="K1839" s="1">
        <v>338808.86</v>
      </c>
    </row>
    <row r="1840" spans="1:11" x14ac:dyDescent="0.25">
      <c r="A1840" t="s">
        <v>2442</v>
      </c>
      <c r="B1840" t="s">
        <v>2699</v>
      </c>
      <c r="C1840" t="s">
        <v>16</v>
      </c>
      <c r="D1840" t="s">
        <v>4462</v>
      </c>
      <c r="E1840" t="s">
        <v>4440</v>
      </c>
      <c r="F1840" t="s">
        <v>2443</v>
      </c>
      <c r="G1840" s="2">
        <v>45344</v>
      </c>
      <c r="H1840">
        <v>0</v>
      </c>
      <c r="I1840">
        <v>0</v>
      </c>
      <c r="J1840" s="1">
        <v>33880.89</v>
      </c>
      <c r="K1840" s="1">
        <v>33880.89</v>
      </c>
    </row>
    <row r="1841" spans="1:11" x14ac:dyDescent="0.25">
      <c r="A1841" t="s">
        <v>2428</v>
      </c>
      <c r="B1841" t="s">
        <v>2726</v>
      </c>
      <c r="C1841" t="s">
        <v>16</v>
      </c>
      <c r="D1841" t="s">
        <v>4466</v>
      </c>
      <c r="E1841" t="s">
        <v>4437</v>
      </c>
      <c r="F1841" t="s">
        <v>2443</v>
      </c>
      <c r="G1841" s="2">
        <v>45345</v>
      </c>
      <c r="H1841">
        <v>0</v>
      </c>
      <c r="I1841">
        <v>0</v>
      </c>
      <c r="J1841" s="1">
        <v>145500</v>
      </c>
      <c r="K1841" s="1">
        <v>145500</v>
      </c>
    </row>
    <row r="1842" spans="1:11" x14ac:dyDescent="0.25">
      <c r="A1842" t="s">
        <v>2429</v>
      </c>
      <c r="B1842" t="s">
        <v>2705</v>
      </c>
      <c r="C1842" t="s">
        <v>42</v>
      </c>
      <c r="D1842" t="s">
        <v>4467</v>
      </c>
      <c r="E1842" t="s">
        <v>4435</v>
      </c>
      <c r="F1842" t="s">
        <v>2443</v>
      </c>
      <c r="G1842" s="2">
        <v>45345</v>
      </c>
      <c r="H1842">
        <v>0</v>
      </c>
      <c r="I1842">
        <v>0</v>
      </c>
      <c r="J1842" s="1">
        <v>145500</v>
      </c>
      <c r="K1842" s="1">
        <v>145500</v>
      </c>
    </row>
    <row r="1843" spans="1:11" x14ac:dyDescent="0.25">
      <c r="A1843" t="s">
        <v>2424</v>
      </c>
      <c r="B1843" t="s">
        <v>2729</v>
      </c>
      <c r="C1843" t="s">
        <v>16</v>
      </c>
      <c r="D1843" t="s">
        <v>4465</v>
      </c>
      <c r="E1843" t="s">
        <v>4427</v>
      </c>
      <c r="F1843" t="s">
        <v>2443</v>
      </c>
      <c r="G1843" s="2">
        <v>45346</v>
      </c>
      <c r="H1843">
        <v>0</v>
      </c>
      <c r="I1843">
        <v>0</v>
      </c>
      <c r="J1843" s="1">
        <v>145500</v>
      </c>
      <c r="K1843" s="1">
        <v>145500</v>
      </c>
    </row>
    <row r="1844" spans="1:11" x14ac:dyDescent="0.25">
      <c r="A1844" t="s">
        <v>2418</v>
      </c>
      <c r="B1844" t="s">
        <v>2709</v>
      </c>
      <c r="C1844" t="s">
        <v>42</v>
      </c>
      <c r="D1844" t="s">
        <v>4467</v>
      </c>
      <c r="E1844" t="s">
        <v>4456</v>
      </c>
      <c r="F1844" t="s">
        <v>2443</v>
      </c>
      <c r="G1844" s="2">
        <v>45347</v>
      </c>
      <c r="H1844">
        <v>0</v>
      </c>
      <c r="I1844">
        <v>0</v>
      </c>
      <c r="J1844" s="1">
        <v>145500</v>
      </c>
      <c r="K1844" s="1">
        <v>145500</v>
      </c>
    </row>
    <row r="1845" spans="1:11" x14ac:dyDescent="0.25">
      <c r="A1845" t="s">
        <v>2420</v>
      </c>
      <c r="B1845" t="s">
        <v>2727</v>
      </c>
      <c r="C1845" t="s">
        <v>16</v>
      </c>
      <c r="D1845" t="s">
        <v>4465</v>
      </c>
      <c r="E1845" t="s">
        <v>4445</v>
      </c>
      <c r="F1845" t="s">
        <v>2443</v>
      </c>
      <c r="G1845" s="2">
        <v>45347</v>
      </c>
      <c r="H1845">
        <v>0</v>
      </c>
      <c r="I1845">
        <v>0</v>
      </c>
      <c r="J1845" s="1">
        <v>145500</v>
      </c>
      <c r="K1845" s="1">
        <v>145500</v>
      </c>
    </row>
    <row r="1846" spans="1:11" x14ac:dyDescent="0.25">
      <c r="A1846" t="s">
        <v>2422</v>
      </c>
      <c r="B1846" t="s">
        <v>2708</v>
      </c>
      <c r="C1846" t="s">
        <v>16</v>
      </c>
      <c r="D1846" t="s">
        <v>4466</v>
      </c>
      <c r="E1846" t="s">
        <v>4457</v>
      </c>
      <c r="F1846" t="s">
        <v>2443</v>
      </c>
      <c r="G1846" s="2">
        <v>45347</v>
      </c>
      <c r="H1846">
        <v>0</v>
      </c>
      <c r="I1846">
        <v>0</v>
      </c>
      <c r="J1846" s="1">
        <v>145500</v>
      </c>
      <c r="K1846" s="1">
        <v>145500</v>
      </c>
    </row>
    <row r="1847" spans="1:11" x14ac:dyDescent="0.25">
      <c r="A1847" t="s">
        <v>2409</v>
      </c>
      <c r="B1847" t="s">
        <v>2733</v>
      </c>
      <c r="C1847" t="s">
        <v>16</v>
      </c>
      <c r="D1847" t="s">
        <v>4465</v>
      </c>
      <c r="E1847" t="s">
        <v>4448</v>
      </c>
      <c r="F1847" t="s">
        <v>2443</v>
      </c>
      <c r="G1847" s="2">
        <v>45348</v>
      </c>
      <c r="H1847">
        <v>0</v>
      </c>
      <c r="I1847">
        <v>0</v>
      </c>
      <c r="J1847" s="1">
        <v>145500</v>
      </c>
      <c r="K1847" s="1">
        <v>145500</v>
      </c>
    </row>
    <row r="1848" spans="1:11" x14ac:dyDescent="0.25">
      <c r="A1848" t="s">
        <v>2413</v>
      </c>
      <c r="B1848" t="s">
        <v>2719</v>
      </c>
      <c r="C1848" t="s">
        <v>16</v>
      </c>
      <c r="D1848" t="s">
        <v>4466</v>
      </c>
      <c r="E1848" t="s">
        <v>4430</v>
      </c>
      <c r="F1848" t="s">
        <v>2443</v>
      </c>
      <c r="G1848" s="2">
        <v>45348</v>
      </c>
      <c r="H1848">
        <v>0</v>
      </c>
      <c r="I1848">
        <v>0</v>
      </c>
      <c r="J1848" s="1">
        <v>436155.43</v>
      </c>
      <c r="K1848" s="1">
        <v>436155.43</v>
      </c>
    </row>
    <row r="1849" spans="1:11" x14ac:dyDescent="0.25">
      <c r="A1849" t="s">
        <v>2396</v>
      </c>
      <c r="B1849" t="s">
        <v>2716</v>
      </c>
      <c r="C1849" t="s">
        <v>16</v>
      </c>
      <c r="D1849" t="s">
        <v>4462</v>
      </c>
      <c r="E1849" t="s">
        <v>4458</v>
      </c>
      <c r="F1849" t="s">
        <v>2443</v>
      </c>
      <c r="G1849" s="2">
        <v>45349</v>
      </c>
      <c r="H1849">
        <v>0</v>
      </c>
      <c r="I1849">
        <v>0</v>
      </c>
      <c r="J1849" s="1">
        <v>145500</v>
      </c>
      <c r="K1849" s="1">
        <v>145500</v>
      </c>
    </row>
    <row r="1850" spans="1:11" x14ac:dyDescent="0.25">
      <c r="A1850" t="s">
        <v>2398</v>
      </c>
      <c r="B1850" t="s">
        <v>2716</v>
      </c>
      <c r="C1850" t="s">
        <v>16</v>
      </c>
      <c r="D1850" t="s">
        <v>4462</v>
      </c>
      <c r="E1850" t="s">
        <v>4458</v>
      </c>
      <c r="F1850" t="s">
        <v>2443</v>
      </c>
      <c r="G1850" s="2">
        <v>45349</v>
      </c>
      <c r="H1850">
        <v>0</v>
      </c>
      <c r="I1850">
        <v>0</v>
      </c>
      <c r="J1850" s="1">
        <v>107688.62</v>
      </c>
      <c r="K1850" s="1">
        <v>107688.62</v>
      </c>
    </row>
    <row r="1851" spans="1:11" x14ac:dyDescent="0.25">
      <c r="A1851" t="s">
        <v>2385</v>
      </c>
      <c r="B1851" t="s">
        <v>2737</v>
      </c>
      <c r="C1851" t="s">
        <v>16</v>
      </c>
      <c r="D1851" t="s">
        <v>4466</v>
      </c>
      <c r="E1851" t="s">
        <v>4432</v>
      </c>
      <c r="F1851" t="s">
        <v>2443</v>
      </c>
      <c r="G1851" s="2">
        <v>45351</v>
      </c>
      <c r="H1851">
        <v>0</v>
      </c>
      <c r="I1851">
        <v>0</v>
      </c>
      <c r="J1851" s="1">
        <v>145500</v>
      </c>
      <c r="K1851" s="1">
        <v>145500</v>
      </c>
    </row>
    <row r="1852" spans="1:11" x14ac:dyDescent="0.25">
      <c r="A1852" t="s">
        <v>2333</v>
      </c>
      <c r="B1852" t="s">
        <v>2700</v>
      </c>
      <c r="C1852" t="s">
        <v>27</v>
      </c>
      <c r="D1852" t="s">
        <v>4466</v>
      </c>
      <c r="E1852" t="s">
        <v>4450</v>
      </c>
      <c r="F1852" t="s">
        <v>2443</v>
      </c>
      <c r="G1852" s="2">
        <v>45355</v>
      </c>
      <c r="H1852">
        <v>0</v>
      </c>
      <c r="I1852">
        <v>0</v>
      </c>
      <c r="J1852" s="1">
        <v>145500</v>
      </c>
      <c r="K1852" s="1">
        <v>145500</v>
      </c>
    </row>
    <row r="1853" spans="1:11" x14ac:dyDescent="0.25">
      <c r="A1853" t="s">
        <v>2335</v>
      </c>
      <c r="B1853" t="s">
        <v>2705</v>
      </c>
      <c r="C1853" t="s">
        <v>42</v>
      </c>
      <c r="D1853" t="s">
        <v>4467</v>
      </c>
      <c r="E1853" t="s">
        <v>4435</v>
      </c>
      <c r="F1853" t="s">
        <v>2443</v>
      </c>
      <c r="G1853" s="2">
        <v>45355</v>
      </c>
      <c r="H1853">
        <v>0</v>
      </c>
      <c r="I1853">
        <v>0</v>
      </c>
      <c r="J1853" s="1">
        <v>145500</v>
      </c>
      <c r="K1853" s="1">
        <v>145500</v>
      </c>
    </row>
    <row r="1854" spans="1:11" x14ac:dyDescent="0.25">
      <c r="A1854" t="s">
        <v>2339</v>
      </c>
      <c r="B1854" t="s">
        <v>2701</v>
      </c>
      <c r="C1854" t="s">
        <v>16</v>
      </c>
      <c r="D1854" t="s">
        <v>4466</v>
      </c>
      <c r="E1854" t="s">
        <v>4453</v>
      </c>
      <c r="F1854" t="s">
        <v>2443</v>
      </c>
      <c r="G1854" s="2">
        <v>45355</v>
      </c>
      <c r="H1854">
        <v>0</v>
      </c>
      <c r="I1854">
        <v>0</v>
      </c>
      <c r="J1854" s="1">
        <v>145500</v>
      </c>
      <c r="K1854" s="1">
        <v>145500</v>
      </c>
    </row>
    <row r="1855" spans="1:11" x14ac:dyDescent="0.25">
      <c r="A1855" t="s">
        <v>2317</v>
      </c>
      <c r="B1855" t="s">
        <v>2707</v>
      </c>
      <c r="C1855" t="s">
        <v>16</v>
      </c>
      <c r="D1855" t="s">
        <v>4462</v>
      </c>
      <c r="E1855" t="s">
        <v>4433</v>
      </c>
      <c r="F1855" t="s">
        <v>2443</v>
      </c>
      <c r="G1855" s="2">
        <v>45358</v>
      </c>
      <c r="H1855">
        <v>0</v>
      </c>
      <c r="I1855">
        <v>0</v>
      </c>
      <c r="J1855" s="1">
        <v>145500</v>
      </c>
      <c r="K1855" s="1">
        <v>145500</v>
      </c>
    </row>
    <row r="1856" spans="1:11" x14ac:dyDescent="0.25">
      <c r="A1856" t="s">
        <v>2303</v>
      </c>
      <c r="B1856" t="s">
        <v>2710</v>
      </c>
      <c r="C1856" t="s">
        <v>42</v>
      </c>
      <c r="D1856" t="s">
        <v>4467</v>
      </c>
      <c r="E1856" t="s">
        <v>4436</v>
      </c>
      <c r="F1856" t="s">
        <v>2443</v>
      </c>
      <c r="G1856" s="2">
        <v>45359</v>
      </c>
      <c r="H1856">
        <v>0</v>
      </c>
      <c r="I1856">
        <v>0</v>
      </c>
      <c r="J1856" s="1">
        <v>145500</v>
      </c>
      <c r="K1856" s="1">
        <v>145500</v>
      </c>
    </row>
    <row r="1857" spans="1:11" x14ac:dyDescent="0.25">
      <c r="A1857" t="s">
        <v>2305</v>
      </c>
      <c r="B1857" t="s">
        <v>2736</v>
      </c>
      <c r="C1857" t="s">
        <v>16</v>
      </c>
      <c r="D1857" t="s">
        <v>4461</v>
      </c>
      <c r="E1857" t="s">
        <v>4459</v>
      </c>
      <c r="F1857" t="s">
        <v>2443</v>
      </c>
      <c r="G1857" s="2">
        <v>45359</v>
      </c>
      <c r="H1857">
        <v>0</v>
      </c>
      <c r="I1857">
        <v>0</v>
      </c>
      <c r="J1857" s="1">
        <v>145500</v>
      </c>
      <c r="K1857" s="1">
        <v>145500</v>
      </c>
    </row>
    <row r="1858" spans="1:11" x14ac:dyDescent="0.25">
      <c r="A1858" t="s">
        <v>2297</v>
      </c>
      <c r="B1858" t="s">
        <v>2711</v>
      </c>
      <c r="C1858" t="s">
        <v>16</v>
      </c>
      <c r="D1858" t="s">
        <v>4461</v>
      </c>
      <c r="E1858" t="s">
        <v>4447</v>
      </c>
      <c r="F1858" t="s">
        <v>2443</v>
      </c>
      <c r="G1858" s="2">
        <v>45360</v>
      </c>
      <c r="H1858">
        <v>0</v>
      </c>
      <c r="I1858">
        <v>0</v>
      </c>
      <c r="J1858" s="1">
        <v>145500</v>
      </c>
      <c r="K1858" s="1">
        <v>145500</v>
      </c>
    </row>
    <row r="1859" spans="1:11" x14ac:dyDescent="0.25">
      <c r="A1859" t="s">
        <v>2254</v>
      </c>
      <c r="B1859" t="s">
        <v>2706</v>
      </c>
      <c r="C1859" t="s">
        <v>27</v>
      </c>
      <c r="D1859" t="s">
        <v>4461</v>
      </c>
      <c r="E1859" t="s">
        <v>4452</v>
      </c>
      <c r="F1859" t="s">
        <v>2443</v>
      </c>
      <c r="G1859" s="2">
        <v>45369</v>
      </c>
      <c r="H1859">
        <v>0</v>
      </c>
      <c r="I1859">
        <v>0</v>
      </c>
      <c r="J1859" s="1">
        <v>145500</v>
      </c>
      <c r="K1859" s="1">
        <v>145500</v>
      </c>
    </row>
    <row r="1860" spans="1:11" x14ac:dyDescent="0.25">
      <c r="A1860" t="s">
        <v>2263</v>
      </c>
      <c r="B1860" t="s">
        <v>2726</v>
      </c>
      <c r="C1860" t="s">
        <v>16</v>
      </c>
      <c r="D1860" t="s">
        <v>4466</v>
      </c>
      <c r="E1860" t="s">
        <v>4437</v>
      </c>
      <c r="F1860" t="s">
        <v>2443</v>
      </c>
      <c r="G1860" s="2">
        <v>45369</v>
      </c>
      <c r="H1860">
        <v>0</v>
      </c>
      <c r="I1860">
        <v>0</v>
      </c>
      <c r="J1860" s="1">
        <v>145500</v>
      </c>
      <c r="K1860" s="1">
        <v>145500</v>
      </c>
    </row>
    <row r="1861" spans="1:11" x14ac:dyDescent="0.25">
      <c r="A1861" t="s">
        <v>2230</v>
      </c>
      <c r="B1861" t="s">
        <v>2727</v>
      </c>
      <c r="C1861" t="s">
        <v>16</v>
      </c>
      <c r="D1861" t="s">
        <v>4465</v>
      </c>
      <c r="E1861" t="s">
        <v>4445</v>
      </c>
      <c r="F1861" t="s">
        <v>2443</v>
      </c>
      <c r="G1861" s="2">
        <v>45372</v>
      </c>
      <c r="H1861">
        <v>0</v>
      </c>
      <c r="I1861">
        <v>0</v>
      </c>
      <c r="J1861" s="1">
        <v>145500</v>
      </c>
      <c r="K1861" s="1">
        <v>145500</v>
      </c>
    </row>
    <row r="1862" spans="1:11" x14ac:dyDescent="0.25">
      <c r="A1862" t="s">
        <v>2202</v>
      </c>
      <c r="B1862" t="s">
        <v>2730</v>
      </c>
      <c r="C1862" t="s">
        <v>42</v>
      </c>
      <c r="D1862" t="s">
        <v>4467</v>
      </c>
      <c r="E1862" t="s">
        <v>4441</v>
      </c>
      <c r="F1862" t="s">
        <v>2443</v>
      </c>
      <c r="G1862" s="2">
        <v>45376</v>
      </c>
      <c r="H1862">
        <v>0</v>
      </c>
      <c r="I1862">
        <v>0</v>
      </c>
      <c r="J1862" s="1">
        <v>145500</v>
      </c>
      <c r="K1862" s="1">
        <v>145500</v>
      </c>
    </row>
    <row r="1863" spans="1:11" x14ac:dyDescent="0.25">
      <c r="A1863" t="s">
        <v>2209</v>
      </c>
      <c r="B1863" t="s">
        <v>2708</v>
      </c>
      <c r="C1863" t="s">
        <v>16</v>
      </c>
      <c r="D1863" t="s">
        <v>4466</v>
      </c>
      <c r="E1863" t="s">
        <v>4457</v>
      </c>
      <c r="F1863" t="s">
        <v>2443</v>
      </c>
      <c r="G1863" s="2">
        <v>45376</v>
      </c>
      <c r="H1863">
        <v>0</v>
      </c>
      <c r="I1863">
        <v>0</v>
      </c>
      <c r="J1863" s="1">
        <v>145500</v>
      </c>
      <c r="K1863" s="1">
        <v>145500</v>
      </c>
    </row>
    <row r="1864" spans="1:11" x14ac:dyDescent="0.25">
      <c r="A1864" t="s">
        <v>2196</v>
      </c>
      <c r="B1864" t="s">
        <v>2716</v>
      </c>
      <c r="C1864" t="s">
        <v>16</v>
      </c>
      <c r="D1864" t="s">
        <v>4462</v>
      </c>
      <c r="E1864" t="s">
        <v>4458</v>
      </c>
      <c r="F1864" t="s">
        <v>2443</v>
      </c>
      <c r="G1864" s="2">
        <v>45377</v>
      </c>
      <c r="H1864">
        <v>0</v>
      </c>
      <c r="I1864">
        <v>0</v>
      </c>
      <c r="J1864" s="1">
        <v>145500</v>
      </c>
      <c r="K1864" s="1">
        <v>145500</v>
      </c>
    </row>
    <row r="1865" spans="1:11" x14ac:dyDescent="0.25">
      <c r="A1865" t="s">
        <v>2196</v>
      </c>
      <c r="B1865" t="s">
        <v>2716</v>
      </c>
      <c r="C1865" t="s">
        <v>16</v>
      </c>
      <c r="D1865" t="s">
        <v>4462</v>
      </c>
      <c r="E1865" t="s">
        <v>4458</v>
      </c>
      <c r="F1865" t="s">
        <v>2443</v>
      </c>
      <c r="G1865" s="2">
        <v>45377</v>
      </c>
      <c r="H1865">
        <v>0</v>
      </c>
      <c r="I1865">
        <v>0</v>
      </c>
      <c r="J1865" s="1">
        <v>107688.62</v>
      </c>
      <c r="K1865" s="1">
        <v>107688.62</v>
      </c>
    </row>
    <row r="1866" spans="1:11" x14ac:dyDescent="0.25">
      <c r="A1866" t="s">
        <v>2181</v>
      </c>
      <c r="B1866" t="s">
        <v>2721</v>
      </c>
      <c r="C1866" t="s">
        <v>16</v>
      </c>
      <c r="D1866" t="s">
        <v>4466</v>
      </c>
      <c r="E1866" t="s">
        <v>4438</v>
      </c>
      <c r="F1866" t="s">
        <v>2443</v>
      </c>
      <c r="G1866" s="2">
        <v>45381</v>
      </c>
      <c r="H1866">
        <v>0</v>
      </c>
      <c r="I1866">
        <v>0</v>
      </c>
      <c r="J1866" s="1">
        <v>145500</v>
      </c>
      <c r="K1866" s="1">
        <v>145500</v>
      </c>
    </row>
    <row r="1867" spans="1:11" x14ac:dyDescent="0.25">
      <c r="A1867" t="s">
        <v>2157</v>
      </c>
      <c r="B1867" t="s">
        <v>2707</v>
      </c>
      <c r="C1867" t="s">
        <v>16</v>
      </c>
      <c r="D1867" t="s">
        <v>4462</v>
      </c>
      <c r="E1867" t="s">
        <v>4433</v>
      </c>
      <c r="F1867" t="s">
        <v>2443</v>
      </c>
      <c r="G1867" s="2">
        <v>45384</v>
      </c>
      <c r="H1867">
        <v>0</v>
      </c>
      <c r="I1867">
        <v>0</v>
      </c>
      <c r="J1867" s="1">
        <v>145500</v>
      </c>
      <c r="K1867" s="1">
        <v>145500</v>
      </c>
    </row>
    <row r="1868" spans="1:11" x14ac:dyDescent="0.25">
      <c r="A1868" t="s">
        <v>2145</v>
      </c>
      <c r="B1868" t="s">
        <v>2705</v>
      </c>
      <c r="C1868" t="s">
        <v>42</v>
      </c>
      <c r="D1868" t="s">
        <v>4467</v>
      </c>
      <c r="E1868" t="s">
        <v>4435</v>
      </c>
      <c r="F1868" t="s">
        <v>2443</v>
      </c>
      <c r="G1868" s="2">
        <v>45385</v>
      </c>
      <c r="H1868">
        <v>0</v>
      </c>
      <c r="I1868">
        <v>0</v>
      </c>
      <c r="J1868" s="1">
        <v>145500</v>
      </c>
      <c r="K1868" s="1">
        <v>145500</v>
      </c>
    </row>
    <row r="1869" spans="1:11" x14ac:dyDescent="0.25">
      <c r="A1869" t="s">
        <v>2132</v>
      </c>
      <c r="B1869" t="s">
        <v>2736</v>
      </c>
      <c r="C1869" t="s">
        <v>16</v>
      </c>
      <c r="D1869" t="s">
        <v>4461</v>
      </c>
      <c r="E1869" t="s">
        <v>4459</v>
      </c>
      <c r="F1869" t="s">
        <v>2443</v>
      </c>
      <c r="G1869" s="2">
        <v>45387</v>
      </c>
      <c r="H1869">
        <v>0</v>
      </c>
      <c r="I1869">
        <v>0</v>
      </c>
      <c r="J1869" s="1">
        <v>145500</v>
      </c>
      <c r="K1869" s="1">
        <v>145500</v>
      </c>
    </row>
    <row r="1870" spans="1:11" x14ac:dyDescent="0.25">
      <c r="A1870" t="s">
        <v>2118</v>
      </c>
      <c r="B1870" t="s">
        <v>2701</v>
      </c>
      <c r="C1870" t="s">
        <v>16</v>
      </c>
      <c r="D1870" t="s">
        <v>4466</v>
      </c>
      <c r="E1870" t="s">
        <v>4453</v>
      </c>
      <c r="F1870" t="s">
        <v>2443</v>
      </c>
      <c r="G1870" s="2">
        <v>45388</v>
      </c>
      <c r="H1870">
        <v>0</v>
      </c>
      <c r="I1870">
        <v>0</v>
      </c>
      <c r="J1870" s="1">
        <v>145500</v>
      </c>
      <c r="K1870" s="1">
        <v>145500</v>
      </c>
    </row>
    <row r="1871" spans="1:11" x14ac:dyDescent="0.25">
      <c r="A1871" t="s">
        <v>2110</v>
      </c>
      <c r="B1871" t="s">
        <v>2700</v>
      </c>
      <c r="C1871" t="s">
        <v>27</v>
      </c>
      <c r="D1871" t="s">
        <v>4466</v>
      </c>
      <c r="E1871" t="s">
        <v>4450</v>
      </c>
      <c r="F1871" t="s">
        <v>2443</v>
      </c>
      <c r="G1871" s="2">
        <v>45389</v>
      </c>
      <c r="H1871">
        <v>0</v>
      </c>
      <c r="I1871">
        <v>0</v>
      </c>
      <c r="J1871" s="1">
        <v>145500</v>
      </c>
      <c r="K1871" s="1">
        <v>145500</v>
      </c>
    </row>
    <row r="1872" spans="1:11" x14ac:dyDescent="0.25">
      <c r="A1872" t="s">
        <v>2108</v>
      </c>
      <c r="B1872" t="s">
        <v>2726</v>
      </c>
      <c r="C1872" t="s">
        <v>16</v>
      </c>
      <c r="D1872" t="s">
        <v>4466</v>
      </c>
      <c r="E1872" t="s">
        <v>4437</v>
      </c>
      <c r="F1872" t="s">
        <v>2443</v>
      </c>
      <c r="G1872" s="2">
        <v>45390</v>
      </c>
      <c r="H1872">
        <v>0</v>
      </c>
      <c r="I1872">
        <v>0</v>
      </c>
      <c r="J1872" s="1">
        <v>145500</v>
      </c>
      <c r="K1872" s="1">
        <v>145500</v>
      </c>
    </row>
    <row r="1873" spans="1:11" x14ac:dyDescent="0.25">
      <c r="A1873" t="s">
        <v>2100</v>
      </c>
      <c r="B1873" t="s">
        <v>2729</v>
      </c>
      <c r="C1873" t="s">
        <v>16</v>
      </c>
      <c r="D1873" t="s">
        <v>4465</v>
      </c>
      <c r="E1873" t="s">
        <v>4427</v>
      </c>
      <c r="F1873" t="s">
        <v>2443</v>
      </c>
      <c r="G1873" s="2">
        <v>45391</v>
      </c>
      <c r="H1873">
        <v>0</v>
      </c>
      <c r="I1873">
        <v>0</v>
      </c>
      <c r="J1873" s="1">
        <v>145500</v>
      </c>
      <c r="K1873" s="1">
        <v>145500</v>
      </c>
    </row>
    <row r="1874" spans="1:11" x14ac:dyDescent="0.25">
      <c r="A1874" t="s">
        <v>2097</v>
      </c>
      <c r="B1874" t="s">
        <v>2722</v>
      </c>
      <c r="C1874" t="s">
        <v>16</v>
      </c>
      <c r="D1874" t="s">
        <v>4462</v>
      </c>
      <c r="E1874" t="s">
        <v>4446</v>
      </c>
      <c r="F1874" t="s">
        <v>2443</v>
      </c>
      <c r="G1874" s="2">
        <v>45392</v>
      </c>
      <c r="H1874">
        <v>0</v>
      </c>
      <c r="I1874">
        <v>0</v>
      </c>
      <c r="J1874" s="1">
        <v>145500</v>
      </c>
      <c r="K1874" s="1">
        <v>145500</v>
      </c>
    </row>
    <row r="1875" spans="1:11" x14ac:dyDescent="0.25">
      <c r="A1875" t="s">
        <v>2090</v>
      </c>
      <c r="B1875" t="s">
        <v>2710</v>
      </c>
      <c r="C1875" t="s">
        <v>42</v>
      </c>
      <c r="D1875" t="s">
        <v>4467</v>
      </c>
      <c r="E1875" t="s">
        <v>4436</v>
      </c>
      <c r="F1875" t="s">
        <v>2443</v>
      </c>
      <c r="G1875" s="2">
        <v>45394</v>
      </c>
      <c r="H1875">
        <v>0</v>
      </c>
      <c r="I1875">
        <v>0</v>
      </c>
      <c r="J1875" s="1">
        <v>145500</v>
      </c>
      <c r="K1875" s="1">
        <v>145500</v>
      </c>
    </row>
    <row r="1876" spans="1:11" x14ac:dyDescent="0.25">
      <c r="A1876" t="s">
        <v>2050</v>
      </c>
      <c r="B1876" t="s">
        <v>2727</v>
      </c>
      <c r="C1876" t="s">
        <v>16</v>
      </c>
      <c r="D1876" t="s">
        <v>4465</v>
      </c>
      <c r="E1876" t="s">
        <v>4445</v>
      </c>
      <c r="F1876" t="s">
        <v>2443</v>
      </c>
      <c r="G1876" s="2">
        <v>45395</v>
      </c>
      <c r="H1876">
        <v>0</v>
      </c>
      <c r="I1876">
        <v>0</v>
      </c>
      <c r="J1876" s="1">
        <v>145500</v>
      </c>
      <c r="K1876" s="1">
        <v>145500</v>
      </c>
    </row>
    <row r="1877" spans="1:11" x14ac:dyDescent="0.25">
      <c r="A1877" t="s">
        <v>2060</v>
      </c>
      <c r="B1877" t="s">
        <v>2735</v>
      </c>
      <c r="C1877" t="s">
        <v>16</v>
      </c>
      <c r="D1877" t="s">
        <v>4462</v>
      </c>
      <c r="E1877" t="s">
        <v>4426</v>
      </c>
      <c r="F1877" t="s">
        <v>2443</v>
      </c>
      <c r="G1877" s="2">
        <v>45395</v>
      </c>
      <c r="H1877">
        <v>0</v>
      </c>
      <c r="I1877">
        <v>0</v>
      </c>
      <c r="J1877" s="1">
        <v>145500</v>
      </c>
      <c r="K1877" s="1">
        <v>145500</v>
      </c>
    </row>
    <row r="1878" spans="1:11" x14ac:dyDescent="0.25">
      <c r="A1878" t="s">
        <v>2066</v>
      </c>
      <c r="B1878" t="s">
        <v>2709</v>
      </c>
      <c r="C1878" t="s">
        <v>42</v>
      </c>
      <c r="D1878" t="s">
        <v>4467</v>
      </c>
      <c r="E1878" t="s">
        <v>4456</v>
      </c>
      <c r="F1878" t="s">
        <v>2443</v>
      </c>
      <c r="G1878" s="2">
        <v>45395</v>
      </c>
      <c r="H1878">
        <v>0</v>
      </c>
      <c r="I1878">
        <v>0</v>
      </c>
      <c r="J1878" s="1">
        <v>145500</v>
      </c>
      <c r="K1878" s="1">
        <v>145500</v>
      </c>
    </row>
    <row r="1879" spans="1:11" x14ac:dyDescent="0.25">
      <c r="A1879" t="s">
        <v>2068</v>
      </c>
      <c r="B1879" t="s">
        <v>2721</v>
      </c>
      <c r="C1879" t="s">
        <v>16</v>
      </c>
      <c r="D1879" t="s">
        <v>4466</v>
      </c>
      <c r="E1879" t="s">
        <v>4438</v>
      </c>
      <c r="F1879" t="s">
        <v>2443</v>
      </c>
      <c r="G1879" s="2">
        <v>45395</v>
      </c>
      <c r="H1879">
        <v>0</v>
      </c>
      <c r="I1879">
        <v>0</v>
      </c>
      <c r="J1879" s="1">
        <v>145500</v>
      </c>
      <c r="K1879" s="1">
        <v>145500</v>
      </c>
    </row>
    <row r="1880" spans="1:11" x14ac:dyDescent="0.25">
      <c r="A1880" t="s">
        <v>1993</v>
      </c>
      <c r="B1880" t="s">
        <v>2737</v>
      </c>
      <c r="C1880" t="s">
        <v>16</v>
      </c>
      <c r="D1880" t="s">
        <v>4466</v>
      </c>
      <c r="E1880" t="s">
        <v>4432</v>
      </c>
      <c r="F1880" t="s">
        <v>2443</v>
      </c>
      <c r="G1880" s="2">
        <v>45404</v>
      </c>
      <c r="H1880">
        <v>0</v>
      </c>
      <c r="I1880">
        <v>0</v>
      </c>
      <c r="J1880" s="1">
        <v>145500</v>
      </c>
      <c r="K1880" s="1">
        <v>145500</v>
      </c>
    </row>
    <row r="1881" spans="1:11" x14ac:dyDescent="0.25">
      <c r="A1881" t="s">
        <v>1973</v>
      </c>
      <c r="B1881" t="s">
        <v>2711</v>
      </c>
      <c r="C1881" t="s">
        <v>16</v>
      </c>
      <c r="D1881" t="s">
        <v>4461</v>
      </c>
      <c r="E1881" t="s">
        <v>4447</v>
      </c>
      <c r="F1881" t="s">
        <v>2443</v>
      </c>
      <c r="G1881" s="2">
        <v>45405</v>
      </c>
      <c r="H1881">
        <v>0</v>
      </c>
      <c r="I1881">
        <v>0</v>
      </c>
      <c r="J1881" s="1">
        <v>145500</v>
      </c>
      <c r="K1881" s="1">
        <v>145500</v>
      </c>
    </row>
    <row r="1882" spans="1:11" x14ac:dyDescent="0.25">
      <c r="A1882" t="s">
        <v>1967</v>
      </c>
      <c r="B1882" t="s">
        <v>2708</v>
      </c>
      <c r="C1882" t="s">
        <v>16</v>
      </c>
      <c r="D1882" t="s">
        <v>4466</v>
      </c>
      <c r="E1882" t="s">
        <v>4457</v>
      </c>
      <c r="F1882" t="s">
        <v>2443</v>
      </c>
      <c r="G1882" s="2">
        <v>45406</v>
      </c>
      <c r="H1882">
        <v>0</v>
      </c>
      <c r="I1882">
        <v>0</v>
      </c>
      <c r="J1882" s="1">
        <v>145500</v>
      </c>
      <c r="K1882" s="1">
        <v>145500</v>
      </c>
    </row>
    <row r="1883" spans="1:11" x14ac:dyDescent="0.25">
      <c r="A1883" t="s">
        <v>1963</v>
      </c>
      <c r="B1883" t="s">
        <v>2716</v>
      </c>
      <c r="C1883" t="s">
        <v>16</v>
      </c>
      <c r="D1883" t="s">
        <v>4462</v>
      </c>
      <c r="E1883" t="s">
        <v>4458</v>
      </c>
      <c r="F1883" t="s">
        <v>2443</v>
      </c>
      <c r="G1883" s="2">
        <v>45407</v>
      </c>
      <c r="H1883">
        <v>0</v>
      </c>
      <c r="I1883">
        <v>0</v>
      </c>
      <c r="J1883" s="1">
        <v>145500</v>
      </c>
      <c r="K1883" s="1">
        <v>145500</v>
      </c>
    </row>
    <row r="1884" spans="1:11" x14ac:dyDescent="0.25">
      <c r="A1884" t="s">
        <v>1963</v>
      </c>
      <c r="B1884" t="s">
        <v>2716</v>
      </c>
      <c r="C1884" t="s">
        <v>16</v>
      </c>
      <c r="D1884" t="s">
        <v>4462</v>
      </c>
      <c r="E1884" t="s">
        <v>4458</v>
      </c>
      <c r="F1884" t="s">
        <v>2443</v>
      </c>
      <c r="G1884" s="2">
        <v>45407</v>
      </c>
      <c r="H1884">
        <v>0</v>
      </c>
      <c r="I1884">
        <v>0</v>
      </c>
      <c r="J1884" s="1">
        <v>107688.62</v>
      </c>
      <c r="K1884" s="1">
        <v>107688.62</v>
      </c>
    </row>
    <row r="1885" spans="1:11" x14ac:dyDescent="0.25">
      <c r="A1885" t="s">
        <v>1954</v>
      </c>
      <c r="B1885" t="s">
        <v>2730</v>
      </c>
      <c r="C1885" t="s">
        <v>42</v>
      </c>
      <c r="D1885" t="s">
        <v>4467</v>
      </c>
      <c r="E1885" t="s">
        <v>4441</v>
      </c>
      <c r="F1885" t="s">
        <v>2443</v>
      </c>
      <c r="G1885" s="2">
        <v>45409</v>
      </c>
      <c r="H1885">
        <v>0</v>
      </c>
      <c r="I1885">
        <v>0</v>
      </c>
      <c r="J1885" s="1">
        <v>145500</v>
      </c>
      <c r="K1885" s="1">
        <v>145500</v>
      </c>
    </row>
    <row r="1886" spans="1:11" x14ac:dyDescent="0.25">
      <c r="A1886" t="s">
        <v>1902</v>
      </c>
      <c r="B1886" t="s">
        <v>2705</v>
      </c>
      <c r="C1886" t="s">
        <v>42</v>
      </c>
      <c r="D1886" t="s">
        <v>4467</v>
      </c>
      <c r="E1886" t="s">
        <v>4435</v>
      </c>
      <c r="F1886" t="s">
        <v>2443</v>
      </c>
      <c r="G1886" s="2">
        <v>45413</v>
      </c>
      <c r="H1886">
        <v>0</v>
      </c>
      <c r="I1886">
        <v>0</v>
      </c>
      <c r="J1886" s="1">
        <v>145500</v>
      </c>
      <c r="K1886" s="1">
        <v>145500</v>
      </c>
    </row>
    <row r="1887" spans="1:11" x14ac:dyDescent="0.25">
      <c r="A1887" t="s">
        <v>1904</v>
      </c>
      <c r="B1887" t="s">
        <v>2733</v>
      </c>
      <c r="C1887" t="s">
        <v>16</v>
      </c>
      <c r="D1887" t="s">
        <v>4465</v>
      </c>
      <c r="E1887" t="s">
        <v>4448</v>
      </c>
      <c r="F1887" t="s">
        <v>2443</v>
      </c>
      <c r="G1887" s="2">
        <v>45413</v>
      </c>
      <c r="H1887">
        <v>0</v>
      </c>
      <c r="I1887">
        <v>0</v>
      </c>
      <c r="J1887" s="1">
        <v>145500</v>
      </c>
      <c r="K1887" s="1">
        <v>145500</v>
      </c>
    </row>
    <row r="1888" spans="1:11" x14ac:dyDescent="0.25">
      <c r="A1888" t="s">
        <v>1907</v>
      </c>
      <c r="B1888" t="s">
        <v>2707</v>
      </c>
      <c r="C1888" t="s">
        <v>16</v>
      </c>
      <c r="D1888" t="s">
        <v>4462</v>
      </c>
      <c r="E1888" t="s">
        <v>4433</v>
      </c>
      <c r="F1888" t="s">
        <v>2443</v>
      </c>
      <c r="G1888" s="2">
        <v>45413</v>
      </c>
      <c r="H1888">
        <v>0</v>
      </c>
      <c r="I1888">
        <v>0</v>
      </c>
      <c r="J1888" s="1">
        <v>145500</v>
      </c>
      <c r="K1888" s="1">
        <v>145500</v>
      </c>
    </row>
    <row r="1889" spans="1:11" x14ac:dyDescent="0.25">
      <c r="A1889" t="s">
        <v>1904</v>
      </c>
      <c r="B1889" t="s">
        <v>2733</v>
      </c>
      <c r="C1889" t="s">
        <v>16</v>
      </c>
      <c r="D1889" t="s">
        <v>4465</v>
      </c>
      <c r="E1889" t="s">
        <v>4448</v>
      </c>
      <c r="F1889" t="s">
        <v>2443</v>
      </c>
      <c r="G1889" s="2">
        <v>45413</v>
      </c>
      <c r="H1889">
        <v>0</v>
      </c>
      <c r="I1889">
        <v>0</v>
      </c>
      <c r="J1889" s="1">
        <v>145500</v>
      </c>
      <c r="K1889" s="1">
        <v>145500</v>
      </c>
    </row>
    <row r="1890" spans="1:11" x14ac:dyDescent="0.25">
      <c r="A1890" t="s">
        <v>1898</v>
      </c>
      <c r="B1890" t="s">
        <v>2734</v>
      </c>
      <c r="C1890" t="s">
        <v>16</v>
      </c>
      <c r="D1890" t="s">
        <v>4461</v>
      </c>
      <c r="E1890" t="s">
        <v>4455</v>
      </c>
      <c r="F1890" t="s">
        <v>2443</v>
      </c>
      <c r="G1890" s="2">
        <v>45414</v>
      </c>
      <c r="H1890">
        <v>0</v>
      </c>
      <c r="I1890">
        <v>0</v>
      </c>
      <c r="J1890" s="1">
        <v>145500</v>
      </c>
      <c r="K1890" s="1">
        <v>145500</v>
      </c>
    </row>
    <row r="1891" spans="1:11" x14ac:dyDescent="0.25">
      <c r="A1891" t="s">
        <v>1898</v>
      </c>
      <c r="B1891" t="s">
        <v>2734</v>
      </c>
      <c r="C1891" t="s">
        <v>16</v>
      </c>
      <c r="D1891" t="s">
        <v>4461</v>
      </c>
      <c r="E1891" t="s">
        <v>4455</v>
      </c>
      <c r="F1891" t="s">
        <v>2443</v>
      </c>
      <c r="G1891" s="2">
        <v>45414</v>
      </c>
      <c r="H1891">
        <v>0</v>
      </c>
      <c r="I1891">
        <v>0</v>
      </c>
      <c r="J1891" s="1">
        <v>145500</v>
      </c>
      <c r="K1891" s="1">
        <v>145500</v>
      </c>
    </row>
    <row r="1892" spans="1:11" x14ac:dyDescent="0.25">
      <c r="A1892" t="s">
        <v>1898</v>
      </c>
      <c r="B1892" t="s">
        <v>2734</v>
      </c>
      <c r="C1892" t="s">
        <v>16</v>
      </c>
      <c r="D1892" t="s">
        <v>4461</v>
      </c>
      <c r="E1892" t="s">
        <v>4455</v>
      </c>
      <c r="F1892" t="s">
        <v>2443</v>
      </c>
      <c r="G1892" s="2">
        <v>45414</v>
      </c>
      <c r="H1892">
        <v>0</v>
      </c>
      <c r="I1892">
        <v>0</v>
      </c>
      <c r="J1892" s="1">
        <v>145500</v>
      </c>
      <c r="K1892" s="1">
        <v>145500</v>
      </c>
    </row>
    <row r="1893" spans="1:11" x14ac:dyDescent="0.25">
      <c r="A1893" t="s">
        <v>1898</v>
      </c>
      <c r="B1893" t="s">
        <v>2734</v>
      </c>
      <c r="C1893" t="s">
        <v>16</v>
      </c>
      <c r="D1893" t="s">
        <v>4461</v>
      </c>
      <c r="E1893" t="s">
        <v>4455</v>
      </c>
      <c r="F1893" t="s">
        <v>2443</v>
      </c>
      <c r="G1893" s="2">
        <v>45414</v>
      </c>
      <c r="H1893">
        <v>0</v>
      </c>
      <c r="I1893">
        <v>0</v>
      </c>
      <c r="J1893" s="1">
        <v>145500</v>
      </c>
      <c r="K1893" s="1">
        <v>145500</v>
      </c>
    </row>
    <row r="1894" spans="1:11" x14ac:dyDescent="0.25">
      <c r="A1894" t="s">
        <v>1886</v>
      </c>
      <c r="B1894" t="s">
        <v>2736</v>
      </c>
      <c r="C1894" t="s">
        <v>16</v>
      </c>
      <c r="D1894" t="s">
        <v>4461</v>
      </c>
      <c r="E1894" t="s">
        <v>4459</v>
      </c>
      <c r="F1894" t="s">
        <v>2443</v>
      </c>
      <c r="G1894" s="2">
        <v>45415</v>
      </c>
      <c r="H1894">
        <v>0</v>
      </c>
      <c r="I1894">
        <v>0</v>
      </c>
      <c r="J1894" s="1">
        <v>145500</v>
      </c>
      <c r="K1894" s="1">
        <v>145500</v>
      </c>
    </row>
    <row r="1895" spans="1:11" x14ac:dyDescent="0.25">
      <c r="A1895" t="s">
        <v>1870</v>
      </c>
      <c r="B1895" t="s">
        <v>2722</v>
      </c>
      <c r="C1895" t="s">
        <v>16</v>
      </c>
      <c r="D1895" t="s">
        <v>4462</v>
      </c>
      <c r="E1895" t="s">
        <v>4446</v>
      </c>
      <c r="F1895" t="s">
        <v>2443</v>
      </c>
      <c r="G1895" s="2">
        <v>45418</v>
      </c>
      <c r="H1895">
        <v>0</v>
      </c>
      <c r="I1895">
        <v>0</v>
      </c>
      <c r="J1895" s="1">
        <v>145500</v>
      </c>
      <c r="K1895" s="1">
        <v>145500</v>
      </c>
    </row>
    <row r="1896" spans="1:11" x14ac:dyDescent="0.25">
      <c r="A1896" t="s">
        <v>1872</v>
      </c>
      <c r="B1896" t="s">
        <v>2710</v>
      </c>
      <c r="C1896" t="s">
        <v>42</v>
      </c>
      <c r="D1896" t="s">
        <v>4467</v>
      </c>
      <c r="E1896" t="s">
        <v>4436</v>
      </c>
      <c r="F1896" t="s">
        <v>2443</v>
      </c>
      <c r="G1896" s="2">
        <v>45418</v>
      </c>
      <c r="H1896">
        <v>0</v>
      </c>
      <c r="I1896">
        <v>0</v>
      </c>
      <c r="J1896" s="1">
        <v>145500</v>
      </c>
      <c r="K1896" s="1">
        <v>145500</v>
      </c>
    </row>
    <row r="1897" spans="1:11" x14ac:dyDescent="0.25">
      <c r="A1897" t="s">
        <v>1871</v>
      </c>
      <c r="B1897" t="s">
        <v>2706</v>
      </c>
      <c r="C1897" t="s">
        <v>27</v>
      </c>
      <c r="D1897" t="s">
        <v>4461</v>
      </c>
      <c r="E1897" t="s">
        <v>4452</v>
      </c>
      <c r="F1897" t="s">
        <v>2443</v>
      </c>
      <c r="G1897" s="2">
        <v>45418</v>
      </c>
      <c r="H1897">
        <v>0</v>
      </c>
      <c r="I1897">
        <v>0</v>
      </c>
      <c r="J1897" s="1">
        <v>145500</v>
      </c>
      <c r="K1897" s="1">
        <v>145500</v>
      </c>
    </row>
    <row r="1898" spans="1:11" x14ac:dyDescent="0.25">
      <c r="A1898" t="s">
        <v>1865</v>
      </c>
      <c r="B1898" t="s">
        <v>2700</v>
      </c>
      <c r="C1898" t="s">
        <v>27</v>
      </c>
      <c r="D1898" t="s">
        <v>4466</v>
      </c>
      <c r="E1898" t="s">
        <v>4450</v>
      </c>
      <c r="F1898" t="s">
        <v>2443</v>
      </c>
      <c r="G1898" s="2">
        <v>45419</v>
      </c>
      <c r="H1898">
        <v>0</v>
      </c>
      <c r="I1898">
        <v>0</v>
      </c>
      <c r="J1898" s="1">
        <v>145500</v>
      </c>
      <c r="K1898" s="1">
        <v>145500</v>
      </c>
    </row>
    <row r="1899" spans="1:11" x14ac:dyDescent="0.25">
      <c r="A1899" t="s">
        <v>1867</v>
      </c>
      <c r="B1899" t="s">
        <v>2717</v>
      </c>
      <c r="C1899" t="s">
        <v>16</v>
      </c>
      <c r="D1899" t="s">
        <v>4466</v>
      </c>
      <c r="E1899" t="s">
        <v>4431</v>
      </c>
      <c r="F1899" t="s">
        <v>2443</v>
      </c>
      <c r="G1899" s="2">
        <v>45419</v>
      </c>
      <c r="H1899">
        <v>0</v>
      </c>
      <c r="I1899">
        <v>0</v>
      </c>
      <c r="J1899" s="1">
        <v>145500</v>
      </c>
      <c r="K1899" s="1">
        <v>145500</v>
      </c>
    </row>
    <row r="1900" spans="1:11" x14ac:dyDescent="0.25">
      <c r="A1900" t="s">
        <v>1867</v>
      </c>
      <c r="B1900" t="s">
        <v>2717</v>
      </c>
      <c r="C1900" t="s">
        <v>16</v>
      </c>
      <c r="D1900" t="s">
        <v>4466</v>
      </c>
      <c r="E1900" t="s">
        <v>4431</v>
      </c>
      <c r="F1900" t="s">
        <v>2443</v>
      </c>
      <c r="G1900" s="2">
        <v>45419</v>
      </c>
      <c r="H1900">
        <v>0</v>
      </c>
      <c r="I1900">
        <v>0</v>
      </c>
      <c r="J1900" s="1">
        <v>209983.86</v>
      </c>
      <c r="K1900" s="1">
        <v>209983.86</v>
      </c>
    </row>
    <row r="1901" spans="1:11" x14ac:dyDescent="0.25">
      <c r="A1901" t="s">
        <v>1846</v>
      </c>
      <c r="B1901" t="s">
        <v>2701</v>
      </c>
      <c r="C1901" t="s">
        <v>16</v>
      </c>
      <c r="D1901" t="s">
        <v>4466</v>
      </c>
      <c r="E1901" t="s">
        <v>4453</v>
      </c>
      <c r="F1901" t="s">
        <v>2443</v>
      </c>
      <c r="G1901" s="2">
        <v>45420</v>
      </c>
      <c r="H1901">
        <v>0</v>
      </c>
      <c r="I1901">
        <v>0</v>
      </c>
      <c r="J1901" s="1">
        <v>145500</v>
      </c>
      <c r="K1901" s="1">
        <v>145500</v>
      </c>
    </row>
    <row r="1902" spans="1:11" x14ac:dyDescent="0.25">
      <c r="A1902" t="s">
        <v>1861</v>
      </c>
      <c r="B1902" t="s">
        <v>2729</v>
      </c>
      <c r="C1902" t="s">
        <v>16</v>
      </c>
      <c r="D1902" t="s">
        <v>4465</v>
      </c>
      <c r="E1902" t="s">
        <v>4427</v>
      </c>
      <c r="F1902" t="s">
        <v>2443</v>
      </c>
      <c r="G1902" s="2">
        <v>45420</v>
      </c>
      <c r="H1902">
        <v>0</v>
      </c>
      <c r="I1902">
        <v>0</v>
      </c>
      <c r="J1902" s="1">
        <v>145500</v>
      </c>
      <c r="K1902" s="1">
        <v>145500</v>
      </c>
    </row>
    <row r="1903" spans="1:11" x14ac:dyDescent="0.25">
      <c r="A1903" t="s">
        <v>1816</v>
      </c>
      <c r="B1903" t="s">
        <v>2718</v>
      </c>
      <c r="C1903" t="s">
        <v>16</v>
      </c>
      <c r="D1903" t="s">
        <v>4466</v>
      </c>
      <c r="E1903" t="s">
        <v>4438</v>
      </c>
      <c r="F1903" t="s">
        <v>2443</v>
      </c>
      <c r="G1903" s="2">
        <v>45425</v>
      </c>
      <c r="H1903">
        <v>0</v>
      </c>
      <c r="I1903">
        <v>0</v>
      </c>
      <c r="J1903" s="1">
        <v>145500</v>
      </c>
      <c r="K1903" s="1">
        <v>145500</v>
      </c>
    </row>
    <row r="1904" spans="1:11" x14ac:dyDescent="0.25">
      <c r="A1904" t="s">
        <v>1754</v>
      </c>
      <c r="B1904" t="s">
        <v>2737</v>
      </c>
      <c r="C1904" t="s">
        <v>16</v>
      </c>
      <c r="D1904" t="s">
        <v>4466</v>
      </c>
      <c r="E1904" t="s">
        <v>4432</v>
      </c>
      <c r="F1904" t="s">
        <v>2443</v>
      </c>
      <c r="G1904" s="2">
        <v>45432</v>
      </c>
      <c r="H1904">
        <v>0</v>
      </c>
      <c r="I1904">
        <v>0</v>
      </c>
      <c r="J1904" s="1">
        <v>145500</v>
      </c>
      <c r="K1904" s="1">
        <v>145500</v>
      </c>
    </row>
    <row r="1905" spans="1:11" x14ac:dyDescent="0.25">
      <c r="A1905" t="s">
        <v>1765</v>
      </c>
      <c r="B1905" t="s">
        <v>2727</v>
      </c>
      <c r="C1905" t="s">
        <v>16</v>
      </c>
      <c r="D1905" t="s">
        <v>4465</v>
      </c>
      <c r="E1905" t="s">
        <v>4445</v>
      </c>
      <c r="F1905" t="s">
        <v>2443</v>
      </c>
      <c r="G1905" s="2">
        <v>45432</v>
      </c>
      <c r="H1905">
        <v>0</v>
      </c>
      <c r="I1905">
        <v>0</v>
      </c>
      <c r="J1905" s="1">
        <v>145500</v>
      </c>
      <c r="K1905" s="1">
        <v>145500</v>
      </c>
    </row>
    <row r="1906" spans="1:11" x14ac:dyDescent="0.25">
      <c r="A1906" t="s">
        <v>1767</v>
      </c>
      <c r="B1906" t="s">
        <v>2726</v>
      </c>
      <c r="C1906" t="s">
        <v>16</v>
      </c>
      <c r="D1906" t="s">
        <v>4466</v>
      </c>
      <c r="E1906" t="s">
        <v>4437</v>
      </c>
      <c r="F1906" t="s">
        <v>2443</v>
      </c>
      <c r="G1906" s="2">
        <v>45432</v>
      </c>
      <c r="H1906">
        <v>0</v>
      </c>
      <c r="I1906">
        <v>0</v>
      </c>
      <c r="J1906" s="1">
        <v>145500</v>
      </c>
      <c r="K1906" s="1">
        <v>145500</v>
      </c>
    </row>
    <row r="1907" spans="1:11" x14ac:dyDescent="0.25">
      <c r="A1907" t="s">
        <v>1747</v>
      </c>
      <c r="B1907" t="s">
        <v>2706</v>
      </c>
      <c r="C1907" t="s">
        <v>27</v>
      </c>
      <c r="D1907" t="s">
        <v>4461</v>
      </c>
      <c r="E1907" t="s">
        <v>4452</v>
      </c>
      <c r="F1907" t="s">
        <v>2443</v>
      </c>
      <c r="G1907" s="2">
        <v>45433</v>
      </c>
      <c r="H1907">
        <v>0</v>
      </c>
      <c r="I1907">
        <v>0</v>
      </c>
      <c r="J1907" s="1">
        <v>145500</v>
      </c>
      <c r="K1907" s="1">
        <v>145500</v>
      </c>
    </row>
    <row r="1908" spans="1:11" x14ac:dyDescent="0.25">
      <c r="A1908" t="s">
        <v>1741</v>
      </c>
      <c r="B1908" t="s">
        <v>2699</v>
      </c>
      <c r="C1908" t="s">
        <v>16</v>
      </c>
      <c r="D1908" t="s">
        <v>4462</v>
      </c>
      <c r="E1908" t="s">
        <v>4440</v>
      </c>
      <c r="F1908" t="s">
        <v>2443</v>
      </c>
      <c r="G1908" s="2">
        <v>45433</v>
      </c>
      <c r="H1908">
        <v>0</v>
      </c>
      <c r="I1908">
        <v>0</v>
      </c>
      <c r="J1908" s="1">
        <v>145500</v>
      </c>
      <c r="K1908" s="1">
        <v>145500</v>
      </c>
    </row>
    <row r="1909" spans="1:11" x14ac:dyDescent="0.25">
      <c r="A1909" t="s">
        <v>1739</v>
      </c>
      <c r="B1909" t="s">
        <v>2711</v>
      </c>
      <c r="C1909" t="s">
        <v>16</v>
      </c>
      <c r="D1909" t="s">
        <v>4461</v>
      </c>
      <c r="E1909" t="s">
        <v>4447</v>
      </c>
      <c r="F1909" t="s">
        <v>2443</v>
      </c>
      <c r="G1909" s="2">
        <v>45434</v>
      </c>
      <c r="H1909">
        <v>0</v>
      </c>
      <c r="I1909">
        <v>0</v>
      </c>
      <c r="J1909" s="1">
        <v>145500</v>
      </c>
      <c r="K1909" s="1">
        <v>145500</v>
      </c>
    </row>
    <row r="1910" spans="1:11" x14ac:dyDescent="0.25">
      <c r="A1910" t="s">
        <v>1738</v>
      </c>
      <c r="B1910" t="s">
        <v>2718</v>
      </c>
      <c r="C1910" t="s">
        <v>16</v>
      </c>
      <c r="D1910" t="s">
        <v>4466</v>
      </c>
      <c r="E1910" t="s">
        <v>4438</v>
      </c>
      <c r="F1910" t="s">
        <v>2443</v>
      </c>
      <c r="G1910" s="2">
        <v>45434</v>
      </c>
      <c r="H1910">
        <v>0</v>
      </c>
      <c r="I1910">
        <v>0</v>
      </c>
      <c r="J1910" s="1">
        <v>110346.45</v>
      </c>
      <c r="K1910" s="1">
        <v>110346.45</v>
      </c>
    </row>
    <row r="1911" spans="1:11" x14ac:dyDescent="0.25">
      <c r="A1911" t="s">
        <v>1705</v>
      </c>
      <c r="B1911" t="s">
        <v>2708</v>
      </c>
      <c r="C1911" t="s">
        <v>16</v>
      </c>
      <c r="D1911" t="s">
        <v>4466</v>
      </c>
      <c r="E1911" t="s">
        <v>4457</v>
      </c>
      <c r="F1911" t="s">
        <v>2443</v>
      </c>
      <c r="G1911" s="2">
        <v>45437</v>
      </c>
      <c r="H1911">
        <v>0</v>
      </c>
      <c r="I1911">
        <v>0</v>
      </c>
      <c r="J1911" s="1">
        <v>145500</v>
      </c>
      <c r="K1911" s="1">
        <v>145500</v>
      </c>
    </row>
    <row r="1912" spans="1:11" x14ac:dyDescent="0.25">
      <c r="A1912" t="s">
        <v>1706</v>
      </c>
      <c r="B1912" t="s">
        <v>2730</v>
      </c>
      <c r="C1912" t="s">
        <v>42</v>
      </c>
      <c r="D1912" t="s">
        <v>4467</v>
      </c>
      <c r="E1912" t="s">
        <v>4441</v>
      </c>
      <c r="F1912" t="s">
        <v>2443</v>
      </c>
      <c r="G1912" s="2">
        <v>45437</v>
      </c>
      <c r="H1912">
        <v>0</v>
      </c>
      <c r="I1912">
        <v>0</v>
      </c>
      <c r="J1912" s="1">
        <v>145500</v>
      </c>
      <c r="K1912" s="1">
        <v>145500</v>
      </c>
    </row>
    <row r="1913" spans="1:11" x14ac:dyDescent="0.25">
      <c r="A1913" t="s">
        <v>1694</v>
      </c>
      <c r="B1913" t="s">
        <v>2716</v>
      </c>
      <c r="C1913" t="s">
        <v>16</v>
      </c>
      <c r="D1913" t="s">
        <v>4462</v>
      </c>
      <c r="E1913" t="s">
        <v>4458</v>
      </c>
      <c r="F1913" t="s">
        <v>2443</v>
      </c>
      <c r="G1913" s="2">
        <v>45439</v>
      </c>
      <c r="H1913">
        <v>0</v>
      </c>
      <c r="I1913">
        <v>0</v>
      </c>
      <c r="J1913" s="1">
        <v>145500</v>
      </c>
      <c r="K1913" s="1">
        <v>145500</v>
      </c>
    </row>
    <row r="1914" spans="1:11" x14ac:dyDescent="0.25">
      <c r="A1914" t="s">
        <v>1694</v>
      </c>
      <c r="B1914" t="s">
        <v>2716</v>
      </c>
      <c r="C1914" t="s">
        <v>16</v>
      </c>
      <c r="D1914" t="s">
        <v>4462</v>
      </c>
      <c r="E1914" t="s">
        <v>4458</v>
      </c>
      <c r="F1914" t="s">
        <v>2443</v>
      </c>
      <c r="G1914" s="2">
        <v>45439</v>
      </c>
      <c r="H1914">
        <v>0</v>
      </c>
      <c r="I1914">
        <v>0</v>
      </c>
      <c r="J1914" s="1">
        <v>107688.62</v>
      </c>
      <c r="K1914" s="1">
        <v>107688.62</v>
      </c>
    </row>
    <row r="1915" spans="1:11" x14ac:dyDescent="0.25">
      <c r="A1915" t="s">
        <v>1674</v>
      </c>
      <c r="B1915" t="s">
        <v>2735</v>
      </c>
      <c r="C1915" t="s">
        <v>16</v>
      </c>
      <c r="D1915" t="s">
        <v>4462</v>
      </c>
      <c r="E1915" t="s">
        <v>4426</v>
      </c>
      <c r="F1915" t="s">
        <v>2443</v>
      </c>
      <c r="G1915" s="2">
        <v>45441</v>
      </c>
      <c r="H1915">
        <v>0</v>
      </c>
      <c r="I1915">
        <v>0</v>
      </c>
      <c r="J1915" s="1">
        <v>145500</v>
      </c>
      <c r="K1915" s="1">
        <v>145500</v>
      </c>
    </row>
    <row r="1916" spans="1:11" x14ac:dyDescent="0.25">
      <c r="A1916" t="s">
        <v>1664</v>
      </c>
      <c r="B1916" t="s">
        <v>2709</v>
      </c>
      <c r="C1916" t="s">
        <v>42</v>
      </c>
      <c r="D1916" t="s">
        <v>4467</v>
      </c>
      <c r="E1916" t="s">
        <v>4456</v>
      </c>
      <c r="F1916" t="s">
        <v>2443</v>
      </c>
      <c r="G1916" s="2">
        <v>45443</v>
      </c>
      <c r="H1916">
        <v>0</v>
      </c>
      <c r="I1916">
        <v>0</v>
      </c>
      <c r="J1916" s="1">
        <v>64845.42</v>
      </c>
      <c r="K1916" s="1">
        <v>64845.42</v>
      </c>
    </row>
    <row r="1917" spans="1:11" x14ac:dyDescent="0.25">
      <c r="A1917" t="s">
        <v>1662</v>
      </c>
      <c r="B1917" t="s">
        <v>2713</v>
      </c>
      <c r="C1917" t="s">
        <v>16</v>
      </c>
      <c r="D1917" t="s">
        <v>4465</v>
      </c>
      <c r="E1917" t="s">
        <v>4428</v>
      </c>
      <c r="F1917" t="s">
        <v>2443</v>
      </c>
      <c r="G1917" s="2">
        <v>45443</v>
      </c>
      <c r="H1917">
        <v>0</v>
      </c>
      <c r="I1917">
        <v>0</v>
      </c>
      <c r="J1917" s="1">
        <v>145500</v>
      </c>
      <c r="K1917" s="1">
        <v>582000</v>
      </c>
    </row>
    <row r="1918" spans="1:11" x14ac:dyDescent="0.25">
      <c r="A1918" t="s">
        <v>1663</v>
      </c>
      <c r="B1918" t="s">
        <v>2719</v>
      </c>
      <c r="C1918" t="s">
        <v>16</v>
      </c>
      <c r="D1918" t="s">
        <v>4466</v>
      </c>
      <c r="E1918" t="s">
        <v>4430</v>
      </c>
      <c r="F1918" t="s">
        <v>2443</v>
      </c>
      <c r="G1918" s="2">
        <v>45443</v>
      </c>
      <c r="H1918">
        <v>0</v>
      </c>
      <c r="I1918">
        <v>0</v>
      </c>
      <c r="J1918" s="1">
        <v>145500</v>
      </c>
      <c r="K1918" s="1">
        <v>145500</v>
      </c>
    </row>
    <row r="1919" spans="1:11" x14ac:dyDescent="0.25">
      <c r="A1919" t="s">
        <v>1663</v>
      </c>
      <c r="B1919" t="s">
        <v>2719</v>
      </c>
      <c r="C1919" t="s">
        <v>16</v>
      </c>
      <c r="D1919" t="s">
        <v>4466</v>
      </c>
      <c r="E1919" t="s">
        <v>4430</v>
      </c>
      <c r="F1919" t="s">
        <v>2443</v>
      </c>
      <c r="G1919" s="2">
        <v>45443</v>
      </c>
      <c r="H1919">
        <v>0</v>
      </c>
      <c r="I1919">
        <v>0</v>
      </c>
      <c r="J1919" s="1">
        <v>290655.46000000002</v>
      </c>
      <c r="K1919" s="1">
        <v>290655.46000000002</v>
      </c>
    </row>
    <row r="1920" spans="1:11" x14ac:dyDescent="0.25">
      <c r="A1920" t="s">
        <v>1640</v>
      </c>
      <c r="B1920" t="s">
        <v>2701</v>
      </c>
      <c r="C1920" t="s">
        <v>16</v>
      </c>
      <c r="D1920" t="s">
        <v>4466</v>
      </c>
      <c r="E1920" t="s">
        <v>4453</v>
      </c>
      <c r="F1920" t="s">
        <v>2443</v>
      </c>
      <c r="G1920" s="2">
        <v>45444</v>
      </c>
      <c r="H1920">
        <v>0</v>
      </c>
      <c r="I1920">
        <v>0</v>
      </c>
      <c r="J1920" s="1">
        <v>30608.86</v>
      </c>
      <c r="K1920" s="1">
        <v>30608.86</v>
      </c>
    </row>
    <row r="1921" spans="1:11" x14ac:dyDescent="0.25">
      <c r="A1921" t="s">
        <v>1641</v>
      </c>
      <c r="B1921" t="s">
        <v>2707</v>
      </c>
      <c r="C1921" t="s">
        <v>16</v>
      </c>
      <c r="D1921" t="s">
        <v>4462</v>
      </c>
      <c r="E1921" t="s">
        <v>4433</v>
      </c>
      <c r="F1921" t="s">
        <v>2443</v>
      </c>
      <c r="G1921" s="2">
        <v>45444</v>
      </c>
      <c r="H1921">
        <v>0</v>
      </c>
      <c r="I1921">
        <v>0</v>
      </c>
      <c r="J1921" s="1">
        <v>145500</v>
      </c>
      <c r="K1921" s="1">
        <v>145500</v>
      </c>
    </row>
    <row r="1922" spans="1:11" x14ac:dyDescent="0.25">
      <c r="A1922" t="s">
        <v>1646</v>
      </c>
      <c r="B1922" t="s">
        <v>2698</v>
      </c>
      <c r="C1922" t="s">
        <v>16</v>
      </c>
      <c r="D1922" t="s">
        <v>4465</v>
      </c>
      <c r="E1922" t="s">
        <v>4442</v>
      </c>
      <c r="F1922" t="s">
        <v>2443</v>
      </c>
      <c r="G1922" s="2">
        <v>45444</v>
      </c>
      <c r="H1922">
        <v>0</v>
      </c>
      <c r="I1922">
        <v>0</v>
      </c>
      <c r="J1922" s="1">
        <v>145500</v>
      </c>
      <c r="K1922" s="1">
        <v>145500</v>
      </c>
    </row>
    <row r="1923" spans="1:11" x14ac:dyDescent="0.25">
      <c r="A1923" t="s">
        <v>1655</v>
      </c>
      <c r="B1923" t="s">
        <v>2726</v>
      </c>
      <c r="C1923" t="s">
        <v>16</v>
      </c>
      <c r="D1923" t="s">
        <v>4466</v>
      </c>
      <c r="E1923" t="s">
        <v>4437</v>
      </c>
      <c r="F1923" t="s">
        <v>2443</v>
      </c>
      <c r="G1923" s="2">
        <v>45444</v>
      </c>
      <c r="H1923">
        <v>0</v>
      </c>
      <c r="I1923">
        <v>0</v>
      </c>
      <c r="J1923" s="1">
        <v>145500</v>
      </c>
      <c r="K1923" s="1">
        <v>145500</v>
      </c>
    </row>
    <row r="1924" spans="1:11" x14ac:dyDescent="0.25">
      <c r="A1924" t="s">
        <v>1646</v>
      </c>
      <c r="B1924" t="s">
        <v>2698</v>
      </c>
      <c r="C1924" t="s">
        <v>16</v>
      </c>
      <c r="D1924" t="s">
        <v>4465</v>
      </c>
      <c r="E1924" t="s">
        <v>4442</v>
      </c>
      <c r="F1924" t="s">
        <v>2443</v>
      </c>
      <c r="G1924" s="2">
        <v>45444</v>
      </c>
      <c r="H1924">
        <v>0</v>
      </c>
      <c r="I1924">
        <v>0</v>
      </c>
      <c r="J1924" s="1">
        <v>9500</v>
      </c>
      <c r="K1924" s="1">
        <v>9500</v>
      </c>
    </row>
    <row r="1925" spans="1:11" x14ac:dyDescent="0.25">
      <c r="A1925" t="s">
        <v>1636</v>
      </c>
      <c r="B1925" t="s">
        <v>2701</v>
      </c>
      <c r="C1925" t="s">
        <v>16</v>
      </c>
      <c r="D1925" t="s">
        <v>4466</v>
      </c>
      <c r="E1925" t="s">
        <v>4453</v>
      </c>
      <c r="F1925" t="s">
        <v>2443</v>
      </c>
      <c r="G1925" s="2">
        <v>45445</v>
      </c>
      <c r="H1925">
        <v>0</v>
      </c>
      <c r="I1925">
        <v>0</v>
      </c>
      <c r="J1925" s="1">
        <v>145500</v>
      </c>
      <c r="K1925" s="1">
        <v>145500</v>
      </c>
    </row>
    <row r="1926" spans="1:11" x14ac:dyDescent="0.25">
      <c r="A1926" t="s">
        <v>1633</v>
      </c>
      <c r="B1926" t="s">
        <v>2729</v>
      </c>
      <c r="C1926" t="s">
        <v>16</v>
      </c>
      <c r="D1926" t="s">
        <v>4465</v>
      </c>
      <c r="E1926" t="s">
        <v>4427</v>
      </c>
      <c r="F1926" t="s">
        <v>2443</v>
      </c>
      <c r="G1926" s="2">
        <v>45446</v>
      </c>
      <c r="H1926">
        <v>0</v>
      </c>
      <c r="I1926">
        <v>0</v>
      </c>
      <c r="J1926" s="1">
        <v>145500</v>
      </c>
      <c r="K1926" s="1">
        <v>145500</v>
      </c>
    </row>
    <row r="1927" spans="1:11" x14ac:dyDescent="0.25">
      <c r="A1927" t="s">
        <v>1634</v>
      </c>
      <c r="B1927" t="s">
        <v>2699</v>
      </c>
      <c r="C1927" t="s">
        <v>16</v>
      </c>
      <c r="D1927" t="s">
        <v>4462</v>
      </c>
      <c r="E1927" t="s">
        <v>4440</v>
      </c>
      <c r="F1927" t="s">
        <v>2443</v>
      </c>
      <c r="G1927" s="2">
        <v>45446</v>
      </c>
      <c r="H1927">
        <v>0</v>
      </c>
      <c r="I1927">
        <v>0</v>
      </c>
      <c r="J1927" s="1">
        <v>145500</v>
      </c>
      <c r="K1927" s="1">
        <v>145500</v>
      </c>
    </row>
    <row r="1928" spans="1:11" x14ac:dyDescent="0.25">
      <c r="A1928" t="s">
        <v>1634</v>
      </c>
      <c r="B1928" t="s">
        <v>2699</v>
      </c>
      <c r="C1928" t="s">
        <v>16</v>
      </c>
      <c r="D1928" t="s">
        <v>4462</v>
      </c>
      <c r="E1928" t="s">
        <v>4440</v>
      </c>
      <c r="F1928" t="s">
        <v>2443</v>
      </c>
      <c r="G1928" s="2">
        <v>45446</v>
      </c>
      <c r="H1928">
        <v>0</v>
      </c>
      <c r="I1928">
        <v>0</v>
      </c>
      <c r="J1928" s="1">
        <v>145500</v>
      </c>
      <c r="K1928" s="1">
        <v>145500</v>
      </c>
    </row>
    <row r="1929" spans="1:11" x14ac:dyDescent="0.25">
      <c r="A1929" t="s">
        <v>1633</v>
      </c>
      <c r="B1929" t="s">
        <v>2729</v>
      </c>
      <c r="C1929" t="s">
        <v>16</v>
      </c>
      <c r="D1929" t="s">
        <v>4465</v>
      </c>
      <c r="E1929" t="s">
        <v>4427</v>
      </c>
      <c r="F1929" t="s">
        <v>2443</v>
      </c>
      <c r="G1929" s="2">
        <v>45446</v>
      </c>
      <c r="H1929">
        <v>0</v>
      </c>
      <c r="I1929">
        <v>0</v>
      </c>
      <c r="J1929" s="1">
        <v>150000</v>
      </c>
      <c r="K1929" s="1">
        <v>150000</v>
      </c>
    </row>
    <row r="1930" spans="1:11" x14ac:dyDescent="0.25">
      <c r="A1930" t="s">
        <v>1614</v>
      </c>
      <c r="B1930" t="s">
        <v>2717</v>
      </c>
      <c r="C1930" t="s">
        <v>16</v>
      </c>
      <c r="D1930" t="s">
        <v>4466</v>
      </c>
      <c r="E1930" t="s">
        <v>4431</v>
      </c>
      <c r="F1930" t="s">
        <v>2443</v>
      </c>
      <c r="G1930" s="2">
        <v>45448</v>
      </c>
      <c r="H1930">
        <v>0</v>
      </c>
      <c r="I1930">
        <v>0</v>
      </c>
      <c r="J1930" s="1">
        <v>145500</v>
      </c>
      <c r="K1930" s="1">
        <v>145500</v>
      </c>
    </row>
    <row r="1931" spans="1:11" x14ac:dyDescent="0.25">
      <c r="A1931" t="s">
        <v>1618</v>
      </c>
      <c r="B1931" t="s">
        <v>2735</v>
      </c>
      <c r="C1931" t="s">
        <v>16</v>
      </c>
      <c r="D1931" t="s">
        <v>4462</v>
      </c>
      <c r="E1931" t="s">
        <v>4426</v>
      </c>
      <c r="F1931" t="s">
        <v>2443</v>
      </c>
      <c r="G1931" s="2">
        <v>45448</v>
      </c>
      <c r="H1931">
        <v>0</v>
      </c>
      <c r="I1931">
        <v>0</v>
      </c>
      <c r="J1931" s="1">
        <v>145500</v>
      </c>
      <c r="K1931" s="1">
        <v>145500</v>
      </c>
    </row>
    <row r="1932" spans="1:11" x14ac:dyDescent="0.25">
      <c r="A1932" t="s">
        <v>1620</v>
      </c>
      <c r="B1932" t="s">
        <v>2732</v>
      </c>
      <c r="C1932" t="s">
        <v>16</v>
      </c>
      <c r="D1932" t="s">
        <v>4461</v>
      </c>
      <c r="E1932" t="s">
        <v>4444</v>
      </c>
      <c r="F1932" t="s">
        <v>2443</v>
      </c>
      <c r="G1932" s="2">
        <v>45448</v>
      </c>
      <c r="H1932">
        <v>0</v>
      </c>
      <c r="I1932">
        <v>0</v>
      </c>
      <c r="J1932" s="1">
        <v>145500</v>
      </c>
      <c r="K1932" s="1">
        <v>145500</v>
      </c>
    </row>
    <row r="1933" spans="1:11" x14ac:dyDescent="0.25">
      <c r="A1933" t="s">
        <v>1622</v>
      </c>
      <c r="B1933" t="s">
        <v>2736</v>
      </c>
      <c r="C1933" t="s">
        <v>16</v>
      </c>
      <c r="D1933" t="s">
        <v>4461</v>
      </c>
      <c r="E1933" t="s">
        <v>4459</v>
      </c>
      <c r="F1933" t="s">
        <v>2443</v>
      </c>
      <c r="G1933" s="2">
        <v>45448</v>
      </c>
      <c r="H1933">
        <v>0</v>
      </c>
      <c r="I1933">
        <v>0</v>
      </c>
      <c r="J1933" s="1">
        <v>145500</v>
      </c>
      <c r="K1933" s="1">
        <v>145500</v>
      </c>
    </row>
    <row r="1934" spans="1:11" x14ac:dyDescent="0.25">
      <c r="A1934" t="s">
        <v>1623</v>
      </c>
      <c r="B1934" t="s">
        <v>2722</v>
      </c>
      <c r="C1934" t="s">
        <v>16</v>
      </c>
      <c r="D1934" t="s">
        <v>4462</v>
      </c>
      <c r="E1934" t="s">
        <v>4446</v>
      </c>
      <c r="F1934" t="s">
        <v>2443</v>
      </c>
      <c r="G1934" s="2">
        <v>45448</v>
      </c>
      <c r="H1934">
        <v>0</v>
      </c>
      <c r="I1934">
        <v>0</v>
      </c>
      <c r="J1934" s="1">
        <v>145500</v>
      </c>
      <c r="K1934" s="1">
        <v>145500</v>
      </c>
    </row>
    <row r="1935" spans="1:11" x14ac:dyDescent="0.25">
      <c r="A1935" t="s">
        <v>1625</v>
      </c>
      <c r="B1935" t="s">
        <v>2734</v>
      </c>
      <c r="C1935" t="s">
        <v>16</v>
      </c>
      <c r="D1935" t="s">
        <v>4461</v>
      </c>
      <c r="E1935" t="s">
        <v>4455</v>
      </c>
      <c r="F1935" t="s">
        <v>2443</v>
      </c>
      <c r="G1935" s="2">
        <v>45448</v>
      </c>
      <c r="H1935">
        <v>0</v>
      </c>
      <c r="I1935">
        <v>0</v>
      </c>
      <c r="J1935" s="1">
        <v>145500</v>
      </c>
      <c r="K1935" s="1">
        <v>145500</v>
      </c>
    </row>
    <row r="1936" spans="1:11" x14ac:dyDescent="0.25">
      <c r="A1936" t="s">
        <v>1625</v>
      </c>
      <c r="B1936" t="s">
        <v>2734</v>
      </c>
      <c r="C1936" t="s">
        <v>16</v>
      </c>
      <c r="D1936" t="s">
        <v>4461</v>
      </c>
      <c r="E1936" t="s">
        <v>4455</v>
      </c>
      <c r="F1936" t="s">
        <v>2443</v>
      </c>
      <c r="G1936" s="2">
        <v>45448</v>
      </c>
      <c r="H1936">
        <v>0</v>
      </c>
      <c r="I1936">
        <v>0</v>
      </c>
      <c r="J1936" s="1">
        <v>145500</v>
      </c>
      <c r="K1936" s="1">
        <v>145500</v>
      </c>
    </row>
    <row r="1937" spans="1:11" x14ac:dyDescent="0.25">
      <c r="A1937" t="s">
        <v>1598</v>
      </c>
      <c r="B1937" t="s">
        <v>2733</v>
      </c>
      <c r="C1937" t="s">
        <v>16</v>
      </c>
      <c r="D1937" t="s">
        <v>4465</v>
      </c>
      <c r="E1937" t="s">
        <v>4448</v>
      </c>
      <c r="F1937" t="s">
        <v>2443</v>
      </c>
      <c r="G1937" s="2">
        <v>45449</v>
      </c>
      <c r="H1937">
        <v>0</v>
      </c>
      <c r="I1937">
        <v>0</v>
      </c>
      <c r="J1937" s="1">
        <v>145500</v>
      </c>
      <c r="K1937" s="1">
        <v>145500</v>
      </c>
    </row>
    <row r="1938" spans="1:11" x14ac:dyDescent="0.25">
      <c r="A1938" t="s">
        <v>1592</v>
      </c>
      <c r="B1938" t="s">
        <v>2718</v>
      </c>
      <c r="C1938" t="s">
        <v>16</v>
      </c>
      <c r="D1938" t="s">
        <v>4466</v>
      </c>
      <c r="E1938" t="s">
        <v>4438</v>
      </c>
      <c r="F1938" t="s">
        <v>2443</v>
      </c>
      <c r="G1938" s="2">
        <v>45450</v>
      </c>
      <c r="H1938">
        <v>0</v>
      </c>
      <c r="I1938">
        <v>0</v>
      </c>
      <c r="J1938" s="1">
        <v>145500</v>
      </c>
      <c r="K1938" s="1">
        <v>145500</v>
      </c>
    </row>
    <row r="1939" spans="1:11" x14ac:dyDescent="0.25">
      <c r="A1939" t="s">
        <v>1584</v>
      </c>
      <c r="B1939" t="s">
        <v>2737</v>
      </c>
      <c r="C1939" t="s">
        <v>16</v>
      </c>
      <c r="D1939" t="s">
        <v>4466</v>
      </c>
      <c r="E1939" t="s">
        <v>4432</v>
      </c>
      <c r="F1939" t="s">
        <v>2443</v>
      </c>
      <c r="G1939" s="2">
        <v>45453</v>
      </c>
      <c r="H1939">
        <v>0</v>
      </c>
      <c r="I1939">
        <v>0</v>
      </c>
      <c r="J1939" s="1">
        <v>145500</v>
      </c>
      <c r="K1939" s="1">
        <v>145500</v>
      </c>
    </row>
    <row r="1940" spans="1:11" x14ac:dyDescent="0.25">
      <c r="A1940" t="s">
        <v>1560</v>
      </c>
      <c r="B1940" t="s">
        <v>2729</v>
      </c>
      <c r="C1940" t="s">
        <v>16</v>
      </c>
      <c r="D1940" t="s">
        <v>4465</v>
      </c>
      <c r="E1940" t="s">
        <v>4427</v>
      </c>
      <c r="F1940" t="s">
        <v>2443</v>
      </c>
      <c r="G1940" s="2">
        <v>45456</v>
      </c>
      <c r="H1940">
        <v>0</v>
      </c>
      <c r="I1940">
        <v>0</v>
      </c>
      <c r="J1940" s="1">
        <v>150000</v>
      </c>
      <c r="K1940" s="1">
        <v>150000</v>
      </c>
    </row>
    <row r="1941" spans="1:11" x14ac:dyDescent="0.25">
      <c r="A1941" t="s">
        <v>1536</v>
      </c>
      <c r="B1941" t="s">
        <v>2708</v>
      </c>
      <c r="C1941" t="s">
        <v>16</v>
      </c>
      <c r="D1941" t="s">
        <v>4466</v>
      </c>
      <c r="E1941" t="s">
        <v>4457</v>
      </c>
      <c r="F1941" t="s">
        <v>2443</v>
      </c>
      <c r="G1941" s="2">
        <v>45459</v>
      </c>
      <c r="H1941">
        <v>0</v>
      </c>
      <c r="I1941">
        <v>0</v>
      </c>
      <c r="J1941" s="1">
        <v>145500</v>
      </c>
      <c r="K1941" s="1">
        <v>145500</v>
      </c>
    </row>
    <row r="1942" spans="1:11" x14ac:dyDescent="0.25">
      <c r="A1942" t="s">
        <v>1533</v>
      </c>
      <c r="B1942" t="s">
        <v>2706</v>
      </c>
      <c r="C1942" t="s">
        <v>27</v>
      </c>
      <c r="D1942" t="s">
        <v>4461</v>
      </c>
      <c r="E1942" t="s">
        <v>4452</v>
      </c>
      <c r="F1942" t="s">
        <v>2443</v>
      </c>
      <c r="G1942" s="2">
        <v>45460</v>
      </c>
      <c r="H1942">
        <v>0</v>
      </c>
      <c r="I1942">
        <v>0</v>
      </c>
      <c r="J1942" s="1">
        <v>145500</v>
      </c>
      <c r="K1942" s="1">
        <v>145500</v>
      </c>
    </row>
    <row r="1943" spans="1:11" x14ac:dyDescent="0.25">
      <c r="A1943" t="s">
        <v>1503</v>
      </c>
      <c r="B1943" t="s">
        <v>2711</v>
      </c>
      <c r="C1943" t="s">
        <v>16</v>
      </c>
      <c r="D1943" t="s">
        <v>4461</v>
      </c>
      <c r="E1943" t="s">
        <v>4447</v>
      </c>
      <c r="F1943" t="s">
        <v>2443</v>
      </c>
      <c r="G1943" s="2">
        <v>45464</v>
      </c>
      <c r="H1943">
        <v>0</v>
      </c>
      <c r="I1943">
        <v>0</v>
      </c>
      <c r="J1943" s="1">
        <v>145500</v>
      </c>
      <c r="K1943" s="1">
        <v>145500</v>
      </c>
    </row>
    <row r="1944" spans="1:11" x14ac:dyDescent="0.25">
      <c r="A1944" t="s">
        <v>1463</v>
      </c>
      <c r="B1944" t="s">
        <v>2727</v>
      </c>
      <c r="C1944" t="s">
        <v>16</v>
      </c>
      <c r="D1944" t="s">
        <v>4465</v>
      </c>
      <c r="E1944" t="s">
        <v>4445</v>
      </c>
      <c r="F1944" t="s">
        <v>2443</v>
      </c>
      <c r="G1944" s="2">
        <v>45469</v>
      </c>
      <c r="H1944">
        <v>0</v>
      </c>
      <c r="I1944">
        <v>0</v>
      </c>
      <c r="J1944" s="1">
        <v>145500</v>
      </c>
      <c r="K1944" s="1">
        <v>145500</v>
      </c>
    </row>
    <row r="1945" spans="1:11" x14ac:dyDescent="0.25">
      <c r="A1945" t="s">
        <v>1465</v>
      </c>
      <c r="B1945" t="s">
        <v>2729</v>
      </c>
      <c r="C1945" t="s">
        <v>16</v>
      </c>
      <c r="D1945" t="s">
        <v>4465</v>
      </c>
      <c r="E1945" t="s">
        <v>4427</v>
      </c>
      <c r="F1945" t="s">
        <v>2443</v>
      </c>
      <c r="G1945" s="2">
        <v>45469</v>
      </c>
      <c r="H1945">
        <v>0</v>
      </c>
      <c r="I1945">
        <v>0</v>
      </c>
      <c r="J1945" s="1">
        <v>150000</v>
      </c>
      <c r="K1945" s="1">
        <v>150000</v>
      </c>
    </row>
    <row r="1946" spans="1:11" x14ac:dyDescent="0.25">
      <c r="A1946" t="s">
        <v>1461</v>
      </c>
      <c r="B1946" t="s">
        <v>2716</v>
      </c>
      <c r="C1946" t="s">
        <v>16</v>
      </c>
      <c r="D1946" t="s">
        <v>4462</v>
      </c>
      <c r="E1946" t="s">
        <v>4458</v>
      </c>
      <c r="F1946" t="s">
        <v>2443</v>
      </c>
      <c r="G1946" s="2">
        <v>45469</v>
      </c>
      <c r="H1946">
        <v>0</v>
      </c>
      <c r="I1946">
        <v>0</v>
      </c>
      <c r="J1946" s="1">
        <v>107688.92</v>
      </c>
      <c r="K1946" s="1">
        <v>107688.92</v>
      </c>
    </row>
    <row r="1947" spans="1:11" x14ac:dyDescent="0.25">
      <c r="A1947" t="s">
        <v>1415</v>
      </c>
      <c r="B1947" t="s">
        <v>2726</v>
      </c>
      <c r="C1947" t="s">
        <v>16</v>
      </c>
      <c r="D1947" t="s">
        <v>4466</v>
      </c>
      <c r="E1947" t="s">
        <v>4437</v>
      </c>
      <c r="F1947" t="s">
        <v>2443</v>
      </c>
      <c r="G1947" s="2">
        <v>45474</v>
      </c>
      <c r="H1947">
        <v>0</v>
      </c>
      <c r="I1947">
        <v>0</v>
      </c>
      <c r="J1947" s="1">
        <v>145500</v>
      </c>
      <c r="K1947" s="1">
        <v>145500</v>
      </c>
    </row>
    <row r="1948" spans="1:11" x14ac:dyDescent="0.25">
      <c r="A1948" t="s">
        <v>1422</v>
      </c>
      <c r="B1948" t="s">
        <v>2698</v>
      </c>
      <c r="C1948" t="s">
        <v>16</v>
      </c>
      <c r="D1948" t="s">
        <v>4465</v>
      </c>
      <c r="E1948" t="s">
        <v>4442</v>
      </c>
      <c r="F1948" t="s">
        <v>2443</v>
      </c>
      <c r="G1948" s="2">
        <v>45474</v>
      </c>
      <c r="H1948">
        <v>0</v>
      </c>
      <c r="I1948">
        <v>0</v>
      </c>
      <c r="J1948" s="1">
        <v>145500</v>
      </c>
      <c r="K1948" s="1">
        <v>145500</v>
      </c>
    </row>
    <row r="1949" spans="1:11" x14ac:dyDescent="0.25">
      <c r="A1949" t="s">
        <v>1424</v>
      </c>
      <c r="B1949" t="s">
        <v>2717</v>
      </c>
      <c r="C1949" t="s">
        <v>16</v>
      </c>
      <c r="D1949" t="s">
        <v>4466</v>
      </c>
      <c r="E1949" t="s">
        <v>4431</v>
      </c>
      <c r="F1949" t="s">
        <v>2443</v>
      </c>
      <c r="G1949" s="2">
        <v>45474</v>
      </c>
      <c r="H1949">
        <v>0</v>
      </c>
      <c r="I1949">
        <v>0</v>
      </c>
      <c r="J1949" s="1">
        <v>145500</v>
      </c>
      <c r="K1949" s="1">
        <v>145500</v>
      </c>
    </row>
    <row r="1950" spans="1:11" x14ac:dyDescent="0.25">
      <c r="A1950" t="s">
        <v>1425</v>
      </c>
      <c r="B1950" t="s">
        <v>2707</v>
      </c>
      <c r="C1950" t="s">
        <v>16</v>
      </c>
      <c r="D1950" t="s">
        <v>4462</v>
      </c>
      <c r="E1950" t="s">
        <v>4433</v>
      </c>
      <c r="F1950" t="s">
        <v>2443</v>
      </c>
      <c r="G1950" s="2">
        <v>45474</v>
      </c>
      <c r="H1950">
        <v>0</v>
      </c>
      <c r="I1950">
        <v>0</v>
      </c>
      <c r="J1950" s="1">
        <v>145500</v>
      </c>
      <c r="K1950" s="1">
        <v>145500</v>
      </c>
    </row>
    <row r="1951" spans="1:11" x14ac:dyDescent="0.25">
      <c r="A1951" t="s">
        <v>1426</v>
      </c>
      <c r="B1951" t="s">
        <v>2733</v>
      </c>
      <c r="C1951" t="s">
        <v>16</v>
      </c>
      <c r="D1951" t="s">
        <v>4465</v>
      </c>
      <c r="E1951" t="s">
        <v>4448</v>
      </c>
      <c r="F1951" t="s">
        <v>2443</v>
      </c>
      <c r="G1951" s="2">
        <v>45474</v>
      </c>
      <c r="H1951">
        <v>0</v>
      </c>
      <c r="I1951">
        <v>0</v>
      </c>
      <c r="J1951" s="1">
        <v>145500</v>
      </c>
      <c r="K1951" s="1">
        <v>145500</v>
      </c>
    </row>
    <row r="1952" spans="1:11" x14ac:dyDescent="0.25">
      <c r="A1952" t="s">
        <v>1410</v>
      </c>
      <c r="B1952" t="s">
        <v>2732</v>
      </c>
      <c r="C1952" t="s">
        <v>16</v>
      </c>
      <c r="D1952" t="s">
        <v>4461</v>
      </c>
      <c r="E1952" t="s">
        <v>4444</v>
      </c>
      <c r="F1952" t="s">
        <v>2443</v>
      </c>
      <c r="G1952" s="2">
        <v>45476</v>
      </c>
      <c r="H1952">
        <v>0</v>
      </c>
      <c r="I1952">
        <v>0</v>
      </c>
      <c r="J1952" s="1">
        <v>145500</v>
      </c>
      <c r="K1952" s="1">
        <v>145500</v>
      </c>
    </row>
    <row r="1953" spans="1:11" x14ac:dyDescent="0.25">
      <c r="A1953" t="s">
        <v>1377</v>
      </c>
      <c r="B1953" t="s">
        <v>2701</v>
      </c>
      <c r="C1953" t="s">
        <v>16</v>
      </c>
      <c r="D1953" t="s">
        <v>4466</v>
      </c>
      <c r="E1953" t="s">
        <v>4453</v>
      </c>
      <c r="F1953" t="s">
        <v>2443</v>
      </c>
      <c r="G1953" s="2">
        <v>45477</v>
      </c>
      <c r="H1953">
        <v>0</v>
      </c>
      <c r="I1953">
        <v>0</v>
      </c>
      <c r="J1953" s="1">
        <v>145500</v>
      </c>
      <c r="K1953" s="1">
        <v>145500</v>
      </c>
    </row>
    <row r="1954" spans="1:11" x14ac:dyDescent="0.25">
      <c r="A1954" t="s">
        <v>1379</v>
      </c>
      <c r="B1954" t="s">
        <v>2722</v>
      </c>
      <c r="C1954" t="s">
        <v>16</v>
      </c>
      <c r="D1954" t="s">
        <v>4462</v>
      </c>
      <c r="E1954" t="s">
        <v>4446</v>
      </c>
      <c r="F1954" t="s">
        <v>2443</v>
      </c>
      <c r="G1954" s="2">
        <v>45477</v>
      </c>
      <c r="H1954">
        <v>0</v>
      </c>
      <c r="I1954">
        <v>0</v>
      </c>
      <c r="J1954" s="1">
        <v>145500</v>
      </c>
      <c r="K1954" s="1">
        <v>145500</v>
      </c>
    </row>
    <row r="1955" spans="1:11" x14ac:dyDescent="0.25">
      <c r="A1955" t="s">
        <v>1385</v>
      </c>
      <c r="B1955" t="s">
        <v>2735</v>
      </c>
      <c r="C1955" t="s">
        <v>16</v>
      </c>
      <c r="D1955" t="s">
        <v>4462</v>
      </c>
      <c r="E1955" t="s">
        <v>4426</v>
      </c>
      <c r="F1955" t="s">
        <v>2443</v>
      </c>
      <c r="G1955" s="2">
        <v>45477</v>
      </c>
      <c r="H1955">
        <v>0</v>
      </c>
      <c r="I1955">
        <v>0</v>
      </c>
      <c r="J1955" s="1">
        <v>145500</v>
      </c>
      <c r="K1955" s="1">
        <v>145500</v>
      </c>
    </row>
    <row r="1956" spans="1:11" x14ac:dyDescent="0.25">
      <c r="A1956" t="s">
        <v>1371</v>
      </c>
      <c r="B1956" t="s">
        <v>2736</v>
      </c>
      <c r="C1956" t="s">
        <v>16</v>
      </c>
      <c r="D1956" t="s">
        <v>4461</v>
      </c>
      <c r="E1956" t="s">
        <v>4459</v>
      </c>
      <c r="F1956" t="s">
        <v>2443</v>
      </c>
      <c r="G1956" s="2">
        <v>45478</v>
      </c>
      <c r="H1956">
        <v>0</v>
      </c>
      <c r="I1956">
        <v>0</v>
      </c>
      <c r="J1956" s="1">
        <v>145500</v>
      </c>
      <c r="K1956" s="1">
        <v>145500</v>
      </c>
    </row>
    <row r="1957" spans="1:11" x14ac:dyDescent="0.25">
      <c r="A1957" t="s">
        <v>1373</v>
      </c>
      <c r="B1957" t="s">
        <v>2718</v>
      </c>
      <c r="C1957" t="s">
        <v>16</v>
      </c>
      <c r="D1957" t="s">
        <v>4466</v>
      </c>
      <c r="E1957" t="s">
        <v>4438</v>
      </c>
      <c r="F1957" t="s">
        <v>2443</v>
      </c>
      <c r="G1957" s="2">
        <v>45478</v>
      </c>
      <c r="H1957">
        <v>0</v>
      </c>
      <c r="I1957">
        <v>0</v>
      </c>
      <c r="J1957" s="1">
        <v>145500</v>
      </c>
      <c r="K1957" s="1">
        <v>145500</v>
      </c>
    </row>
    <row r="1958" spans="1:11" x14ac:dyDescent="0.25">
      <c r="A1958" t="s">
        <v>1353</v>
      </c>
      <c r="B1958" t="s">
        <v>2706</v>
      </c>
      <c r="C1958" t="s">
        <v>27</v>
      </c>
      <c r="D1958" t="s">
        <v>4461</v>
      </c>
      <c r="E1958" t="s">
        <v>4452</v>
      </c>
      <c r="F1958" t="s">
        <v>2443</v>
      </c>
      <c r="G1958" s="2">
        <v>45483</v>
      </c>
      <c r="H1958">
        <v>0</v>
      </c>
      <c r="I1958">
        <v>0</v>
      </c>
      <c r="J1958" s="1">
        <v>145500</v>
      </c>
      <c r="K1958" s="1">
        <v>145500</v>
      </c>
    </row>
    <row r="1959" spans="1:11" x14ac:dyDescent="0.25">
      <c r="A1959" t="s">
        <v>1356</v>
      </c>
      <c r="B1959" t="s">
        <v>2737</v>
      </c>
      <c r="C1959" t="s">
        <v>16</v>
      </c>
      <c r="D1959" t="s">
        <v>4466</v>
      </c>
      <c r="E1959" t="s">
        <v>4432</v>
      </c>
      <c r="F1959" t="s">
        <v>2443</v>
      </c>
      <c r="G1959" s="2">
        <v>45483</v>
      </c>
      <c r="H1959">
        <v>0</v>
      </c>
      <c r="I1959">
        <v>0</v>
      </c>
      <c r="J1959" s="1">
        <v>145500</v>
      </c>
      <c r="K1959" s="1">
        <v>145500</v>
      </c>
    </row>
    <row r="1960" spans="1:11" x14ac:dyDescent="0.25">
      <c r="A1960" t="s">
        <v>1323</v>
      </c>
      <c r="B1960" t="s">
        <v>2699</v>
      </c>
      <c r="C1960" t="s">
        <v>16</v>
      </c>
      <c r="D1960" t="s">
        <v>4462</v>
      </c>
      <c r="E1960" t="s">
        <v>4440</v>
      </c>
      <c r="F1960" t="s">
        <v>2443</v>
      </c>
      <c r="G1960" s="2">
        <v>45488</v>
      </c>
      <c r="H1960">
        <v>0</v>
      </c>
      <c r="I1960">
        <v>0</v>
      </c>
      <c r="J1960" s="1">
        <v>145500</v>
      </c>
      <c r="K1960" s="1">
        <v>145500</v>
      </c>
    </row>
    <row r="1961" spans="1:11" x14ac:dyDescent="0.25">
      <c r="A1961" t="s">
        <v>1325</v>
      </c>
      <c r="B1961" t="s">
        <v>2729</v>
      </c>
      <c r="C1961" t="s">
        <v>16</v>
      </c>
      <c r="D1961" t="s">
        <v>4465</v>
      </c>
      <c r="E1961" t="s">
        <v>4427</v>
      </c>
      <c r="F1961" t="s">
        <v>2443</v>
      </c>
      <c r="G1961" s="2">
        <v>45488</v>
      </c>
      <c r="H1961">
        <v>0</v>
      </c>
      <c r="I1961">
        <v>0</v>
      </c>
      <c r="J1961" s="1">
        <v>145500</v>
      </c>
      <c r="K1961" s="1">
        <v>145500</v>
      </c>
    </row>
    <row r="1962" spans="1:11" x14ac:dyDescent="0.25">
      <c r="A1962" t="s">
        <v>1325</v>
      </c>
      <c r="B1962" t="s">
        <v>2729</v>
      </c>
      <c r="C1962" t="s">
        <v>16</v>
      </c>
      <c r="D1962" t="s">
        <v>4465</v>
      </c>
      <c r="E1962" t="s">
        <v>4427</v>
      </c>
      <c r="F1962" t="s">
        <v>2443</v>
      </c>
      <c r="G1962" s="2">
        <v>45488</v>
      </c>
      <c r="H1962">
        <v>0</v>
      </c>
      <c r="I1962">
        <v>0</v>
      </c>
      <c r="J1962" s="1">
        <v>242421.53</v>
      </c>
      <c r="K1962" s="1">
        <v>242421.53</v>
      </c>
    </row>
    <row r="1963" spans="1:11" x14ac:dyDescent="0.25">
      <c r="A1963" t="s">
        <v>1258</v>
      </c>
      <c r="B1963" t="s">
        <v>2711</v>
      </c>
      <c r="C1963" t="s">
        <v>16</v>
      </c>
      <c r="D1963" t="s">
        <v>4461</v>
      </c>
      <c r="E1963" t="s">
        <v>4447</v>
      </c>
      <c r="F1963" t="s">
        <v>2443</v>
      </c>
      <c r="G1963" s="2">
        <v>45495</v>
      </c>
      <c r="H1963">
        <v>0</v>
      </c>
      <c r="I1963">
        <v>0</v>
      </c>
      <c r="J1963" s="1">
        <v>145500</v>
      </c>
      <c r="K1963" s="1">
        <v>145500</v>
      </c>
    </row>
    <row r="1964" spans="1:11" x14ac:dyDescent="0.25">
      <c r="A1964" t="s">
        <v>1240</v>
      </c>
      <c r="B1964" t="s">
        <v>2708</v>
      </c>
      <c r="C1964" t="s">
        <v>16</v>
      </c>
      <c r="D1964" t="s">
        <v>4466</v>
      </c>
      <c r="E1964" t="s">
        <v>4457</v>
      </c>
      <c r="F1964" t="s">
        <v>2443</v>
      </c>
      <c r="G1964" s="2">
        <v>45499</v>
      </c>
      <c r="H1964">
        <v>0</v>
      </c>
      <c r="I1964">
        <v>0</v>
      </c>
      <c r="J1964" s="1">
        <v>145500</v>
      </c>
      <c r="K1964" s="1">
        <v>145500</v>
      </c>
    </row>
    <row r="1965" spans="1:11" x14ac:dyDescent="0.25">
      <c r="A1965" t="s">
        <v>1232</v>
      </c>
      <c r="B1965" t="s">
        <v>2727</v>
      </c>
      <c r="C1965" t="s">
        <v>16</v>
      </c>
      <c r="D1965" t="s">
        <v>4465</v>
      </c>
      <c r="E1965" t="s">
        <v>4445</v>
      </c>
      <c r="F1965" t="s">
        <v>2443</v>
      </c>
      <c r="G1965" s="2">
        <v>45500</v>
      </c>
      <c r="H1965">
        <v>0</v>
      </c>
      <c r="I1965">
        <v>0</v>
      </c>
      <c r="J1965" s="1">
        <v>145500</v>
      </c>
      <c r="K1965" s="1">
        <v>145500</v>
      </c>
    </row>
    <row r="1966" spans="1:11" x14ac:dyDescent="0.25">
      <c r="A1966" t="s">
        <v>1219</v>
      </c>
      <c r="B1966" t="s">
        <v>2716</v>
      </c>
      <c r="C1966" t="s">
        <v>16</v>
      </c>
      <c r="D1966" t="s">
        <v>4462</v>
      </c>
      <c r="E1966" t="s">
        <v>4458</v>
      </c>
      <c r="F1966" t="s">
        <v>2443</v>
      </c>
      <c r="G1966" s="2">
        <v>45502</v>
      </c>
      <c r="H1966">
        <v>0</v>
      </c>
      <c r="I1966">
        <v>0</v>
      </c>
      <c r="J1966" s="1">
        <v>107688.92</v>
      </c>
      <c r="K1966" s="1">
        <v>107688.92</v>
      </c>
    </row>
    <row r="1967" spans="1:11" x14ac:dyDescent="0.25">
      <c r="A1967" t="s">
        <v>1210</v>
      </c>
      <c r="B1967" t="s">
        <v>2716</v>
      </c>
      <c r="C1967" t="s">
        <v>16</v>
      </c>
      <c r="D1967" t="s">
        <v>4462</v>
      </c>
      <c r="E1967" t="s">
        <v>4458</v>
      </c>
      <c r="F1967" t="s">
        <v>2443</v>
      </c>
      <c r="G1967" s="2">
        <v>45503</v>
      </c>
      <c r="H1967">
        <v>0</v>
      </c>
      <c r="I1967">
        <v>0</v>
      </c>
      <c r="J1967" s="1">
        <v>145500</v>
      </c>
      <c r="K1967" s="1">
        <v>145500</v>
      </c>
    </row>
    <row r="1968" spans="1:11" x14ac:dyDescent="0.25">
      <c r="A1968" t="s">
        <v>1210</v>
      </c>
      <c r="B1968" t="s">
        <v>2716</v>
      </c>
      <c r="C1968" t="s">
        <v>16</v>
      </c>
      <c r="D1968" t="s">
        <v>4462</v>
      </c>
      <c r="E1968" t="s">
        <v>4458</v>
      </c>
      <c r="F1968" t="s">
        <v>2443</v>
      </c>
      <c r="G1968" s="2">
        <v>45503</v>
      </c>
      <c r="H1968">
        <v>0</v>
      </c>
      <c r="I1968">
        <v>0</v>
      </c>
      <c r="J1968" s="1">
        <v>107688.92</v>
      </c>
      <c r="K1968" s="1">
        <v>107688.92</v>
      </c>
    </row>
    <row r="1969" spans="1:11" x14ac:dyDescent="0.25">
      <c r="A1969" t="s">
        <v>1205</v>
      </c>
      <c r="B1969" t="s">
        <v>2709</v>
      </c>
      <c r="C1969" t="s">
        <v>42</v>
      </c>
      <c r="D1969" t="s">
        <v>4467</v>
      </c>
      <c r="E1969" t="s">
        <v>4456</v>
      </c>
      <c r="F1969" t="s">
        <v>2443</v>
      </c>
      <c r="G1969" s="2">
        <v>45503</v>
      </c>
      <c r="H1969">
        <v>0</v>
      </c>
      <c r="I1969">
        <v>0</v>
      </c>
      <c r="J1969" s="1">
        <v>291000</v>
      </c>
      <c r="K1969" s="1">
        <v>291000</v>
      </c>
    </row>
    <row r="1970" spans="1:11" x14ac:dyDescent="0.25">
      <c r="A1970" t="s">
        <v>1190</v>
      </c>
      <c r="B1970" t="s">
        <v>2707</v>
      </c>
      <c r="C1970" t="s">
        <v>16</v>
      </c>
      <c r="D1970" t="s">
        <v>4462</v>
      </c>
      <c r="E1970" t="s">
        <v>4433</v>
      </c>
      <c r="F1970" t="s">
        <v>2443</v>
      </c>
      <c r="G1970" s="2">
        <v>45505</v>
      </c>
      <c r="H1970">
        <v>0</v>
      </c>
      <c r="I1970">
        <v>0</v>
      </c>
      <c r="J1970" s="1">
        <v>145500</v>
      </c>
      <c r="K1970" s="1">
        <v>145500</v>
      </c>
    </row>
    <row r="1971" spans="1:11" x14ac:dyDescent="0.25">
      <c r="A1971" t="s">
        <v>1179</v>
      </c>
      <c r="B1971" t="s">
        <v>2735</v>
      </c>
      <c r="C1971" t="s">
        <v>16</v>
      </c>
      <c r="D1971" t="s">
        <v>4462</v>
      </c>
      <c r="E1971" t="s">
        <v>4426</v>
      </c>
      <c r="F1971" t="s">
        <v>2443</v>
      </c>
      <c r="G1971" s="2">
        <v>45506</v>
      </c>
      <c r="H1971">
        <v>0</v>
      </c>
      <c r="I1971">
        <v>0</v>
      </c>
      <c r="J1971" s="1">
        <v>145500</v>
      </c>
      <c r="K1971" s="1">
        <v>145500</v>
      </c>
    </row>
    <row r="1972" spans="1:11" x14ac:dyDescent="0.25">
      <c r="A1972" t="s">
        <v>1181</v>
      </c>
      <c r="B1972" t="s">
        <v>2726</v>
      </c>
      <c r="C1972" t="s">
        <v>16</v>
      </c>
      <c r="D1972" t="s">
        <v>4466</v>
      </c>
      <c r="E1972" t="s">
        <v>4437</v>
      </c>
      <c r="F1972" t="s">
        <v>2443</v>
      </c>
      <c r="G1972" s="2">
        <v>45506</v>
      </c>
      <c r="H1972">
        <v>0</v>
      </c>
      <c r="I1972">
        <v>0</v>
      </c>
      <c r="J1972" s="1">
        <v>145500</v>
      </c>
      <c r="K1972" s="1">
        <v>145500</v>
      </c>
    </row>
    <row r="1973" spans="1:11" x14ac:dyDescent="0.25">
      <c r="A1973" t="s">
        <v>1183</v>
      </c>
      <c r="B1973" t="s">
        <v>2698</v>
      </c>
      <c r="C1973" t="s">
        <v>16</v>
      </c>
      <c r="D1973" t="s">
        <v>4465</v>
      </c>
      <c r="E1973" t="s">
        <v>4442</v>
      </c>
      <c r="F1973" t="s">
        <v>2443</v>
      </c>
      <c r="G1973" s="2">
        <v>45506</v>
      </c>
      <c r="H1973">
        <v>0</v>
      </c>
      <c r="I1973">
        <v>0</v>
      </c>
      <c r="J1973" s="1">
        <v>145500</v>
      </c>
      <c r="K1973" s="1">
        <v>145500</v>
      </c>
    </row>
    <row r="1974" spans="1:11" x14ac:dyDescent="0.25">
      <c r="A1974" t="s">
        <v>1182</v>
      </c>
      <c r="B1974" t="s">
        <v>2705</v>
      </c>
      <c r="C1974" t="s">
        <v>42</v>
      </c>
      <c r="D1974" t="s">
        <v>4467</v>
      </c>
      <c r="E1974" t="s">
        <v>4435</v>
      </c>
      <c r="F1974" t="s">
        <v>2443</v>
      </c>
      <c r="G1974" s="2">
        <v>45506</v>
      </c>
      <c r="H1974">
        <v>0</v>
      </c>
      <c r="I1974">
        <v>0</v>
      </c>
      <c r="J1974" s="1">
        <v>145860</v>
      </c>
      <c r="K1974" s="1">
        <v>145860</v>
      </c>
    </row>
    <row r="1975" spans="1:11" x14ac:dyDescent="0.25">
      <c r="A1975" t="s">
        <v>1185</v>
      </c>
      <c r="B1975" t="s">
        <v>2730</v>
      </c>
      <c r="C1975" t="s">
        <v>42</v>
      </c>
      <c r="D1975" t="s">
        <v>4467</v>
      </c>
      <c r="E1975" t="s">
        <v>4441</v>
      </c>
      <c r="F1975" t="s">
        <v>2443</v>
      </c>
      <c r="G1975" s="2">
        <v>45506</v>
      </c>
      <c r="H1975">
        <v>0</v>
      </c>
      <c r="I1975">
        <v>0</v>
      </c>
      <c r="J1975" s="1">
        <v>145500</v>
      </c>
      <c r="K1975" s="1">
        <v>145500</v>
      </c>
    </row>
    <row r="1976" spans="1:11" x14ac:dyDescent="0.25">
      <c r="A1976" t="s">
        <v>1162</v>
      </c>
      <c r="B1976" t="s">
        <v>2733</v>
      </c>
      <c r="C1976" t="s">
        <v>16</v>
      </c>
      <c r="D1976" t="s">
        <v>4465</v>
      </c>
      <c r="E1976" t="s">
        <v>4448</v>
      </c>
      <c r="F1976" t="s">
        <v>2443</v>
      </c>
      <c r="G1976" s="2">
        <v>45507</v>
      </c>
      <c r="H1976">
        <v>0</v>
      </c>
      <c r="I1976">
        <v>0</v>
      </c>
      <c r="J1976" s="1">
        <v>145500</v>
      </c>
      <c r="K1976" s="1">
        <v>145500</v>
      </c>
    </row>
    <row r="1977" spans="1:11" x14ac:dyDescent="0.25">
      <c r="A1977" t="s">
        <v>1145</v>
      </c>
      <c r="B1977" t="s">
        <v>2732</v>
      </c>
      <c r="C1977" t="s">
        <v>16</v>
      </c>
      <c r="D1977" t="s">
        <v>4461</v>
      </c>
      <c r="E1977" t="s">
        <v>4444</v>
      </c>
      <c r="F1977" t="s">
        <v>2443</v>
      </c>
      <c r="G1977" s="2">
        <v>45510</v>
      </c>
      <c r="H1977">
        <v>0</v>
      </c>
      <c r="I1977">
        <v>0</v>
      </c>
      <c r="J1977" s="1">
        <v>145500</v>
      </c>
      <c r="K1977" s="1">
        <v>145500</v>
      </c>
    </row>
    <row r="1978" spans="1:11" x14ac:dyDescent="0.25">
      <c r="A1978" t="s">
        <v>1148</v>
      </c>
      <c r="B1978" t="s">
        <v>2717</v>
      </c>
      <c r="C1978" t="s">
        <v>16</v>
      </c>
      <c r="D1978" t="s">
        <v>4466</v>
      </c>
      <c r="E1978" t="s">
        <v>4431</v>
      </c>
      <c r="F1978" t="s">
        <v>2443</v>
      </c>
      <c r="G1978" s="2">
        <v>45510</v>
      </c>
      <c r="H1978">
        <v>0</v>
      </c>
      <c r="I1978">
        <v>0</v>
      </c>
      <c r="J1978" s="1">
        <v>145500</v>
      </c>
      <c r="K1978" s="1">
        <v>145500</v>
      </c>
    </row>
    <row r="1979" spans="1:11" x14ac:dyDescent="0.25">
      <c r="A1979" t="s">
        <v>1135</v>
      </c>
      <c r="B1979" t="s">
        <v>2737</v>
      </c>
      <c r="C1979" t="s">
        <v>16</v>
      </c>
      <c r="D1979" t="s">
        <v>4466</v>
      </c>
      <c r="E1979" t="s">
        <v>4432</v>
      </c>
      <c r="F1979" t="s">
        <v>2443</v>
      </c>
      <c r="G1979" s="2">
        <v>45512</v>
      </c>
      <c r="H1979">
        <v>0</v>
      </c>
      <c r="I1979">
        <v>0</v>
      </c>
      <c r="J1979" s="1">
        <v>145500</v>
      </c>
      <c r="K1979" s="1">
        <v>145500</v>
      </c>
    </row>
    <row r="1980" spans="1:11" x14ac:dyDescent="0.25">
      <c r="A1980" t="s">
        <v>1082</v>
      </c>
      <c r="B1980" t="s">
        <v>2701</v>
      </c>
      <c r="C1980" t="s">
        <v>16</v>
      </c>
      <c r="D1980" t="s">
        <v>4466</v>
      </c>
      <c r="E1980" t="s">
        <v>4453</v>
      </c>
      <c r="F1980" t="s">
        <v>2443</v>
      </c>
      <c r="G1980" s="2">
        <v>45516</v>
      </c>
      <c r="H1980">
        <v>0</v>
      </c>
      <c r="I1980">
        <v>0</v>
      </c>
      <c r="J1980" s="1">
        <v>145500</v>
      </c>
      <c r="K1980" s="1">
        <v>145500</v>
      </c>
    </row>
    <row r="1981" spans="1:11" x14ac:dyDescent="0.25">
      <c r="A1981" t="s">
        <v>1078</v>
      </c>
      <c r="B1981" t="s">
        <v>2722</v>
      </c>
      <c r="C1981" t="s">
        <v>16</v>
      </c>
      <c r="D1981" t="s">
        <v>4462</v>
      </c>
      <c r="E1981" t="s">
        <v>4446</v>
      </c>
      <c r="F1981" t="s">
        <v>2443</v>
      </c>
      <c r="G1981" s="2">
        <v>45517</v>
      </c>
      <c r="H1981">
        <v>0</v>
      </c>
      <c r="I1981">
        <v>0</v>
      </c>
      <c r="J1981" s="1">
        <v>145500</v>
      </c>
      <c r="K1981" s="1">
        <v>145500</v>
      </c>
    </row>
    <row r="1982" spans="1:11" x14ac:dyDescent="0.25">
      <c r="A1982" t="s">
        <v>1072</v>
      </c>
      <c r="B1982" t="s">
        <v>2729</v>
      </c>
      <c r="C1982" t="s">
        <v>16</v>
      </c>
      <c r="D1982" t="s">
        <v>4465</v>
      </c>
      <c r="E1982" t="s">
        <v>4427</v>
      </c>
      <c r="F1982" t="s">
        <v>2443</v>
      </c>
      <c r="G1982" s="2">
        <v>45518</v>
      </c>
      <c r="H1982">
        <v>0</v>
      </c>
      <c r="I1982">
        <v>0</v>
      </c>
      <c r="J1982" s="1">
        <v>145500</v>
      </c>
      <c r="K1982" s="1">
        <v>145500</v>
      </c>
    </row>
    <row r="1983" spans="1:11" x14ac:dyDescent="0.25">
      <c r="A1983" t="s">
        <v>1037</v>
      </c>
      <c r="B1983" t="s">
        <v>2699</v>
      </c>
      <c r="C1983" t="s">
        <v>16</v>
      </c>
      <c r="D1983" t="s">
        <v>4462</v>
      </c>
      <c r="E1983" t="s">
        <v>4440</v>
      </c>
      <c r="F1983" t="s">
        <v>2443</v>
      </c>
      <c r="G1983" s="2">
        <v>45525</v>
      </c>
      <c r="H1983">
        <v>0</v>
      </c>
      <c r="I1983">
        <v>0</v>
      </c>
      <c r="J1983" s="1">
        <v>145500</v>
      </c>
      <c r="K1983" s="1">
        <v>145500</v>
      </c>
    </row>
    <row r="1984" spans="1:11" x14ac:dyDescent="0.25">
      <c r="A1984" t="s">
        <v>1032</v>
      </c>
      <c r="B1984" t="s">
        <v>2711</v>
      </c>
      <c r="C1984" t="s">
        <v>16</v>
      </c>
      <c r="D1984" t="s">
        <v>4461</v>
      </c>
      <c r="E1984" t="s">
        <v>4447</v>
      </c>
      <c r="F1984" t="s">
        <v>2443</v>
      </c>
      <c r="G1984" s="2">
        <v>45526</v>
      </c>
      <c r="H1984">
        <v>0</v>
      </c>
      <c r="I1984">
        <v>0</v>
      </c>
      <c r="J1984" s="1">
        <v>145500</v>
      </c>
      <c r="K1984" s="1">
        <v>145500</v>
      </c>
    </row>
    <row r="1985" spans="1:11" x14ac:dyDescent="0.25">
      <c r="A1985" t="s">
        <v>1033</v>
      </c>
      <c r="B1985" t="s">
        <v>2718</v>
      </c>
      <c r="C1985" t="s">
        <v>16</v>
      </c>
      <c r="D1985" t="s">
        <v>4466</v>
      </c>
      <c r="E1985" t="s">
        <v>4438</v>
      </c>
      <c r="F1985" t="s">
        <v>2443</v>
      </c>
      <c r="G1985" s="2">
        <v>45526</v>
      </c>
      <c r="H1985">
        <v>0</v>
      </c>
      <c r="I1985">
        <v>0</v>
      </c>
      <c r="J1985" s="1">
        <v>145500</v>
      </c>
      <c r="K1985" s="1">
        <v>145500</v>
      </c>
    </row>
    <row r="1986" spans="1:11" x14ac:dyDescent="0.25">
      <c r="A1986" t="s">
        <v>1026</v>
      </c>
      <c r="B1986" t="s">
        <v>2708</v>
      </c>
      <c r="C1986" t="s">
        <v>16</v>
      </c>
      <c r="D1986" t="s">
        <v>4466</v>
      </c>
      <c r="E1986" t="s">
        <v>4457</v>
      </c>
      <c r="F1986" t="s">
        <v>2443</v>
      </c>
      <c r="G1986" s="2">
        <v>45528</v>
      </c>
      <c r="H1986">
        <v>0</v>
      </c>
      <c r="I1986">
        <v>0</v>
      </c>
      <c r="J1986" s="1">
        <v>145500</v>
      </c>
      <c r="K1986" s="1">
        <v>145500</v>
      </c>
    </row>
    <row r="1987" spans="1:11" x14ac:dyDescent="0.25">
      <c r="A1987" t="s">
        <v>1004</v>
      </c>
      <c r="B1987" t="s">
        <v>2716</v>
      </c>
      <c r="C1987" t="s">
        <v>16</v>
      </c>
      <c r="D1987" t="s">
        <v>4462</v>
      </c>
      <c r="E1987" t="s">
        <v>4458</v>
      </c>
      <c r="F1987" t="s">
        <v>2443</v>
      </c>
      <c r="G1987" s="2">
        <v>45530</v>
      </c>
      <c r="H1987">
        <v>0</v>
      </c>
      <c r="I1987">
        <v>0</v>
      </c>
      <c r="J1987" s="1">
        <v>145500</v>
      </c>
      <c r="K1987" s="1">
        <v>145500</v>
      </c>
    </row>
    <row r="1988" spans="1:11" x14ac:dyDescent="0.25">
      <c r="A1988" t="s">
        <v>1008</v>
      </c>
      <c r="B1988" t="s">
        <v>2736</v>
      </c>
      <c r="C1988" t="s">
        <v>16</v>
      </c>
      <c r="D1988" t="s">
        <v>4461</v>
      </c>
      <c r="E1988" t="s">
        <v>4459</v>
      </c>
      <c r="F1988" t="s">
        <v>2443</v>
      </c>
      <c r="G1988" s="2">
        <v>45530</v>
      </c>
      <c r="H1988">
        <v>0</v>
      </c>
      <c r="I1988">
        <v>0</v>
      </c>
      <c r="J1988" s="1">
        <v>145500</v>
      </c>
      <c r="K1988" s="1">
        <v>145500</v>
      </c>
    </row>
    <row r="1989" spans="1:11" x14ac:dyDescent="0.25">
      <c r="A1989" t="s">
        <v>998</v>
      </c>
      <c r="B1989" t="s">
        <v>2709</v>
      </c>
      <c r="C1989" t="s">
        <v>42</v>
      </c>
      <c r="D1989" t="s">
        <v>4467</v>
      </c>
      <c r="E1989" t="s">
        <v>4456</v>
      </c>
      <c r="F1989" t="s">
        <v>2443</v>
      </c>
      <c r="G1989" s="2">
        <v>45531</v>
      </c>
      <c r="H1989">
        <v>0</v>
      </c>
      <c r="I1989">
        <v>0</v>
      </c>
      <c r="J1989" s="1">
        <v>145500</v>
      </c>
      <c r="K1989" s="1">
        <v>145500</v>
      </c>
    </row>
    <row r="1990" spans="1:11" x14ac:dyDescent="0.25">
      <c r="A1990" t="s">
        <v>1003</v>
      </c>
      <c r="B1990" t="s">
        <v>2710</v>
      </c>
      <c r="C1990" t="s">
        <v>42</v>
      </c>
      <c r="D1990" t="s">
        <v>4467</v>
      </c>
      <c r="E1990" t="s">
        <v>4436</v>
      </c>
      <c r="F1990" t="s">
        <v>2443</v>
      </c>
      <c r="G1990" s="2">
        <v>45531</v>
      </c>
      <c r="H1990">
        <v>0</v>
      </c>
      <c r="I1990">
        <v>0</v>
      </c>
      <c r="J1990" s="1">
        <v>356332.21</v>
      </c>
      <c r="K1990" s="1">
        <v>356332.21</v>
      </c>
    </row>
    <row r="1991" spans="1:11" x14ac:dyDescent="0.25">
      <c r="A1991" t="s">
        <v>973</v>
      </c>
      <c r="B1991" t="s">
        <v>2721</v>
      </c>
      <c r="C1991" t="s">
        <v>16</v>
      </c>
      <c r="D1991" t="s">
        <v>4466</v>
      </c>
      <c r="E1991" t="s">
        <v>4438</v>
      </c>
      <c r="F1991" t="s">
        <v>2443</v>
      </c>
      <c r="G1991" s="2">
        <v>45532</v>
      </c>
      <c r="H1991">
        <v>0</v>
      </c>
      <c r="I1991">
        <v>0</v>
      </c>
      <c r="J1991" s="1">
        <v>145500</v>
      </c>
      <c r="K1991" s="1">
        <v>145500</v>
      </c>
    </row>
    <row r="1992" spans="1:11" x14ac:dyDescent="0.25">
      <c r="A1992" t="s">
        <v>988</v>
      </c>
      <c r="B1992" t="s">
        <v>2727</v>
      </c>
      <c r="C1992" t="s">
        <v>16</v>
      </c>
      <c r="D1992" t="s">
        <v>4465</v>
      </c>
      <c r="E1992" t="s">
        <v>4445</v>
      </c>
      <c r="F1992" t="s">
        <v>2443</v>
      </c>
      <c r="G1992" s="2">
        <v>45532</v>
      </c>
      <c r="H1992">
        <v>0</v>
      </c>
      <c r="I1992">
        <v>0</v>
      </c>
      <c r="J1992" s="1">
        <v>145500</v>
      </c>
      <c r="K1992" s="1">
        <v>145500</v>
      </c>
    </row>
    <row r="1993" spans="1:11" x14ac:dyDescent="0.25">
      <c r="A1993" t="s">
        <v>975</v>
      </c>
      <c r="B1993" t="s">
        <v>2721</v>
      </c>
      <c r="C1993" t="s">
        <v>16</v>
      </c>
      <c r="D1993" t="s">
        <v>4466</v>
      </c>
      <c r="E1993" t="s">
        <v>4438</v>
      </c>
      <c r="F1993" t="s">
        <v>2443</v>
      </c>
      <c r="G1993" s="2">
        <v>45532</v>
      </c>
      <c r="H1993">
        <v>0</v>
      </c>
      <c r="I1993">
        <v>0</v>
      </c>
      <c r="J1993" s="1">
        <v>145500</v>
      </c>
      <c r="K1993" s="1">
        <v>145500</v>
      </c>
    </row>
    <row r="1994" spans="1:11" x14ac:dyDescent="0.25">
      <c r="A1994" t="s">
        <v>975</v>
      </c>
      <c r="B1994" t="s">
        <v>2721</v>
      </c>
      <c r="C1994" t="s">
        <v>16</v>
      </c>
      <c r="D1994" t="s">
        <v>4466</v>
      </c>
      <c r="E1994" t="s">
        <v>4438</v>
      </c>
      <c r="F1994" t="s">
        <v>2443</v>
      </c>
      <c r="G1994" s="2">
        <v>45532</v>
      </c>
      <c r="H1994">
        <v>0</v>
      </c>
      <c r="I1994">
        <v>0</v>
      </c>
      <c r="J1994" s="1">
        <v>145500</v>
      </c>
      <c r="K1994" s="1">
        <v>145500</v>
      </c>
    </row>
    <row r="1995" spans="1:11" x14ac:dyDescent="0.25">
      <c r="A1995" t="s">
        <v>960</v>
      </c>
      <c r="B1995" t="s">
        <v>2716</v>
      </c>
      <c r="C1995" t="s">
        <v>16</v>
      </c>
      <c r="D1995" t="s">
        <v>4462</v>
      </c>
      <c r="E1995" t="s">
        <v>4458</v>
      </c>
      <c r="F1995" t="s">
        <v>2443</v>
      </c>
      <c r="G1995" s="2">
        <v>45534</v>
      </c>
      <c r="H1995">
        <v>0</v>
      </c>
      <c r="I1995">
        <v>0</v>
      </c>
      <c r="J1995" s="1">
        <v>64844.52</v>
      </c>
      <c r="K1995" s="1">
        <v>64844.52</v>
      </c>
    </row>
    <row r="1996" spans="1:11" x14ac:dyDescent="0.25">
      <c r="A1996" t="s">
        <v>956</v>
      </c>
      <c r="B1996" t="s">
        <v>2706</v>
      </c>
      <c r="C1996" t="s">
        <v>27</v>
      </c>
      <c r="D1996" t="s">
        <v>4461</v>
      </c>
      <c r="E1996" t="s">
        <v>4452</v>
      </c>
      <c r="F1996" t="s">
        <v>2443</v>
      </c>
      <c r="G1996" s="2">
        <v>45535</v>
      </c>
      <c r="H1996">
        <v>0</v>
      </c>
      <c r="I1996">
        <v>0</v>
      </c>
      <c r="J1996" s="1">
        <v>145500</v>
      </c>
      <c r="K1996" s="1">
        <v>145500</v>
      </c>
    </row>
    <row r="1997" spans="1:11" x14ac:dyDescent="0.25">
      <c r="A1997" t="s">
        <v>950</v>
      </c>
      <c r="B1997" t="s">
        <v>2733</v>
      </c>
      <c r="C1997" t="s">
        <v>16</v>
      </c>
      <c r="D1997" t="s">
        <v>4465</v>
      </c>
      <c r="E1997" t="s">
        <v>4448</v>
      </c>
      <c r="F1997" t="s">
        <v>2443</v>
      </c>
      <c r="G1997" s="2">
        <v>45536</v>
      </c>
      <c r="H1997">
        <v>0</v>
      </c>
      <c r="I1997">
        <v>0</v>
      </c>
      <c r="J1997" s="1">
        <v>145500</v>
      </c>
      <c r="K1997" s="1">
        <v>145500</v>
      </c>
    </row>
    <row r="1998" spans="1:11" x14ac:dyDescent="0.25">
      <c r="A1998" t="s">
        <v>951</v>
      </c>
      <c r="B1998" t="s">
        <v>2717</v>
      </c>
      <c r="C1998" t="s">
        <v>16</v>
      </c>
      <c r="D1998" t="s">
        <v>4466</v>
      </c>
      <c r="E1998" t="s">
        <v>4431</v>
      </c>
      <c r="F1998" t="s">
        <v>2443</v>
      </c>
      <c r="G1998" s="2">
        <v>45536</v>
      </c>
      <c r="H1998">
        <v>0</v>
      </c>
      <c r="I1998">
        <v>0</v>
      </c>
      <c r="J1998" s="1">
        <v>145500</v>
      </c>
      <c r="K1998" s="1">
        <v>145500</v>
      </c>
    </row>
    <row r="1999" spans="1:11" x14ac:dyDescent="0.25">
      <c r="A1999" t="s">
        <v>945</v>
      </c>
      <c r="B1999" t="s">
        <v>2701</v>
      </c>
      <c r="C1999" t="s">
        <v>16</v>
      </c>
      <c r="D1999" t="s">
        <v>4466</v>
      </c>
      <c r="E1999" t="s">
        <v>4453</v>
      </c>
      <c r="F1999" t="s">
        <v>2443</v>
      </c>
      <c r="G1999" s="2">
        <v>45537</v>
      </c>
      <c r="H1999">
        <v>0</v>
      </c>
      <c r="I1999">
        <v>0</v>
      </c>
      <c r="J1999" s="1">
        <v>145500</v>
      </c>
      <c r="K1999" s="1">
        <v>145500</v>
      </c>
    </row>
    <row r="2000" spans="1:11" x14ac:dyDescent="0.25">
      <c r="A2000" t="s">
        <v>947</v>
      </c>
      <c r="B2000" t="s">
        <v>2726</v>
      </c>
      <c r="C2000" t="s">
        <v>16</v>
      </c>
      <c r="D2000" t="s">
        <v>4466</v>
      </c>
      <c r="E2000" t="s">
        <v>4437</v>
      </c>
      <c r="F2000" t="s">
        <v>2443</v>
      </c>
      <c r="G2000" s="2">
        <v>45537</v>
      </c>
      <c r="H2000">
        <v>0</v>
      </c>
      <c r="I2000">
        <v>0</v>
      </c>
      <c r="J2000" s="1">
        <v>145500</v>
      </c>
      <c r="K2000" s="1">
        <v>145500</v>
      </c>
    </row>
    <row r="2001" spans="1:11" x14ac:dyDescent="0.25">
      <c r="A2001" t="s">
        <v>937</v>
      </c>
      <c r="B2001" t="s">
        <v>2698</v>
      </c>
      <c r="C2001" t="s">
        <v>16</v>
      </c>
      <c r="D2001" t="s">
        <v>4465</v>
      </c>
      <c r="E2001" t="s">
        <v>4442</v>
      </c>
      <c r="F2001" t="s">
        <v>2443</v>
      </c>
      <c r="G2001" s="2">
        <v>45538</v>
      </c>
      <c r="H2001">
        <v>0</v>
      </c>
      <c r="I2001">
        <v>0</v>
      </c>
      <c r="J2001" s="1">
        <v>145500</v>
      </c>
      <c r="K2001" s="1">
        <v>145500</v>
      </c>
    </row>
    <row r="2002" spans="1:11" x14ac:dyDescent="0.25">
      <c r="A2002" t="s">
        <v>942</v>
      </c>
      <c r="B2002" t="s">
        <v>2722</v>
      </c>
      <c r="C2002" t="s">
        <v>16</v>
      </c>
      <c r="D2002" t="s">
        <v>4462</v>
      </c>
      <c r="E2002" t="s">
        <v>4446</v>
      </c>
      <c r="F2002" t="s">
        <v>2443</v>
      </c>
      <c r="G2002" s="2">
        <v>45538</v>
      </c>
      <c r="H2002">
        <v>0</v>
      </c>
      <c r="I2002">
        <v>0</v>
      </c>
      <c r="J2002" s="1">
        <v>145500</v>
      </c>
      <c r="K2002" s="1">
        <v>145500</v>
      </c>
    </row>
    <row r="2003" spans="1:11" x14ac:dyDescent="0.25">
      <c r="A2003" t="s">
        <v>925</v>
      </c>
      <c r="B2003" t="s">
        <v>2718</v>
      </c>
      <c r="C2003" t="s">
        <v>16</v>
      </c>
      <c r="D2003" t="s">
        <v>4466</v>
      </c>
      <c r="E2003" t="s">
        <v>4438</v>
      </c>
      <c r="F2003" t="s">
        <v>2443</v>
      </c>
      <c r="G2003" s="2">
        <v>45540</v>
      </c>
      <c r="H2003">
        <v>0</v>
      </c>
      <c r="I2003">
        <v>0</v>
      </c>
      <c r="J2003" s="1">
        <v>145500</v>
      </c>
      <c r="K2003" s="1">
        <v>145500</v>
      </c>
    </row>
    <row r="2004" spans="1:11" x14ac:dyDescent="0.25">
      <c r="A2004" t="s">
        <v>838</v>
      </c>
      <c r="B2004" t="s">
        <v>2732</v>
      </c>
      <c r="C2004" t="s">
        <v>16</v>
      </c>
      <c r="D2004" t="s">
        <v>4461</v>
      </c>
      <c r="E2004" t="s">
        <v>4444</v>
      </c>
      <c r="F2004" t="s">
        <v>2443</v>
      </c>
      <c r="G2004" s="2">
        <v>45555</v>
      </c>
      <c r="H2004">
        <v>0</v>
      </c>
      <c r="I2004">
        <v>0</v>
      </c>
      <c r="J2004" s="1">
        <v>145500</v>
      </c>
      <c r="K2004" s="1">
        <v>145500</v>
      </c>
    </row>
    <row r="2005" spans="1:11" x14ac:dyDescent="0.25">
      <c r="A2005" t="s">
        <v>832</v>
      </c>
      <c r="B2005" t="s">
        <v>2710</v>
      </c>
      <c r="C2005" t="s">
        <v>42</v>
      </c>
      <c r="D2005" t="s">
        <v>4467</v>
      </c>
      <c r="E2005" t="s">
        <v>4436</v>
      </c>
      <c r="F2005" t="s">
        <v>2443</v>
      </c>
      <c r="G2005" s="2">
        <v>45555</v>
      </c>
      <c r="H2005">
        <v>0</v>
      </c>
      <c r="I2005">
        <v>0</v>
      </c>
      <c r="J2005" s="1">
        <v>150650</v>
      </c>
      <c r="K2005" s="1">
        <v>150650</v>
      </c>
    </row>
    <row r="2006" spans="1:11" x14ac:dyDescent="0.25">
      <c r="A2006" t="s">
        <v>833</v>
      </c>
      <c r="B2006" t="s">
        <v>2722</v>
      </c>
      <c r="C2006" t="s">
        <v>16</v>
      </c>
      <c r="D2006" t="s">
        <v>4462</v>
      </c>
      <c r="E2006" t="s">
        <v>4446</v>
      </c>
      <c r="F2006" t="s">
        <v>2443</v>
      </c>
      <c r="G2006" s="2">
        <v>45555</v>
      </c>
      <c r="H2006">
        <v>0</v>
      </c>
      <c r="I2006">
        <v>0</v>
      </c>
      <c r="J2006" s="1">
        <v>10140.25</v>
      </c>
      <c r="K2006" s="1">
        <v>10140.25</v>
      </c>
    </row>
    <row r="2007" spans="1:11" x14ac:dyDescent="0.25">
      <c r="A2007" t="s">
        <v>772</v>
      </c>
      <c r="B2007" t="s">
        <v>2705</v>
      </c>
      <c r="C2007" t="s">
        <v>42</v>
      </c>
      <c r="D2007" t="s">
        <v>4467</v>
      </c>
      <c r="E2007" t="s">
        <v>4435</v>
      </c>
      <c r="F2007" t="s">
        <v>2443</v>
      </c>
      <c r="G2007" s="2">
        <v>45562</v>
      </c>
      <c r="H2007">
        <v>0</v>
      </c>
      <c r="I2007">
        <v>0</v>
      </c>
      <c r="J2007" s="1">
        <v>150650</v>
      </c>
      <c r="K2007" s="1">
        <v>150650</v>
      </c>
    </row>
    <row r="2008" spans="1:11" x14ac:dyDescent="0.25">
      <c r="A2008" t="s">
        <v>776</v>
      </c>
      <c r="B2008" t="s">
        <v>2727</v>
      </c>
      <c r="C2008" t="s">
        <v>16</v>
      </c>
      <c r="D2008" t="s">
        <v>4465</v>
      </c>
      <c r="E2008" t="s">
        <v>4445</v>
      </c>
      <c r="F2008" t="s">
        <v>2443</v>
      </c>
      <c r="G2008" s="2">
        <v>45562</v>
      </c>
      <c r="H2008">
        <v>0</v>
      </c>
      <c r="I2008">
        <v>0</v>
      </c>
      <c r="J2008" s="1">
        <v>150650</v>
      </c>
      <c r="K2008" s="1">
        <v>150650</v>
      </c>
    </row>
    <row r="2009" spans="1:11" x14ac:dyDescent="0.25">
      <c r="A2009" t="s">
        <v>778</v>
      </c>
      <c r="B2009" t="s">
        <v>2707</v>
      </c>
      <c r="C2009" t="s">
        <v>16</v>
      </c>
      <c r="D2009" t="s">
        <v>4462</v>
      </c>
      <c r="E2009" t="s">
        <v>4433</v>
      </c>
      <c r="F2009" t="s">
        <v>2443</v>
      </c>
      <c r="G2009" s="2">
        <v>45562</v>
      </c>
      <c r="H2009">
        <v>0</v>
      </c>
      <c r="I2009">
        <v>0</v>
      </c>
      <c r="J2009" s="1">
        <v>150650</v>
      </c>
      <c r="K2009" s="1">
        <v>150650</v>
      </c>
    </row>
    <row r="2010" spans="1:11" x14ac:dyDescent="0.25">
      <c r="A2010" t="s">
        <v>753</v>
      </c>
      <c r="B2010" t="s">
        <v>2719</v>
      </c>
      <c r="C2010" t="s">
        <v>16</v>
      </c>
      <c r="D2010" t="s">
        <v>4466</v>
      </c>
      <c r="E2010" t="s">
        <v>4430</v>
      </c>
      <c r="F2010" t="s">
        <v>2443</v>
      </c>
      <c r="G2010" s="2">
        <v>45563</v>
      </c>
      <c r="H2010">
        <v>0</v>
      </c>
      <c r="I2010">
        <v>0</v>
      </c>
      <c r="J2010" s="1">
        <v>150650</v>
      </c>
      <c r="K2010" s="1">
        <v>150650</v>
      </c>
    </row>
    <row r="2011" spans="1:11" x14ac:dyDescent="0.25">
      <c r="A2011" t="s">
        <v>754</v>
      </c>
      <c r="B2011" t="s">
        <v>2712</v>
      </c>
      <c r="C2011" t="s">
        <v>16</v>
      </c>
      <c r="D2011" t="s">
        <v>4461</v>
      </c>
      <c r="E2011" t="s">
        <v>4449</v>
      </c>
      <c r="F2011" t="s">
        <v>2443</v>
      </c>
      <c r="G2011" s="2">
        <v>45563</v>
      </c>
      <c r="H2011">
        <v>0</v>
      </c>
      <c r="I2011">
        <v>0</v>
      </c>
      <c r="J2011" s="1">
        <v>150650</v>
      </c>
      <c r="K2011" s="1">
        <v>150650</v>
      </c>
    </row>
    <row r="2012" spans="1:11" x14ac:dyDescent="0.25">
      <c r="A2012" t="s">
        <v>756</v>
      </c>
      <c r="B2012" t="s">
        <v>2708</v>
      </c>
      <c r="C2012" t="s">
        <v>16</v>
      </c>
      <c r="D2012" t="s">
        <v>4466</v>
      </c>
      <c r="E2012" t="s">
        <v>4457</v>
      </c>
      <c r="F2012" t="s">
        <v>2443</v>
      </c>
      <c r="G2012" s="2">
        <v>45563</v>
      </c>
      <c r="H2012">
        <v>0</v>
      </c>
      <c r="I2012">
        <v>0</v>
      </c>
      <c r="J2012" s="1">
        <v>150650</v>
      </c>
      <c r="K2012" s="1">
        <v>150650</v>
      </c>
    </row>
    <row r="2013" spans="1:11" x14ac:dyDescent="0.25">
      <c r="A2013" t="s">
        <v>758</v>
      </c>
      <c r="B2013" t="s">
        <v>2734</v>
      </c>
      <c r="C2013" t="s">
        <v>16</v>
      </c>
      <c r="D2013" t="s">
        <v>4461</v>
      </c>
      <c r="E2013" t="s">
        <v>4455</v>
      </c>
      <c r="F2013" t="s">
        <v>2443</v>
      </c>
      <c r="G2013" s="2">
        <v>45563</v>
      </c>
      <c r="H2013">
        <v>0</v>
      </c>
      <c r="I2013">
        <v>0</v>
      </c>
      <c r="J2013" s="1">
        <v>150650</v>
      </c>
      <c r="K2013" s="1">
        <v>150650</v>
      </c>
    </row>
    <row r="2014" spans="1:11" x14ac:dyDescent="0.25">
      <c r="A2014" t="s">
        <v>760</v>
      </c>
      <c r="B2014" t="s">
        <v>2723</v>
      </c>
      <c r="C2014" t="s">
        <v>16</v>
      </c>
      <c r="D2014" t="s">
        <v>4462</v>
      </c>
      <c r="E2014" t="s">
        <v>4443</v>
      </c>
      <c r="F2014" t="s">
        <v>2443</v>
      </c>
      <c r="G2014" s="2">
        <v>45563</v>
      </c>
      <c r="H2014">
        <v>0</v>
      </c>
      <c r="I2014">
        <v>0</v>
      </c>
      <c r="J2014" s="1">
        <v>150650</v>
      </c>
      <c r="K2014" s="1">
        <v>150650</v>
      </c>
    </row>
    <row r="2015" spans="1:11" x14ac:dyDescent="0.25">
      <c r="A2015" t="s">
        <v>766</v>
      </c>
      <c r="B2015" t="s">
        <v>2730</v>
      </c>
      <c r="C2015" t="s">
        <v>42</v>
      </c>
      <c r="D2015" t="s">
        <v>4467</v>
      </c>
      <c r="E2015" t="s">
        <v>4441</v>
      </c>
      <c r="F2015" t="s">
        <v>2443</v>
      </c>
      <c r="G2015" s="2">
        <v>45563</v>
      </c>
      <c r="H2015">
        <v>0</v>
      </c>
      <c r="I2015">
        <v>0</v>
      </c>
      <c r="J2015" s="1">
        <v>150650</v>
      </c>
      <c r="K2015" s="1">
        <v>150650</v>
      </c>
    </row>
    <row r="2016" spans="1:11" x14ac:dyDescent="0.25">
      <c r="A2016" t="s">
        <v>769</v>
      </c>
      <c r="B2016" t="s">
        <v>2713</v>
      </c>
      <c r="C2016" t="s">
        <v>16</v>
      </c>
      <c r="D2016" t="s">
        <v>4465</v>
      </c>
      <c r="E2016" t="s">
        <v>4428</v>
      </c>
      <c r="F2016" t="s">
        <v>2443</v>
      </c>
      <c r="G2016" s="2">
        <v>45563</v>
      </c>
      <c r="H2016">
        <v>0</v>
      </c>
      <c r="I2016">
        <v>0</v>
      </c>
      <c r="J2016" s="1">
        <v>150650</v>
      </c>
      <c r="K2016" s="1">
        <v>150650</v>
      </c>
    </row>
    <row r="2017" spans="1:11" x14ac:dyDescent="0.25">
      <c r="A2017" t="s">
        <v>748</v>
      </c>
      <c r="B2017" t="s">
        <v>2709</v>
      </c>
      <c r="C2017" t="s">
        <v>42</v>
      </c>
      <c r="D2017" t="s">
        <v>4467</v>
      </c>
      <c r="E2017" t="s">
        <v>4456</v>
      </c>
      <c r="F2017" t="s">
        <v>2443</v>
      </c>
      <c r="G2017" s="2">
        <v>45564</v>
      </c>
      <c r="H2017">
        <v>0</v>
      </c>
      <c r="I2017">
        <v>0</v>
      </c>
      <c r="J2017" s="1">
        <v>150650</v>
      </c>
      <c r="K2017" s="1">
        <v>150650</v>
      </c>
    </row>
    <row r="2018" spans="1:11" x14ac:dyDescent="0.25">
      <c r="A2018" t="s">
        <v>743</v>
      </c>
      <c r="B2018" t="s">
        <v>2723</v>
      </c>
      <c r="C2018" t="s">
        <v>16</v>
      </c>
      <c r="D2018" t="s">
        <v>4462</v>
      </c>
      <c r="E2018" t="s">
        <v>4443</v>
      </c>
      <c r="F2018" t="s">
        <v>2443</v>
      </c>
      <c r="G2018" s="2">
        <v>45565</v>
      </c>
      <c r="H2018">
        <v>0</v>
      </c>
      <c r="I2018">
        <v>0</v>
      </c>
      <c r="J2018" s="1">
        <v>753238.39</v>
      </c>
      <c r="K2018" s="1">
        <v>753238.39</v>
      </c>
    </row>
    <row r="2019" spans="1:11" x14ac:dyDescent="0.25">
      <c r="A2019" t="s">
        <v>733</v>
      </c>
      <c r="B2019" t="s">
        <v>2730</v>
      </c>
      <c r="C2019" t="s">
        <v>42</v>
      </c>
      <c r="D2019" t="s">
        <v>4467</v>
      </c>
      <c r="E2019" t="s">
        <v>4441</v>
      </c>
      <c r="F2019" t="s">
        <v>2443</v>
      </c>
      <c r="G2019" s="2">
        <v>45566</v>
      </c>
      <c r="H2019">
        <v>0</v>
      </c>
      <c r="I2019">
        <v>0</v>
      </c>
      <c r="J2019" s="1">
        <v>150650</v>
      </c>
      <c r="K2019" s="1">
        <v>150650</v>
      </c>
    </row>
    <row r="2020" spans="1:11" x14ac:dyDescent="0.25">
      <c r="A2020" t="s">
        <v>737</v>
      </c>
      <c r="B2020" t="s">
        <v>2714</v>
      </c>
      <c r="C2020" t="s">
        <v>16</v>
      </c>
      <c r="D2020" t="s">
        <v>4466</v>
      </c>
      <c r="E2020" t="s">
        <v>4434</v>
      </c>
      <c r="F2020" t="s">
        <v>2443</v>
      </c>
      <c r="G2020" s="2">
        <v>45566</v>
      </c>
      <c r="H2020">
        <v>0</v>
      </c>
      <c r="I2020">
        <v>0</v>
      </c>
      <c r="J2020" s="1">
        <v>150650</v>
      </c>
      <c r="K2020" s="1">
        <v>150650</v>
      </c>
    </row>
    <row r="2021" spans="1:11" x14ac:dyDescent="0.25">
      <c r="A2021" t="s">
        <v>741</v>
      </c>
      <c r="B2021" t="s">
        <v>2720</v>
      </c>
      <c r="C2021" t="s">
        <v>16</v>
      </c>
      <c r="D2021" t="s">
        <v>4461</v>
      </c>
      <c r="E2021" t="s">
        <v>4425</v>
      </c>
      <c r="F2021" t="s">
        <v>2443</v>
      </c>
      <c r="G2021" s="2">
        <v>45566</v>
      </c>
      <c r="H2021">
        <v>0</v>
      </c>
      <c r="I2021">
        <v>0</v>
      </c>
      <c r="J2021" s="1">
        <v>150650</v>
      </c>
      <c r="K2021" s="1">
        <v>150650</v>
      </c>
    </row>
    <row r="2022" spans="1:11" x14ac:dyDescent="0.25">
      <c r="A2022" t="s">
        <v>724</v>
      </c>
      <c r="B2022" t="s">
        <v>2707</v>
      </c>
      <c r="C2022" t="s">
        <v>16</v>
      </c>
      <c r="D2022" t="s">
        <v>4462</v>
      </c>
      <c r="E2022" t="s">
        <v>4433</v>
      </c>
      <c r="F2022" t="s">
        <v>2443</v>
      </c>
      <c r="G2022" s="2">
        <v>45567</v>
      </c>
      <c r="H2022">
        <v>0</v>
      </c>
      <c r="I2022">
        <v>0</v>
      </c>
      <c r="J2022" s="1">
        <v>150650</v>
      </c>
      <c r="K2022" s="1">
        <v>150650</v>
      </c>
    </row>
    <row r="2023" spans="1:11" x14ac:dyDescent="0.25">
      <c r="A2023" t="s">
        <v>721</v>
      </c>
      <c r="B2023" t="s">
        <v>2712</v>
      </c>
      <c r="C2023" t="s">
        <v>16</v>
      </c>
      <c r="D2023" t="s">
        <v>4461</v>
      </c>
      <c r="E2023" t="s">
        <v>4449</v>
      </c>
      <c r="F2023" t="s">
        <v>2443</v>
      </c>
      <c r="G2023" s="2">
        <v>45568</v>
      </c>
      <c r="H2023">
        <v>0</v>
      </c>
      <c r="I2023">
        <v>0</v>
      </c>
      <c r="J2023" s="1">
        <v>150650</v>
      </c>
      <c r="K2023" s="1">
        <v>150650</v>
      </c>
    </row>
    <row r="2024" spans="1:11" x14ac:dyDescent="0.25">
      <c r="A2024" t="s">
        <v>711</v>
      </c>
      <c r="B2024" t="s">
        <v>2729</v>
      </c>
      <c r="C2024" t="s">
        <v>16</v>
      </c>
      <c r="D2024" t="s">
        <v>4465</v>
      </c>
      <c r="E2024" t="s">
        <v>4427</v>
      </c>
      <c r="F2024" t="s">
        <v>2443</v>
      </c>
      <c r="G2024" s="2">
        <v>45569</v>
      </c>
      <c r="H2024">
        <v>0</v>
      </c>
      <c r="I2024">
        <v>0</v>
      </c>
      <c r="J2024" s="1">
        <v>150650</v>
      </c>
      <c r="K2024" s="1">
        <v>150650</v>
      </c>
    </row>
    <row r="2025" spans="1:11" x14ac:dyDescent="0.25">
      <c r="A2025" t="s">
        <v>713</v>
      </c>
      <c r="B2025" t="s">
        <v>2716</v>
      </c>
      <c r="C2025" t="s">
        <v>16</v>
      </c>
      <c r="D2025" t="s">
        <v>4462</v>
      </c>
      <c r="E2025" t="s">
        <v>4458</v>
      </c>
      <c r="F2025" t="s">
        <v>2443</v>
      </c>
      <c r="G2025" s="2">
        <v>45569</v>
      </c>
      <c r="H2025">
        <v>0</v>
      </c>
      <c r="I2025">
        <v>0</v>
      </c>
      <c r="J2025" s="1">
        <v>150650</v>
      </c>
      <c r="K2025" s="1">
        <v>150650</v>
      </c>
    </row>
    <row r="2026" spans="1:11" x14ac:dyDescent="0.25">
      <c r="A2026" t="s">
        <v>715</v>
      </c>
      <c r="B2026" t="s">
        <v>2719</v>
      </c>
      <c r="C2026" t="s">
        <v>16</v>
      </c>
      <c r="D2026" t="s">
        <v>4466</v>
      </c>
      <c r="E2026" t="s">
        <v>4430</v>
      </c>
      <c r="F2026" t="s">
        <v>2443</v>
      </c>
      <c r="G2026" s="2">
        <v>45569</v>
      </c>
      <c r="H2026">
        <v>0</v>
      </c>
      <c r="I2026">
        <v>0</v>
      </c>
      <c r="J2026" s="1">
        <v>150650</v>
      </c>
      <c r="K2026" s="1">
        <v>150650</v>
      </c>
    </row>
    <row r="2027" spans="1:11" x14ac:dyDescent="0.25">
      <c r="A2027" t="s">
        <v>711</v>
      </c>
      <c r="B2027" t="s">
        <v>2729</v>
      </c>
      <c r="C2027" t="s">
        <v>16</v>
      </c>
      <c r="D2027" t="s">
        <v>4465</v>
      </c>
      <c r="E2027" t="s">
        <v>4427</v>
      </c>
      <c r="F2027" t="s">
        <v>2443</v>
      </c>
      <c r="G2027" s="2">
        <v>45569</v>
      </c>
      <c r="H2027">
        <v>0</v>
      </c>
      <c r="I2027">
        <v>0</v>
      </c>
      <c r="J2027" s="1">
        <v>150650</v>
      </c>
      <c r="K2027" s="1">
        <v>150650</v>
      </c>
    </row>
    <row r="2028" spans="1:11" x14ac:dyDescent="0.25">
      <c r="A2028" t="s">
        <v>700</v>
      </c>
      <c r="B2028" t="s">
        <v>2699</v>
      </c>
      <c r="C2028" t="s">
        <v>16</v>
      </c>
      <c r="D2028" t="s">
        <v>4462</v>
      </c>
      <c r="E2028" t="s">
        <v>4440</v>
      </c>
      <c r="F2028" t="s">
        <v>2443</v>
      </c>
      <c r="G2028" s="2">
        <v>45570</v>
      </c>
      <c r="H2028">
        <v>0</v>
      </c>
      <c r="I2028">
        <v>0</v>
      </c>
      <c r="J2028" s="1">
        <v>150650</v>
      </c>
      <c r="K2028" s="1">
        <v>150650</v>
      </c>
    </row>
    <row r="2029" spans="1:11" x14ac:dyDescent="0.25">
      <c r="A2029" t="s">
        <v>702</v>
      </c>
      <c r="B2029" t="s">
        <v>2699</v>
      </c>
      <c r="C2029" t="s">
        <v>16</v>
      </c>
      <c r="D2029" t="s">
        <v>4462</v>
      </c>
      <c r="E2029" t="s">
        <v>4440</v>
      </c>
      <c r="F2029" t="s">
        <v>2443</v>
      </c>
      <c r="G2029" s="2">
        <v>45570</v>
      </c>
      <c r="H2029">
        <v>0</v>
      </c>
      <c r="I2029">
        <v>0</v>
      </c>
      <c r="J2029" s="1">
        <v>150650</v>
      </c>
      <c r="K2029" s="1">
        <v>150650</v>
      </c>
    </row>
    <row r="2030" spans="1:11" x14ac:dyDescent="0.25">
      <c r="A2030" t="s">
        <v>697</v>
      </c>
      <c r="B2030" t="s">
        <v>2701</v>
      </c>
      <c r="C2030" t="s">
        <v>16</v>
      </c>
      <c r="D2030" t="s">
        <v>4466</v>
      </c>
      <c r="E2030" t="s">
        <v>4453</v>
      </c>
      <c r="F2030" t="s">
        <v>2443</v>
      </c>
      <c r="G2030" s="2">
        <v>45572</v>
      </c>
      <c r="H2030">
        <v>0</v>
      </c>
      <c r="I2030">
        <v>0</v>
      </c>
      <c r="J2030" s="1">
        <v>150650</v>
      </c>
      <c r="K2030" s="1">
        <v>150650</v>
      </c>
    </row>
    <row r="2031" spans="1:11" x14ac:dyDescent="0.25">
      <c r="A2031" t="s">
        <v>691</v>
      </c>
      <c r="B2031" t="s">
        <v>2705</v>
      </c>
      <c r="C2031" t="s">
        <v>42</v>
      </c>
      <c r="D2031" t="s">
        <v>4467</v>
      </c>
      <c r="E2031" t="s">
        <v>4435</v>
      </c>
      <c r="F2031" t="s">
        <v>2443</v>
      </c>
      <c r="G2031" s="2">
        <v>45573</v>
      </c>
      <c r="H2031">
        <v>0</v>
      </c>
      <c r="I2031">
        <v>0</v>
      </c>
      <c r="J2031" s="1">
        <v>150650</v>
      </c>
      <c r="K2031" s="1">
        <v>150650</v>
      </c>
    </row>
    <row r="2032" spans="1:11" x14ac:dyDescent="0.25">
      <c r="A2032" t="s">
        <v>694</v>
      </c>
      <c r="B2032" t="s">
        <v>2722</v>
      </c>
      <c r="C2032" t="s">
        <v>16</v>
      </c>
      <c r="D2032" t="s">
        <v>4462</v>
      </c>
      <c r="E2032" t="s">
        <v>4446</v>
      </c>
      <c r="F2032" t="s">
        <v>2443</v>
      </c>
      <c r="G2032" s="2">
        <v>45573</v>
      </c>
      <c r="H2032">
        <v>0</v>
      </c>
      <c r="I2032">
        <v>0</v>
      </c>
      <c r="J2032" s="1">
        <v>150650</v>
      </c>
      <c r="K2032" s="1">
        <v>150650</v>
      </c>
    </row>
    <row r="2033" spans="1:11" x14ac:dyDescent="0.25">
      <c r="A2033" t="s">
        <v>682</v>
      </c>
      <c r="B2033" t="s">
        <v>2700</v>
      </c>
      <c r="C2033" t="s">
        <v>27</v>
      </c>
      <c r="D2033" t="s">
        <v>4466</v>
      </c>
      <c r="E2033" t="s">
        <v>4450</v>
      </c>
      <c r="F2033" t="s">
        <v>2443</v>
      </c>
      <c r="G2033" s="2">
        <v>45574</v>
      </c>
      <c r="H2033">
        <v>0</v>
      </c>
      <c r="I2033">
        <v>0</v>
      </c>
      <c r="J2033" s="1">
        <v>150650</v>
      </c>
      <c r="K2033" s="1">
        <v>150650</v>
      </c>
    </row>
    <row r="2034" spans="1:11" x14ac:dyDescent="0.25">
      <c r="A2034" t="s">
        <v>680</v>
      </c>
      <c r="B2034" t="s">
        <v>2713</v>
      </c>
      <c r="C2034" t="s">
        <v>16</v>
      </c>
      <c r="D2034" t="s">
        <v>4465</v>
      </c>
      <c r="E2034" t="s">
        <v>4428</v>
      </c>
      <c r="F2034" t="s">
        <v>2443</v>
      </c>
      <c r="G2034" s="2">
        <v>45575</v>
      </c>
      <c r="H2034">
        <v>0</v>
      </c>
      <c r="I2034">
        <v>0</v>
      </c>
      <c r="J2034" s="1">
        <v>150650</v>
      </c>
      <c r="K2034" s="1">
        <v>150650</v>
      </c>
    </row>
    <row r="2035" spans="1:11" x14ac:dyDescent="0.25">
      <c r="A2035" t="s">
        <v>671</v>
      </c>
      <c r="B2035" t="s">
        <v>2733</v>
      </c>
      <c r="C2035" t="s">
        <v>16</v>
      </c>
      <c r="D2035" t="s">
        <v>4465</v>
      </c>
      <c r="E2035" t="s">
        <v>4448</v>
      </c>
      <c r="F2035" t="s">
        <v>2443</v>
      </c>
      <c r="G2035" s="2">
        <v>45576</v>
      </c>
      <c r="H2035">
        <v>0</v>
      </c>
      <c r="I2035">
        <v>0</v>
      </c>
      <c r="J2035" s="1">
        <v>150650</v>
      </c>
      <c r="K2035" s="1">
        <v>150650</v>
      </c>
    </row>
    <row r="2036" spans="1:11" x14ac:dyDescent="0.25">
      <c r="A2036" t="s">
        <v>677</v>
      </c>
      <c r="B2036" t="s">
        <v>2698</v>
      </c>
      <c r="C2036" t="s">
        <v>16</v>
      </c>
      <c r="D2036" t="s">
        <v>4465</v>
      </c>
      <c r="E2036" t="s">
        <v>4442</v>
      </c>
      <c r="F2036" t="s">
        <v>2443</v>
      </c>
      <c r="G2036" s="2">
        <v>45576</v>
      </c>
      <c r="H2036">
        <v>0</v>
      </c>
      <c r="I2036">
        <v>0</v>
      </c>
      <c r="J2036" s="1">
        <v>150650</v>
      </c>
      <c r="K2036" s="1">
        <v>150650</v>
      </c>
    </row>
    <row r="2037" spans="1:11" x14ac:dyDescent="0.25">
      <c r="A2037" t="s">
        <v>663</v>
      </c>
      <c r="B2037" t="s">
        <v>2724</v>
      </c>
      <c r="C2037" t="s">
        <v>16</v>
      </c>
      <c r="D2037" t="s">
        <v>4462</v>
      </c>
      <c r="E2037" t="s">
        <v>4451</v>
      </c>
      <c r="F2037" t="s">
        <v>2443</v>
      </c>
      <c r="G2037" s="2">
        <v>45579</v>
      </c>
      <c r="H2037">
        <v>0</v>
      </c>
      <c r="I2037">
        <v>0</v>
      </c>
      <c r="J2037" s="1">
        <v>150650</v>
      </c>
      <c r="K2037" s="1">
        <v>150650</v>
      </c>
    </row>
    <row r="2038" spans="1:11" x14ac:dyDescent="0.25">
      <c r="A2038" t="s">
        <v>668</v>
      </c>
      <c r="B2038" t="s">
        <v>2737</v>
      </c>
      <c r="C2038" t="s">
        <v>16</v>
      </c>
      <c r="D2038" t="s">
        <v>4466</v>
      </c>
      <c r="E2038" t="s">
        <v>4432</v>
      </c>
      <c r="F2038" t="s">
        <v>2443</v>
      </c>
      <c r="G2038" s="2">
        <v>45579</v>
      </c>
      <c r="H2038">
        <v>0</v>
      </c>
      <c r="I2038">
        <v>0</v>
      </c>
      <c r="J2038" s="1">
        <v>150650</v>
      </c>
      <c r="K2038" s="1">
        <v>150650</v>
      </c>
    </row>
    <row r="2039" spans="1:11" x14ac:dyDescent="0.25">
      <c r="A2039" t="s">
        <v>663</v>
      </c>
      <c r="B2039" t="s">
        <v>2724</v>
      </c>
      <c r="C2039" t="s">
        <v>16</v>
      </c>
      <c r="D2039" t="s">
        <v>4462</v>
      </c>
      <c r="E2039" t="s">
        <v>4451</v>
      </c>
      <c r="F2039" t="s">
        <v>2443</v>
      </c>
      <c r="G2039" s="2">
        <v>45579</v>
      </c>
      <c r="H2039">
        <v>0</v>
      </c>
      <c r="I2039">
        <v>0</v>
      </c>
      <c r="J2039" s="1">
        <v>150650</v>
      </c>
      <c r="K2039" s="1">
        <v>150650</v>
      </c>
    </row>
    <row r="2040" spans="1:11" x14ac:dyDescent="0.25">
      <c r="A2040" t="s">
        <v>638</v>
      </c>
      <c r="B2040" t="s">
        <v>2700</v>
      </c>
      <c r="C2040" t="s">
        <v>27</v>
      </c>
      <c r="D2040" t="s">
        <v>4466</v>
      </c>
      <c r="E2040" t="s">
        <v>4450</v>
      </c>
      <c r="F2040" t="s">
        <v>2443</v>
      </c>
      <c r="G2040" s="2">
        <v>45584</v>
      </c>
      <c r="H2040">
        <v>0</v>
      </c>
      <c r="I2040">
        <v>0</v>
      </c>
      <c r="J2040" s="1">
        <v>150650</v>
      </c>
      <c r="K2040" s="1">
        <v>150650</v>
      </c>
    </row>
    <row r="2041" spans="1:11" x14ac:dyDescent="0.25">
      <c r="A2041" t="s">
        <v>644</v>
      </c>
      <c r="B2041" t="s">
        <v>2710</v>
      </c>
      <c r="C2041" t="s">
        <v>42</v>
      </c>
      <c r="D2041" t="s">
        <v>4467</v>
      </c>
      <c r="E2041" t="s">
        <v>4436</v>
      </c>
      <c r="F2041" t="s">
        <v>2443</v>
      </c>
      <c r="G2041" s="2">
        <v>45584</v>
      </c>
      <c r="H2041">
        <v>0</v>
      </c>
      <c r="I2041">
        <v>0</v>
      </c>
      <c r="J2041" s="1">
        <v>150650</v>
      </c>
      <c r="K2041" s="1">
        <v>150650</v>
      </c>
    </row>
    <row r="2042" spans="1:11" x14ac:dyDescent="0.25">
      <c r="A2042" t="s">
        <v>634</v>
      </c>
      <c r="B2042" t="s">
        <v>2718</v>
      </c>
      <c r="C2042" t="s">
        <v>16</v>
      </c>
      <c r="D2042" t="s">
        <v>4466</v>
      </c>
      <c r="E2042" t="s">
        <v>4438</v>
      </c>
      <c r="F2042" t="s">
        <v>2443</v>
      </c>
      <c r="G2042" s="2">
        <v>45585</v>
      </c>
      <c r="H2042">
        <v>0</v>
      </c>
      <c r="I2042">
        <v>0</v>
      </c>
      <c r="J2042" s="1">
        <v>150650</v>
      </c>
      <c r="K2042" s="1">
        <v>150650</v>
      </c>
    </row>
    <row r="2043" spans="1:11" x14ac:dyDescent="0.25">
      <c r="A2043" t="s">
        <v>636</v>
      </c>
      <c r="B2043" t="s">
        <v>2721</v>
      </c>
      <c r="C2043" t="s">
        <v>16</v>
      </c>
      <c r="D2043" t="s">
        <v>4466</v>
      </c>
      <c r="E2043" t="s">
        <v>4438</v>
      </c>
      <c r="F2043" t="s">
        <v>2443</v>
      </c>
      <c r="G2043" s="2">
        <v>45585</v>
      </c>
      <c r="H2043">
        <v>0</v>
      </c>
      <c r="I2043">
        <v>0</v>
      </c>
      <c r="J2043" s="1">
        <v>150650</v>
      </c>
      <c r="K2043" s="1">
        <v>150650</v>
      </c>
    </row>
    <row r="2044" spans="1:11" x14ac:dyDescent="0.25">
      <c r="A2044" t="s">
        <v>636</v>
      </c>
      <c r="B2044" t="s">
        <v>2721</v>
      </c>
      <c r="C2044" t="s">
        <v>16</v>
      </c>
      <c r="D2044" t="s">
        <v>4466</v>
      </c>
      <c r="E2044" t="s">
        <v>4438</v>
      </c>
      <c r="F2044" t="s">
        <v>2443</v>
      </c>
      <c r="G2044" s="2">
        <v>45585</v>
      </c>
      <c r="H2044">
        <v>0</v>
      </c>
      <c r="I2044">
        <v>0</v>
      </c>
      <c r="J2044" s="1">
        <v>150650</v>
      </c>
      <c r="K2044" s="1">
        <v>150650</v>
      </c>
    </row>
    <row r="2045" spans="1:11" x14ac:dyDescent="0.25">
      <c r="A2045" t="s">
        <v>630</v>
      </c>
      <c r="B2045" t="s">
        <v>2726</v>
      </c>
      <c r="C2045" t="s">
        <v>16</v>
      </c>
      <c r="D2045" t="s">
        <v>4466</v>
      </c>
      <c r="E2045" t="s">
        <v>4437</v>
      </c>
      <c r="F2045" t="s">
        <v>2443</v>
      </c>
      <c r="G2045" s="2">
        <v>45586</v>
      </c>
      <c r="H2045">
        <v>0</v>
      </c>
      <c r="I2045">
        <v>0</v>
      </c>
      <c r="J2045" s="1">
        <v>150650</v>
      </c>
      <c r="K2045" s="1">
        <v>150650</v>
      </c>
    </row>
    <row r="2046" spans="1:11" x14ac:dyDescent="0.25">
      <c r="A2046" t="s">
        <v>622</v>
      </c>
      <c r="B2046" t="s">
        <v>2735</v>
      </c>
      <c r="C2046" t="s">
        <v>16</v>
      </c>
      <c r="D2046" t="s">
        <v>4462</v>
      </c>
      <c r="E2046" t="s">
        <v>4426</v>
      </c>
      <c r="F2046" t="s">
        <v>2443</v>
      </c>
      <c r="G2046" s="2">
        <v>45587</v>
      </c>
      <c r="H2046">
        <v>0</v>
      </c>
      <c r="I2046">
        <v>0</v>
      </c>
      <c r="J2046" s="1">
        <v>150650</v>
      </c>
      <c r="K2046" s="1">
        <v>150650</v>
      </c>
    </row>
    <row r="2047" spans="1:11" x14ac:dyDescent="0.25">
      <c r="A2047" t="s">
        <v>624</v>
      </c>
      <c r="B2047" t="s">
        <v>2709</v>
      </c>
      <c r="C2047" t="s">
        <v>42</v>
      </c>
      <c r="D2047" t="s">
        <v>4467</v>
      </c>
      <c r="E2047" t="s">
        <v>4456</v>
      </c>
      <c r="F2047" t="s">
        <v>2443</v>
      </c>
      <c r="G2047" s="2">
        <v>45587</v>
      </c>
      <c r="H2047">
        <v>0</v>
      </c>
      <c r="I2047">
        <v>0</v>
      </c>
      <c r="J2047" s="1">
        <v>150650</v>
      </c>
      <c r="K2047" s="1">
        <v>150650</v>
      </c>
    </row>
    <row r="2048" spans="1:11" x14ac:dyDescent="0.25">
      <c r="A2048" t="s">
        <v>628</v>
      </c>
      <c r="B2048" t="s">
        <v>2717</v>
      </c>
      <c r="C2048" t="s">
        <v>16</v>
      </c>
      <c r="D2048" t="s">
        <v>4466</v>
      </c>
      <c r="E2048" t="s">
        <v>4431</v>
      </c>
      <c r="F2048" t="s">
        <v>2443</v>
      </c>
      <c r="G2048" s="2">
        <v>45587</v>
      </c>
      <c r="H2048">
        <v>0</v>
      </c>
      <c r="I2048">
        <v>0</v>
      </c>
      <c r="J2048" s="1">
        <v>150650</v>
      </c>
      <c r="K2048" s="1">
        <v>150650</v>
      </c>
    </row>
    <row r="2049" spans="1:11" x14ac:dyDescent="0.25">
      <c r="A2049" t="s">
        <v>622</v>
      </c>
      <c r="B2049" t="s">
        <v>2735</v>
      </c>
      <c r="C2049" t="s">
        <v>16</v>
      </c>
      <c r="D2049" t="s">
        <v>4462</v>
      </c>
      <c r="E2049" t="s">
        <v>4426</v>
      </c>
      <c r="F2049" t="s">
        <v>2443</v>
      </c>
      <c r="G2049" s="2">
        <v>45587</v>
      </c>
      <c r="H2049">
        <v>0</v>
      </c>
      <c r="I2049">
        <v>0</v>
      </c>
      <c r="J2049" s="1">
        <v>150650</v>
      </c>
      <c r="K2049" s="1">
        <v>150650</v>
      </c>
    </row>
    <row r="2050" spans="1:11" x14ac:dyDescent="0.25">
      <c r="A2050" t="s">
        <v>606</v>
      </c>
      <c r="B2050" t="s">
        <v>2725</v>
      </c>
      <c r="C2050" t="s">
        <v>16</v>
      </c>
      <c r="D2050" t="s">
        <v>4465</v>
      </c>
      <c r="E2050" t="s">
        <v>4429</v>
      </c>
      <c r="F2050" t="s">
        <v>2443</v>
      </c>
      <c r="G2050" s="2">
        <v>45589</v>
      </c>
      <c r="H2050">
        <v>0</v>
      </c>
      <c r="I2050">
        <v>0</v>
      </c>
      <c r="J2050" s="1">
        <v>602600</v>
      </c>
      <c r="K2050" s="1">
        <v>602600</v>
      </c>
    </row>
    <row r="2051" spans="1:11" x14ac:dyDescent="0.25">
      <c r="A2051" t="s">
        <v>608</v>
      </c>
      <c r="B2051" t="s">
        <v>2732</v>
      </c>
      <c r="C2051" t="s">
        <v>16</v>
      </c>
      <c r="D2051" t="s">
        <v>4461</v>
      </c>
      <c r="E2051" t="s">
        <v>4444</v>
      </c>
      <c r="F2051" t="s">
        <v>2443</v>
      </c>
      <c r="G2051" s="2">
        <v>45589</v>
      </c>
      <c r="H2051">
        <v>0</v>
      </c>
      <c r="I2051">
        <v>0</v>
      </c>
      <c r="J2051" s="1">
        <v>5150</v>
      </c>
      <c r="K2051" s="1">
        <v>5150</v>
      </c>
    </row>
    <row r="2052" spans="1:11" x14ac:dyDescent="0.25">
      <c r="A2052" t="s">
        <v>600</v>
      </c>
      <c r="B2052" t="s">
        <v>2708</v>
      </c>
      <c r="C2052" t="s">
        <v>16</v>
      </c>
      <c r="D2052" t="s">
        <v>4466</v>
      </c>
      <c r="E2052" t="s">
        <v>4457</v>
      </c>
      <c r="F2052" t="s">
        <v>2443</v>
      </c>
      <c r="G2052" s="2">
        <v>45589</v>
      </c>
      <c r="H2052">
        <v>0</v>
      </c>
      <c r="I2052">
        <v>0</v>
      </c>
      <c r="J2052" s="1">
        <v>150650</v>
      </c>
      <c r="K2052" s="1">
        <v>150650</v>
      </c>
    </row>
    <row r="2053" spans="1:11" x14ac:dyDescent="0.25">
      <c r="A2053" t="s">
        <v>608</v>
      </c>
      <c r="B2053" t="s">
        <v>2732</v>
      </c>
      <c r="C2053" t="s">
        <v>16</v>
      </c>
      <c r="D2053" t="s">
        <v>4461</v>
      </c>
      <c r="E2053" t="s">
        <v>4444</v>
      </c>
      <c r="F2053" t="s">
        <v>2443</v>
      </c>
      <c r="G2053" s="2">
        <v>45589</v>
      </c>
      <c r="H2053">
        <v>0</v>
      </c>
      <c r="I2053">
        <v>0</v>
      </c>
      <c r="J2053" s="1">
        <v>150650</v>
      </c>
      <c r="K2053" s="1">
        <v>150650</v>
      </c>
    </row>
    <row r="2054" spans="1:11" x14ac:dyDescent="0.25">
      <c r="A2054" t="s">
        <v>606</v>
      </c>
      <c r="B2054" t="s">
        <v>2725</v>
      </c>
      <c r="C2054" t="s">
        <v>16</v>
      </c>
      <c r="D2054" t="s">
        <v>4465</v>
      </c>
      <c r="E2054" t="s">
        <v>4429</v>
      </c>
      <c r="F2054" t="s">
        <v>2443</v>
      </c>
      <c r="G2054" s="2">
        <v>45589</v>
      </c>
      <c r="H2054">
        <v>0</v>
      </c>
      <c r="I2054">
        <v>0</v>
      </c>
      <c r="J2054" s="1">
        <v>150650</v>
      </c>
      <c r="K2054" s="1">
        <v>150650</v>
      </c>
    </row>
    <row r="2055" spans="1:11" x14ac:dyDescent="0.25">
      <c r="A2055" t="s">
        <v>607</v>
      </c>
      <c r="B2055" t="s">
        <v>2711</v>
      </c>
      <c r="C2055" t="s">
        <v>16</v>
      </c>
      <c r="D2055" t="s">
        <v>4461</v>
      </c>
      <c r="E2055" t="s">
        <v>4447</v>
      </c>
      <c r="F2055" t="s">
        <v>2443</v>
      </c>
      <c r="G2055" s="2">
        <v>45589</v>
      </c>
      <c r="H2055">
        <v>0</v>
      </c>
      <c r="I2055">
        <v>0</v>
      </c>
      <c r="J2055" s="1">
        <v>150650</v>
      </c>
      <c r="K2055" s="1">
        <v>150650</v>
      </c>
    </row>
    <row r="2056" spans="1:11" x14ac:dyDescent="0.25">
      <c r="A2056" t="s">
        <v>566</v>
      </c>
      <c r="B2056" t="s">
        <v>2734</v>
      </c>
      <c r="C2056" t="s">
        <v>16</v>
      </c>
      <c r="D2056" t="s">
        <v>4461</v>
      </c>
      <c r="E2056" t="s">
        <v>4455</v>
      </c>
      <c r="F2056" t="s">
        <v>2443</v>
      </c>
      <c r="G2056" s="2">
        <v>45592</v>
      </c>
      <c r="H2056">
        <v>0</v>
      </c>
      <c r="I2056">
        <v>0</v>
      </c>
      <c r="J2056" s="1">
        <v>150650</v>
      </c>
      <c r="K2056" s="1">
        <v>150650</v>
      </c>
    </row>
    <row r="2057" spans="1:11" x14ac:dyDescent="0.25">
      <c r="A2057" t="s">
        <v>570</v>
      </c>
      <c r="B2057" t="s">
        <v>2706</v>
      </c>
      <c r="C2057" t="s">
        <v>27</v>
      </c>
      <c r="D2057" t="s">
        <v>4461</v>
      </c>
      <c r="E2057" t="s">
        <v>4452</v>
      </c>
      <c r="F2057" t="s">
        <v>2443</v>
      </c>
      <c r="G2057" s="2">
        <v>45592</v>
      </c>
      <c r="H2057">
        <v>0</v>
      </c>
      <c r="I2057">
        <v>0</v>
      </c>
      <c r="J2057" s="1">
        <v>150650</v>
      </c>
      <c r="K2057" s="1">
        <v>150650</v>
      </c>
    </row>
    <row r="2058" spans="1:11" x14ac:dyDescent="0.25">
      <c r="A2058" t="s">
        <v>560</v>
      </c>
      <c r="B2058" t="s">
        <v>2725</v>
      </c>
      <c r="C2058" t="s">
        <v>16</v>
      </c>
      <c r="D2058" t="s">
        <v>4465</v>
      </c>
      <c r="E2058" t="s">
        <v>4429</v>
      </c>
      <c r="F2058" t="s">
        <v>2443</v>
      </c>
      <c r="G2058" s="2">
        <v>45593</v>
      </c>
      <c r="H2058">
        <v>0</v>
      </c>
      <c r="I2058">
        <v>0</v>
      </c>
      <c r="J2058" s="1">
        <v>150650</v>
      </c>
      <c r="K2058" s="1">
        <v>150650</v>
      </c>
    </row>
    <row r="2059" spans="1:11" x14ac:dyDescent="0.25">
      <c r="A2059" t="s">
        <v>564</v>
      </c>
      <c r="B2059" t="s">
        <v>2727</v>
      </c>
      <c r="C2059" t="s">
        <v>16</v>
      </c>
      <c r="D2059" t="s">
        <v>4465</v>
      </c>
      <c r="E2059" t="s">
        <v>4445</v>
      </c>
      <c r="F2059" t="s">
        <v>2443</v>
      </c>
      <c r="G2059" s="2">
        <v>45593</v>
      </c>
      <c r="H2059">
        <v>0</v>
      </c>
      <c r="I2059">
        <v>0</v>
      </c>
      <c r="J2059" s="1">
        <v>150650</v>
      </c>
      <c r="K2059" s="1">
        <v>150650</v>
      </c>
    </row>
    <row r="2060" spans="1:11" x14ac:dyDescent="0.25">
      <c r="A2060" t="s">
        <v>548</v>
      </c>
      <c r="B2060" t="s">
        <v>2711</v>
      </c>
      <c r="C2060" t="s">
        <v>16</v>
      </c>
      <c r="D2060" t="s">
        <v>4461</v>
      </c>
      <c r="E2060" t="s">
        <v>4447</v>
      </c>
      <c r="F2060" t="s">
        <v>2443</v>
      </c>
      <c r="G2060" s="2">
        <v>45595</v>
      </c>
      <c r="H2060">
        <v>0</v>
      </c>
      <c r="I2060">
        <v>0</v>
      </c>
      <c r="J2060" s="1">
        <v>150650</v>
      </c>
      <c r="K2060" s="1">
        <v>150650</v>
      </c>
    </row>
    <row r="2061" spans="1:11" x14ac:dyDescent="0.25">
      <c r="A2061" t="s">
        <v>546</v>
      </c>
      <c r="B2061" t="s">
        <v>2720</v>
      </c>
      <c r="C2061" t="s">
        <v>16</v>
      </c>
      <c r="D2061" t="s">
        <v>4461</v>
      </c>
      <c r="E2061" t="s">
        <v>4425</v>
      </c>
      <c r="F2061" t="s">
        <v>2443</v>
      </c>
      <c r="G2061" s="2">
        <v>45596</v>
      </c>
      <c r="H2061">
        <v>0</v>
      </c>
      <c r="I2061">
        <v>0</v>
      </c>
      <c r="J2061" s="1">
        <v>150650</v>
      </c>
      <c r="K2061" s="1">
        <v>150650</v>
      </c>
    </row>
    <row r="2062" spans="1:11" x14ac:dyDescent="0.25">
      <c r="A2062" t="s">
        <v>547</v>
      </c>
      <c r="B2062" t="s">
        <v>2728</v>
      </c>
      <c r="C2062" t="s">
        <v>16</v>
      </c>
      <c r="D2062" t="s">
        <v>4465</v>
      </c>
      <c r="E2062" t="s">
        <v>4439</v>
      </c>
      <c r="F2062" t="s">
        <v>2443</v>
      </c>
      <c r="G2062" s="2">
        <v>45596</v>
      </c>
      <c r="H2062">
        <v>0</v>
      </c>
      <c r="I2062">
        <v>0</v>
      </c>
      <c r="J2062" s="1">
        <v>150650</v>
      </c>
      <c r="K2062" s="1">
        <v>150650</v>
      </c>
    </row>
    <row r="2063" spans="1:11" x14ac:dyDescent="0.25">
      <c r="A2063" t="s">
        <v>529</v>
      </c>
      <c r="B2063" t="s">
        <v>2730</v>
      </c>
      <c r="C2063" t="s">
        <v>42</v>
      </c>
      <c r="D2063" t="s">
        <v>4467</v>
      </c>
      <c r="E2063" t="s">
        <v>4441</v>
      </c>
      <c r="F2063" t="s">
        <v>2443</v>
      </c>
      <c r="G2063" s="2">
        <v>45597</v>
      </c>
      <c r="H2063">
        <v>0</v>
      </c>
      <c r="I2063">
        <v>0</v>
      </c>
      <c r="J2063" s="1">
        <v>150650</v>
      </c>
      <c r="K2063" s="1">
        <v>150650</v>
      </c>
    </row>
    <row r="2064" spans="1:11" x14ac:dyDescent="0.25">
      <c r="A2064" t="s">
        <v>531</v>
      </c>
      <c r="B2064" t="s">
        <v>2716</v>
      </c>
      <c r="C2064" t="s">
        <v>16</v>
      </c>
      <c r="D2064" t="s">
        <v>4462</v>
      </c>
      <c r="E2064" t="s">
        <v>4458</v>
      </c>
      <c r="F2064" t="s">
        <v>2443</v>
      </c>
      <c r="G2064" s="2">
        <v>45597</v>
      </c>
      <c r="H2064">
        <v>0</v>
      </c>
      <c r="I2064">
        <v>0</v>
      </c>
      <c r="J2064" s="1">
        <v>150650</v>
      </c>
      <c r="K2064" s="1">
        <v>150650</v>
      </c>
    </row>
    <row r="2065" spans="1:11" x14ac:dyDescent="0.25">
      <c r="A2065" t="s">
        <v>533</v>
      </c>
      <c r="B2065" t="s">
        <v>2722</v>
      </c>
      <c r="C2065" t="s">
        <v>16</v>
      </c>
      <c r="D2065" t="s">
        <v>4462</v>
      </c>
      <c r="E2065" t="s">
        <v>4446</v>
      </c>
      <c r="F2065" t="s">
        <v>2443</v>
      </c>
      <c r="G2065" s="2">
        <v>45597</v>
      </c>
      <c r="H2065">
        <v>0</v>
      </c>
      <c r="I2065">
        <v>0</v>
      </c>
      <c r="J2065" s="1">
        <v>150650</v>
      </c>
      <c r="K2065" s="1">
        <v>150650</v>
      </c>
    </row>
    <row r="2066" spans="1:11" x14ac:dyDescent="0.25">
      <c r="A2066" t="s">
        <v>527</v>
      </c>
      <c r="B2066" t="s">
        <v>2728</v>
      </c>
      <c r="C2066" t="s">
        <v>16</v>
      </c>
      <c r="D2066" t="s">
        <v>4465</v>
      </c>
      <c r="E2066" t="s">
        <v>4439</v>
      </c>
      <c r="F2066" t="s">
        <v>2443</v>
      </c>
      <c r="G2066" s="2">
        <v>45597</v>
      </c>
      <c r="H2066">
        <v>0</v>
      </c>
      <c r="I2066">
        <v>0</v>
      </c>
      <c r="J2066" s="1">
        <v>150650</v>
      </c>
      <c r="K2066" s="1">
        <v>150650</v>
      </c>
    </row>
    <row r="2067" spans="1:11" x14ac:dyDescent="0.25">
      <c r="A2067" t="s">
        <v>530</v>
      </c>
      <c r="B2067" t="s">
        <v>2714</v>
      </c>
      <c r="C2067" t="s">
        <v>16</v>
      </c>
      <c r="D2067" t="s">
        <v>4466</v>
      </c>
      <c r="E2067" t="s">
        <v>4434</v>
      </c>
      <c r="F2067" t="s">
        <v>2443</v>
      </c>
      <c r="G2067" s="2">
        <v>45597</v>
      </c>
      <c r="H2067">
        <v>0</v>
      </c>
      <c r="I2067">
        <v>0</v>
      </c>
      <c r="J2067" s="1">
        <v>150650</v>
      </c>
      <c r="K2067" s="1">
        <v>150650</v>
      </c>
    </row>
    <row r="2068" spans="1:11" x14ac:dyDescent="0.25">
      <c r="A2068" t="s">
        <v>517</v>
      </c>
      <c r="B2068" t="s">
        <v>2698</v>
      </c>
      <c r="C2068" t="s">
        <v>16</v>
      </c>
      <c r="D2068" t="s">
        <v>4465</v>
      </c>
      <c r="E2068" t="s">
        <v>4442</v>
      </c>
      <c r="F2068" t="s">
        <v>2443</v>
      </c>
      <c r="G2068" s="2">
        <v>45598</v>
      </c>
      <c r="H2068">
        <v>0</v>
      </c>
      <c r="I2068">
        <v>0</v>
      </c>
      <c r="J2068" s="1">
        <v>150650</v>
      </c>
      <c r="K2068" s="1">
        <v>150650</v>
      </c>
    </row>
    <row r="2069" spans="1:11" x14ac:dyDescent="0.25">
      <c r="A2069" t="s">
        <v>519</v>
      </c>
      <c r="B2069" t="s">
        <v>2712</v>
      </c>
      <c r="C2069" t="s">
        <v>16</v>
      </c>
      <c r="D2069" t="s">
        <v>4461</v>
      </c>
      <c r="E2069" t="s">
        <v>4449</v>
      </c>
      <c r="F2069" t="s">
        <v>2443</v>
      </c>
      <c r="G2069" s="2">
        <v>45598</v>
      </c>
      <c r="H2069">
        <v>0</v>
      </c>
      <c r="I2069">
        <v>0</v>
      </c>
      <c r="J2069" s="1">
        <v>150650</v>
      </c>
      <c r="K2069" s="1">
        <v>150650</v>
      </c>
    </row>
    <row r="2070" spans="1:11" x14ac:dyDescent="0.25">
      <c r="A2070" t="s">
        <v>516</v>
      </c>
      <c r="B2070" t="s">
        <v>2726</v>
      </c>
      <c r="C2070" t="s">
        <v>16</v>
      </c>
      <c r="D2070" t="s">
        <v>4466</v>
      </c>
      <c r="E2070" t="s">
        <v>4437</v>
      </c>
      <c r="F2070" t="s">
        <v>2443</v>
      </c>
      <c r="G2070" s="2">
        <v>45599</v>
      </c>
      <c r="H2070">
        <v>0</v>
      </c>
      <c r="I2070">
        <v>0</v>
      </c>
      <c r="J2070" s="1">
        <v>150650</v>
      </c>
      <c r="K2070" s="1">
        <v>150650</v>
      </c>
    </row>
    <row r="2071" spans="1:11" x14ac:dyDescent="0.25">
      <c r="A2071" t="s">
        <v>508</v>
      </c>
      <c r="B2071" t="s">
        <v>2713</v>
      </c>
      <c r="C2071" t="s">
        <v>16</v>
      </c>
      <c r="D2071" t="s">
        <v>4465</v>
      </c>
      <c r="E2071" t="s">
        <v>4428</v>
      </c>
      <c r="F2071" t="s">
        <v>2443</v>
      </c>
      <c r="G2071" s="2">
        <v>45600</v>
      </c>
      <c r="H2071">
        <v>0</v>
      </c>
      <c r="I2071">
        <v>0</v>
      </c>
      <c r="J2071" s="1">
        <v>150650</v>
      </c>
      <c r="K2071" s="1">
        <v>150650</v>
      </c>
    </row>
    <row r="2072" spans="1:11" x14ac:dyDescent="0.25">
      <c r="A2072" t="s">
        <v>509</v>
      </c>
      <c r="B2072" t="s">
        <v>2705</v>
      </c>
      <c r="C2072" t="s">
        <v>42</v>
      </c>
      <c r="D2072" t="s">
        <v>4467</v>
      </c>
      <c r="E2072" t="s">
        <v>4435</v>
      </c>
      <c r="F2072" t="s">
        <v>2443</v>
      </c>
      <c r="G2072" s="2">
        <v>45600</v>
      </c>
      <c r="H2072">
        <v>0</v>
      </c>
      <c r="I2072">
        <v>0</v>
      </c>
      <c r="J2072" s="1">
        <v>150650</v>
      </c>
      <c r="K2072" s="1">
        <v>150650</v>
      </c>
    </row>
    <row r="2073" spans="1:11" x14ac:dyDescent="0.25">
      <c r="A2073" t="s">
        <v>511</v>
      </c>
      <c r="B2073" t="s">
        <v>2706</v>
      </c>
      <c r="C2073" t="s">
        <v>27</v>
      </c>
      <c r="D2073" t="s">
        <v>4461</v>
      </c>
      <c r="E2073" t="s">
        <v>4452</v>
      </c>
      <c r="F2073" t="s">
        <v>2443</v>
      </c>
      <c r="G2073" s="2">
        <v>45600</v>
      </c>
      <c r="H2073">
        <v>0</v>
      </c>
      <c r="I2073">
        <v>0</v>
      </c>
      <c r="J2073" s="1">
        <v>150650</v>
      </c>
      <c r="K2073" s="1">
        <v>150650</v>
      </c>
    </row>
    <row r="2074" spans="1:11" x14ac:dyDescent="0.25">
      <c r="A2074" t="s">
        <v>498</v>
      </c>
      <c r="B2074" t="s">
        <v>2724</v>
      </c>
      <c r="C2074" t="s">
        <v>16</v>
      </c>
      <c r="D2074" t="s">
        <v>4462</v>
      </c>
      <c r="E2074" t="s">
        <v>4451</v>
      </c>
      <c r="F2074" t="s">
        <v>2443</v>
      </c>
      <c r="G2074" s="2">
        <v>45601</v>
      </c>
      <c r="H2074">
        <v>0</v>
      </c>
      <c r="I2074">
        <v>0</v>
      </c>
      <c r="J2074" s="1">
        <v>150650</v>
      </c>
      <c r="K2074" s="1">
        <v>150650</v>
      </c>
    </row>
    <row r="2075" spans="1:11" x14ac:dyDescent="0.25">
      <c r="A2075" t="s">
        <v>502</v>
      </c>
      <c r="B2075" t="s">
        <v>2700</v>
      </c>
      <c r="C2075" t="s">
        <v>27</v>
      </c>
      <c r="D2075" t="s">
        <v>4466</v>
      </c>
      <c r="E2075" t="s">
        <v>4450</v>
      </c>
      <c r="F2075" t="s">
        <v>2443</v>
      </c>
      <c r="G2075" s="2">
        <v>45601</v>
      </c>
      <c r="H2075">
        <v>0</v>
      </c>
      <c r="I2075">
        <v>0</v>
      </c>
      <c r="J2075" s="1">
        <v>150650</v>
      </c>
      <c r="K2075" s="1">
        <v>150650</v>
      </c>
    </row>
    <row r="2076" spans="1:11" x14ac:dyDescent="0.25">
      <c r="A2076" t="s">
        <v>504</v>
      </c>
      <c r="B2076" t="s">
        <v>2728</v>
      </c>
      <c r="C2076" t="s">
        <v>16</v>
      </c>
      <c r="D2076" t="s">
        <v>4465</v>
      </c>
      <c r="E2076" t="s">
        <v>4439</v>
      </c>
      <c r="F2076" t="s">
        <v>2443</v>
      </c>
      <c r="G2076" s="2">
        <v>45601</v>
      </c>
      <c r="H2076">
        <v>0</v>
      </c>
      <c r="I2076">
        <v>0</v>
      </c>
      <c r="J2076" s="1">
        <v>150650</v>
      </c>
      <c r="K2076" s="1">
        <v>150650</v>
      </c>
    </row>
    <row r="2077" spans="1:11" x14ac:dyDescent="0.25">
      <c r="A2077" t="s">
        <v>491</v>
      </c>
      <c r="B2077" t="s">
        <v>2721</v>
      </c>
      <c r="C2077" t="s">
        <v>16</v>
      </c>
      <c r="D2077" t="s">
        <v>4466</v>
      </c>
      <c r="E2077" t="s">
        <v>4438</v>
      </c>
      <c r="F2077" t="s">
        <v>2443</v>
      </c>
      <c r="G2077" s="2">
        <v>45602</v>
      </c>
      <c r="H2077">
        <v>0</v>
      </c>
      <c r="I2077">
        <v>0</v>
      </c>
      <c r="J2077" s="1">
        <v>150650</v>
      </c>
      <c r="K2077" s="1">
        <v>150650</v>
      </c>
    </row>
    <row r="2078" spans="1:11" x14ac:dyDescent="0.25">
      <c r="A2078" t="s">
        <v>494</v>
      </c>
      <c r="B2078" t="s">
        <v>2719</v>
      </c>
      <c r="C2078" t="s">
        <v>16</v>
      </c>
      <c r="D2078" t="s">
        <v>4466</v>
      </c>
      <c r="E2078" t="s">
        <v>4430</v>
      </c>
      <c r="F2078" t="s">
        <v>2443</v>
      </c>
      <c r="G2078" s="2">
        <v>45602</v>
      </c>
      <c r="H2078">
        <v>0</v>
      </c>
      <c r="I2078">
        <v>0</v>
      </c>
      <c r="J2078" s="1">
        <v>150650</v>
      </c>
      <c r="K2078" s="1">
        <v>150650</v>
      </c>
    </row>
    <row r="2079" spans="1:11" x14ac:dyDescent="0.25">
      <c r="A2079" t="s">
        <v>497</v>
      </c>
      <c r="B2079" t="s">
        <v>2710</v>
      </c>
      <c r="C2079" t="s">
        <v>42</v>
      </c>
      <c r="D2079" t="s">
        <v>4467</v>
      </c>
      <c r="E2079" t="s">
        <v>4436</v>
      </c>
      <c r="F2079" t="s">
        <v>2443</v>
      </c>
      <c r="G2079" s="2">
        <v>45602</v>
      </c>
      <c r="H2079">
        <v>0</v>
      </c>
      <c r="I2079">
        <v>0</v>
      </c>
      <c r="J2079" s="1">
        <v>150650</v>
      </c>
      <c r="K2079" s="1">
        <v>150650</v>
      </c>
    </row>
    <row r="2080" spans="1:11" x14ac:dyDescent="0.25">
      <c r="A2080" t="s">
        <v>479</v>
      </c>
      <c r="B2080" t="s">
        <v>2737</v>
      </c>
      <c r="C2080" t="s">
        <v>16</v>
      </c>
      <c r="D2080" t="s">
        <v>4466</v>
      </c>
      <c r="E2080" t="s">
        <v>4432</v>
      </c>
      <c r="F2080" t="s">
        <v>2443</v>
      </c>
      <c r="G2080" s="2">
        <v>45603</v>
      </c>
      <c r="H2080">
        <v>0</v>
      </c>
      <c r="I2080">
        <v>0</v>
      </c>
      <c r="J2080" s="1">
        <v>150650</v>
      </c>
      <c r="K2080" s="1">
        <v>150650</v>
      </c>
    </row>
    <row r="2081" spans="1:11" x14ac:dyDescent="0.25">
      <c r="A2081" t="s">
        <v>480</v>
      </c>
      <c r="B2081" t="s">
        <v>2718</v>
      </c>
      <c r="C2081" t="s">
        <v>16</v>
      </c>
      <c r="D2081" t="s">
        <v>4466</v>
      </c>
      <c r="E2081" t="s">
        <v>4438</v>
      </c>
      <c r="F2081" t="s">
        <v>2443</v>
      </c>
      <c r="G2081" s="2">
        <v>45603</v>
      </c>
      <c r="H2081">
        <v>0</v>
      </c>
      <c r="I2081">
        <v>0</v>
      </c>
      <c r="J2081" s="1">
        <v>150650</v>
      </c>
      <c r="K2081" s="1">
        <v>150650</v>
      </c>
    </row>
    <row r="2082" spans="1:11" x14ac:dyDescent="0.25">
      <c r="A2082" t="s">
        <v>473</v>
      </c>
      <c r="B2082" t="s">
        <v>2701</v>
      </c>
      <c r="C2082" t="s">
        <v>16</v>
      </c>
      <c r="D2082" t="s">
        <v>4466</v>
      </c>
      <c r="E2082" t="s">
        <v>4453</v>
      </c>
      <c r="F2082" t="s">
        <v>2443</v>
      </c>
      <c r="G2082" s="2">
        <v>45604</v>
      </c>
      <c r="H2082">
        <v>0</v>
      </c>
      <c r="I2082">
        <v>0</v>
      </c>
      <c r="J2082" s="1">
        <v>150650</v>
      </c>
      <c r="K2082" s="1">
        <v>150650</v>
      </c>
    </row>
    <row r="2083" spans="1:11" x14ac:dyDescent="0.25">
      <c r="A2083" t="s">
        <v>459</v>
      </c>
      <c r="B2083" t="s">
        <v>2699</v>
      </c>
      <c r="C2083" t="s">
        <v>16</v>
      </c>
      <c r="D2083" t="s">
        <v>4462</v>
      </c>
      <c r="E2083" t="s">
        <v>4440</v>
      </c>
      <c r="F2083" t="s">
        <v>2443</v>
      </c>
      <c r="G2083" s="2">
        <v>45605</v>
      </c>
      <c r="H2083">
        <v>0</v>
      </c>
      <c r="I2083">
        <v>0</v>
      </c>
      <c r="J2083" s="1">
        <v>150650</v>
      </c>
      <c r="K2083" s="1">
        <v>150650</v>
      </c>
    </row>
    <row r="2084" spans="1:11" x14ac:dyDescent="0.25">
      <c r="A2084" t="s">
        <v>461</v>
      </c>
      <c r="B2084" t="s">
        <v>2714</v>
      </c>
      <c r="C2084" t="s">
        <v>16</v>
      </c>
      <c r="D2084" t="s">
        <v>4466</v>
      </c>
      <c r="E2084" t="s">
        <v>4434</v>
      </c>
      <c r="F2084" t="s">
        <v>2443</v>
      </c>
      <c r="G2084" s="2">
        <v>45605</v>
      </c>
      <c r="H2084">
        <v>0</v>
      </c>
      <c r="I2084">
        <v>0</v>
      </c>
      <c r="J2084" s="1">
        <v>150650</v>
      </c>
      <c r="K2084" s="1">
        <v>150650</v>
      </c>
    </row>
    <row r="2085" spans="1:11" x14ac:dyDescent="0.25">
      <c r="A2085" t="s">
        <v>458</v>
      </c>
      <c r="B2085" t="s">
        <v>2733</v>
      </c>
      <c r="C2085" t="s">
        <v>16</v>
      </c>
      <c r="D2085" t="s">
        <v>4465</v>
      </c>
      <c r="E2085" t="s">
        <v>4448</v>
      </c>
      <c r="F2085" t="s">
        <v>2443</v>
      </c>
      <c r="G2085" s="2">
        <v>45606</v>
      </c>
      <c r="H2085">
        <v>0</v>
      </c>
      <c r="I2085">
        <v>0</v>
      </c>
      <c r="J2085" s="1">
        <v>150650</v>
      </c>
      <c r="K2085" s="1">
        <v>150650</v>
      </c>
    </row>
    <row r="2086" spans="1:11" x14ac:dyDescent="0.25">
      <c r="A2086" t="s">
        <v>446</v>
      </c>
      <c r="B2086" t="s">
        <v>2714</v>
      </c>
      <c r="C2086" t="s">
        <v>16</v>
      </c>
      <c r="D2086" t="s">
        <v>4466</v>
      </c>
      <c r="E2086" t="s">
        <v>4434</v>
      </c>
      <c r="F2086" t="s">
        <v>2443</v>
      </c>
      <c r="G2086" s="2">
        <v>45607</v>
      </c>
      <c r="H2086">
        <v>0</v>
      </c>
      <c r="I2086">
        <v>0</v>
      </c>
      <c r="J2086" s="1">
        <v>1253686.44</v>
      </c>
      <c r="K2086" s="1">
        <v>1253686.44</v>
      </c>
    </row>
    <row r="2087" spans="1:11" x14ac:dyDescent="0.25">
      <c r="A2087" t="s">
        <v>449</v>
      </c>
      <c r="B2087" t="s">
        <v>2729</v>
      </c>
      <c r="C2087" t="s">
        <v>16</v>
      </c>
      <c r="D2087" t="s">
        <v>4465</v>
      </c>
      <c r="E2087" t="s">
        <v>4427</v>
      </c>
      <c r="F2087" t="s">
        <v>2443</v>
      </c>
      <c r="G2087" s="2">
        <v>45607</v>
      </c>
      <c r="H2087">
        <v>0</v>
      </c>
      <c r="I2087">
        <v>0</v>
      </c>
      <c r="J2087" s="1">
        <v>150650</v>
      </c>
      <c r="K2087" s="1">
        <v>150650</v>
      </c>
    </row>
    <row r="2088" spans="1:11" x14ac:dyDescent="0.25">
      <c r="A2088" t="s">
        <v>445</v>
      </c>
      <c r="B2088" t="s">
        <v>2732</v>
      </c>
      <c r="C2088" t="s">
        <v>16</v>
      </c>
      <c r="D2088" t="s">
        <v>4461</v>
      </c>
      <c r="E2088" t="s">
        <v>4444</v>
      </c>
      <c r="F2088" t="s">
        <v>2443</v>
      </c>
      <c r="G2088" s="2">
        <v>45608</v>
      </c>
      <c r="H2088">
        <v>0</v>
      </c>
      <c r="I2088">
        <v>0</v>
      </c>
      <c r="J2088" s="1">
        <v>150650</v>
      </c>
      <c r="K2088" s="1">
        <v>150650</v>
      </c>
    </row>
    <row r="2089" spans="1:11" x14ac:dyDescent="0.25">
      <c r="A2089" t="s">
        <v>406</v>
      </c>
      <c r="B2089" t="s">
        <v>2717</v>
      </c>
      <c r="C2089" t="s">
        <v>16</v>
      </c>
      <c r="D2089" t="s">
        <v>4466</v>
      </c>
      <c r="E2089" t="s">
        <v>4431</v>
      </c>
      <c r="F2089" t="s">
        <v>2443</v>
      </c>
      <c r="G2089" s="2">
        <v>45615</v>
      </c>
      <c r="H2089">
        <v>0</v>
      </c>
      <c r="I2089">
        <v>0</v>
      </c>
      <c r="J2089" s="1">
        <v>150650</v>
      </c>
      <c r="K2089" s="1">
        <v>150650</v>
      </c>
    </row>
    <row r="2090" spans="1:11" x14ac:dyDescent="0.25">
      <c r="A2090" t="s">
        <v>389</v>
      </c>
      <c r="B2090" t="s">
        <v>2726</v>
      </c>
      <c r="C2090" t="s">
        <v>16</v>
      </c>
      <c r="D2090" t="s">
        <v>4466</v>
      </c>
      <c r="E2090" t="s">
        <v>4437</v>
      </c>
      <c r="F2090" t="s">
        <v>2443</v>
      </c>
      <c r="G2090" s="2">
        <v>45617</v>
      </c>
      <c r="H2090">
        <v>0</v>
      </c>
      <c r="I2090">
        <v>0</v>
      </c>
      <c r="J2090" s="1">
        <v>150650</v>
      </c>
      <c r="K2090" s="1">
        <v>150650</v>
      </c>
    </row>
    <row r="2091" spans="1:11" x14ac:dyDescent="0.25">
      <c r="A2091" t="s">
        <v>367</v>
      </c>
      <c r="B2091" t="s">
        <v>2709</v>
      </c>
      <c r="C2091" t="s">
        <v>42</v>
      </c>
      <c r="D2091" t="s">
        <v>4467</v>
      </c>
      <c r="E2091" t="s">
        <v>4456</v>
      </c>
      <c r="F2091" t="s">
        <v>2443</v>
      </c>
      <c r="G2091" s="2">
        <v>45619</v>
      </c>
      <c r="H2091">
        <v>0</v>
      </c>
      <c r="I2091">
        <v>0</v>
      </c>
      <c r="J2091" s="1">
        <v>150650</v>
      </c>
      <c r="K2091" s="1">
        <v>150650</v>
      </c>
    </row>
    <row r="2092" spans="1:11" x14ac:dyDescent="0.25">
      <c r="A2092" t="s">
        <v>349</v>
      </c>
      <c r="B2092" t="s">
        <v>2708</v>
      </c>
      <c r="C2092" t="s">
        <v>16</v>
      </c>
      <c r="D2092" t="s">
        <v>4466</v>
      </c>
      <c r="E2092" t="s">
        <v>4457</v>
      </c>
      <c r="F2092" t="s">
        <v>2443</v>
      </c>
      <c r="G2092" s="2">
        <v>45620</v>
      </c>
      <c r="H2092">
        <v>0</v>
      </c>
      <c r="I2092">
        <v>0</v>
      </c>
      <c r="J2092" s="1">
        <v>150650</v>
      </c>
      <c r="K2092" s="1">
        <v>150650</v>
      </c>
    </row>
    <row r="2093" spans="1:11" x14ac:dyDescent="0.25">
      <c r="A2093" t="s">
        <v>357</v>
      </c>
      <c r="B2093" t="s">
        <v>2707</v>
      </c>
      <c r="C2093" t="s">
        <v>16</v>
      </c>
      <c r="D2093" t="s">
        <v>4462</v>
      </c>
      <c r="E2093" t="s">
        <v>4433</v>
      </c>
      <c r="F2093" t="s">
        <v>2443</v>
      </c>
      <c r="G2093" s="2">
        <v>45620</v>
      </c>
      <c r="H2093">
        <v>0</v>
      </c>
      <c r="I2093">
        <v>0</v>
      </c>
      <c r="J2093" s="1">
        <v>150650</v>
      </c>
      <c r="K2093" s="1">
        <v>150650</v>
      </c>
    </row>
    <row r="2094" spans="1:11" x14ac:dyDescent="0.25">
      <c r="A2094" t="s">
        <v>365</v>
      </c>
      <c r="B2094" t="s">
        <v>2735</v>
      </c>
      <c r="C2094" t="s">
        <v>16</v>
      </c>
      <c r="D2094" t="s">
        <v>4462</v>
      </c>
      <c r="E2094" t="s">
        <v>4426</v>
      </c>
      <c r="F2094" t="s">
        <v>2443</v>
      </c>
      <c r="G2094" s="2">
        <v>45620</v>
      </c>
      <c r="H2094">
        <v>0</v>
      </c>
      <c r="I2094">
        <v>0</v>
      </c>
      <c r="J2094" s="1">
        <v>150650</v>
      </c>
      <c r="K2094" s="1">
        <v>150650</v>
      </c>
    </row>
    <row r="2095" spans="1:11" x14ac:dyDescent="0.25">
      <c r="A2095" t="s">
        <v>317</v>
      </c>
      <c r="B2095" t="s">
        <v>2711</v>
      </c>
      <c r="C2095" t="s">
        <v>16</v>
      </c>
      <c r="D2095" t="s">
        <v>4461</v>
      </c>
      <c r="E2095" t="s">
        <v>4447</v>
      </c>
      <c r="F2095" t="s">
        <v>2443</v>
      </c>
      <c r="G2095" s="2">
        <v>45624</v>
      </c>
      <c r="H2095">
        <v>0</v>
      </c>
      <c r="I2095">
        <v>0</v>
      </c>
      <c r="J2095" s="1">
        <v>150650</v>
      </c>
      <c r="K2095" s="1">
        <v>150650</v>
      </c>
    </row>
    <row r="2096" spans="1:11" x14ac:dyDescent="0.25">
      <c r="A2096" t="s">
        <v>325</v>
      </c>
      <c r="B2096" t="s">
        <v>2727</v>
      </c>
      <c r="C2096" t="s">
        <v>16</v>
      </c>
      <c r="D2096" t="s">
        <v>4465</v>
      </c>
      <c r="E2096" t="s">
        <v>4445</v>
      </c>
      <c r="F2096" t="s">
        <v>2443</v>
      </c>
      <c r="G2096" s="2">
        <v>45624</v>
      </c>
      <c r="H2096">
        <v>0</v>
      </c>
      <c r="I2096">
        <v>0</v>
      </c>
      <c r="J2096" s="1">
        <v>150650</v>
      </c>
      <c r="K2096" s="1">
        <v>150650</v>
      </c>
    </row>
    <row r="2097" spans="1:11" x14ac:dyDescent="0.25">
      <c r="A2097" t="s">
        <v>314</v>
      </c>
      <c r="B2097" t="s">
        <v>2720</v>
      </c>
      <c r="C2097" t="s">
        <v>16</v>
      </c>
      <c r="D2097" t="s">
        <v>4461</v>
      </c>
      <c r="E2097" t="s">
        <v>4425</v>
      </c>
      <c r="F2097" t="s">
        <v>2443</v>
      </c>
      <c r="G2097" s="2">
        <v>45625</v>
      </c>
      <c r="H2097">
        <v>0</v>
      </c>
      <c r="I2097">
        <v>0</v>
      </c>
      <c r="J2097" s="1">
        <v>150650</v>
      </c>
      <c r="K2097" s="1">
        <v>150650</v>
      </c>
    </row>
    <row r="2098" spans="1:11" x14ac:dyDescent="0.25">
      <c r="A2098" t="s">
        <v>293</v>
      </c>
      <c r="B2098" t="s">
        <v>2724</v>
      </c>
      <c r="C2098" t="s">
        <v>16</v>
      </c>
      <c r="D2098" t="s">
        <v>4462</v>
      </c>
      <c r="E2098" t="s">
        <v>4451</v>
      </c>
      <c r="F2098" t="s">
        <v>2443</v>
      </c>
      <c r="G2098" s="2">
        <v>45627</v>
      </c>
      <c r="H2098">
        <v>0</v>
      </c>
      <c r="I2098">
        <v>0</v>
      </c>
      <c r="J2098" s="1">
        <v>150650</v>
      </c>
      <c r="K2098" s="1">
        <v>150650</v>
      </c>
    </row>
    <row r="2099" spans="1:11" x14ac:dyDescent="0.25">
      <c r="A2099" t="s">
        <v>297</v>
      </c>
      <c r="B2099" t="s">
        <v>2716</v>
      </c>
      <c r="C2099" t="s">
        <v>16</v>
      </c>
      <c r="D2099" t="s">
        <v>4462</v>
      </c>
      <c r="E2099" t="s">
        <v>4458</v>
      </c>
      <c r="F2099" t="s">
        <v>2443</v>
      </c>
      <c r="G2099" s="2">
        <v>45627</v>
      </c>
      <c r="H2099">
        <v>0</v>
      </c>
      <c r="I2099">
        <v>0</v>
      </c>
      <c r="J2099" s="1">
        <v>150650</v>
      </c>
      <c r="K2099" s="1">
        <v>150650</v>
      </c>
    </row>
    <row r="2100" spans="1:11" x14ac:dyDescent="0.25">
      <c r="A2100" t="s">
        <v>298</v>
      </c>
      <c r="B2100" t="s">
        <v>2730</v>
      </c>
      <c r="C2100" t="s">
        <v>42</v>
      </c>
      <c r="D2100" t="s">
        <v>4467</v>
      </c>
      <c r="E2100" t="s">
        <v>4441</v>
      </c>
      <c r="F2100" t="s">
        <v>2443</v>
      </c>
      <c r="G2100" s="2">
        <v>45627</v>
      </c>
      <c r="H2100">
        <v>0</v>
      </c>
      <c r="I2100">
        <v>0</v>
      </c>
      <c r="J2100" s="1">
        <v>150650</v>
      </c>
      <c r="K2100" s="1">
        <v>150650</v>
      </c>
    </row>
    <row r="2101" spans="1:11" x14ac:dyDescent="0.25">
      <c r="A2101" t="s">
        <v>284</v>
      </c>
      <c r="B2101" t="s">
        <v>2698</v>
      </c>
      <c r="C2101" t="s">
        <v>16</v>
      </c>
      <c r="D2101" t="s">
        <v>4465</v>
      </c>
      <c r="E2101" t="s">
        <v>4442</v>
      </c>
      <c r="F2101" t="s">
        <v>2443</v>
      </c>
      <c r="G2101" s="2">
        <v>45628</v>
      </c>
      <c r="H2101">
        <v>0</v>
      </c>
      <c r="I2101">
        <v>0</v>
      </c>
      <c r="J2101" s="1">
        <v>150650</v>
      </c>
      <c r="K2101" s="1">
        <v>150650</v>
      </c>
    </row>
    <row r="2102" spans="1:11" x14ac:dyDescent="0.25">
      <c r="A2102" t="s">
        <v>286</v>
      </c>
      <c r="B2102" t="s">
        <v>2713</v>
      </c>
      <c r="C2102" t="s">
        <v>16</v>
      </c>
      <c r="D2102" t="s">
        <v>4465</v>
      </c>
      <c r="E2102" t="s">
        <v>4428</v>
      </c>
      <c r="F2102" t="s">
        <v>2443</v>
      </c>
      <c r="G2102" s="2">
        <v>45628</v>
      </c>
      <c r="H2102">
        <v>0</v>
      </c>
      <c r="I2102">
        <v>0</v>
      </c>
      <c r="J2102" s="1">
        <v>150650</v>
      </c>
      <c r="K2102" s="1">
        <v>150650</v>
      </c>
    </row>
    <row r="2103" spans="1:11" x14ac:dyDescent="0.25">
      <c r="A2103" t="s">
        <v>288</v>
      </c>
      <c r="B2103" t="s">
        <v>2737</v>
      </c>
      <c r="C2103" t="s">
        <v>16</v>
      </c>
      <c r="D2103" t="s">
        <v>4466</v>
      </c>
      <c r="E2103" t="s">
        <v>4432</v>
      </c>
      <c r="F2103" t="s">
        <v>2443</v>
      </c>
      <c r="G2103" s="2">
        <v>45628</v>
      </c>
      <c r="H2103">
        <v>0</v>
      </c>
      <c r="I2103">
        <v>0</v>
      </c>
      <c r="J2103" s="1">
        <v>150650</v>
      </c>
      <c r="K2103" s="1">
        <v>150650</v>
      </c>
    </row>
    <row r="2104" spans="1:11" x14ac:dyDescent="0.25">
      <c r="A2104" t="s">
        <v>290</v>
      </c>
      <c r="B2104" t="s">
        <v>2706</v>
      </c>
      <c r="C2104" t="s">
        <v>27</v>
      </c>
      <c r="D2104" t="s">
        <v>4461</v>
      </c>
      <c r="E2104" t="s">
        <v>4452</v>
      </c>
      <c r="F2104" t="s">
        <v>2443</v>
      </c>
      <c r="G2104" s="2">
        <v>45628</v>
      </c>
      <c r="H2104">
        <v>0</v>
      </c>
      <c r="I2104">
        <v>0</v>
      </c>
      <c r="J2104" s="1">
        <v>150650</v>
      </c>
      <c r="K2104" s="1">
        <v>150650</v>
      </c>
    </row>
    <row r="2105" spans="1:11" x14ac:dyDescent="0.25">
      <c r="A2105" t="s">
        <v>275</v>
      </c>
      <c r="B2105" t="s">
        <v>2722</v>
      </c>
      <c r="C2105" t="s">
        <v>16</v>
      </c>
      <c r="D2105" t="s">
        <v>4462</v>
      </c>
      <c r="E2105" t="s">
        <v>4446</v>
      </c>
      <c r="F2105" t="s">
        <v>2443</v>
      </c>
      <c r="G2105" s="2">
        <v>45629</v>
      </c>
      <c r="H2105">
        <v>0</v>
      </c>
      <c r="I2105">
        <v>0</v>
      </c>
      <c r="J2105" s="1">
        <v>150650</v>
      </c>
      <c r="K2105" s="1">
        <v>150650</v>
      </c>
    </row>
    <row r="2106" spans="1:11" x14ac:dyDescent="0.25">
      <c r="A2106" t="s">
        <v>277</v>
      </c>
      <c r="B2106" t="s">
        <v>2700</v>
      </c>
      <c r="C2106" t="s">
        <v>27</v>
      </c>
      <c r="D2106" t="s">
        <v>4466</v>
      </c>
      <c r="E2106" t="s">
        <v>4450</v>
      </c>
      <c r="F2106" t="s">
        <v>2443</v>
      </c>
      <c r="G2106" s="2">
        <v>45629</v>
      </c>
      <c r="H2106">
        <v>0</v>
      </c>
      <c r="I2106">
        <v>0</v>
      </c>
      <c r="J2106" s="1">
        <v>150650</v>
      </c>
      <c r="K2106" s="1">
        <v>150650</v>
      </c>
    </row>
    <row r="2107" spans="1:11" x14ac:dyDescent="0.25">
      <c r="A2107" t="s">
        <v>278</v>
      </c>
      <c r="B2107" t="s">
        <v>2712</v>
      </c>
      <c r="C2107" t="s">
        <v>16</v>
      </c>
      <c r="D2107" t="s">
        <v>4461</v>
      </c>
      <c r="E2107" t="s">
        <v>4449</v>
      </c>
      <c r="F2107" t="s">
        <v>2443</v>
      </c>
      <c r="G2107" s="2">
        <v>45629</v>
      </c>
      <c r="H2107">
        <v>0</v>
      </c>
      <c r="I2107">
        <v>0</v>
      </c>
      <c r="J2107" s="1">
        <v>150650</v>
      </c>
      <c r="K2107" s="1">
        <v>150650</v>
      </c>
    </row>
    <row r="2108" spans="1:11" x14ac:dyDescent="0.25">
      <c r="A2108" t="s">
        <v>281</v>
      </c>
      <c r="B2108" t="s">
        <v>2705</v>
      </c>
      <c r="C2108" t="s">
        <v>42</v>
      </c>
      <c r="D2108" t="s">
        <v>4467</v>
      </c>
      <c r="E2108" t="s">
        <v>4435</v>
      </c>
      <c r="F2108" t="s">
        <v>2443</v>
      </c>
      <c r="G2108" s="2">
        <v>45629</v>
      </c>
      <c r="H2108">
        <v>0</v>
      </c>
      <c r="I2108">
        <v>0</v>
      </c>
      <c r="J2108" s="1">
        <v>150650</v>
      </c>
      <c r="K2108" s="1">
        <v>150650</v>
      </c>
    </row>
    <row r="2109" spans="1:11" x14ac:dyDescent="0.25">
      <c r="A2109" t="s">
        <v>283</v>
      </c>
      <c r="B2109" t="s">
        <v>2719</v>
      </c>
      <c r="C2109" t="s">
        <v>16</v>
      </c>
      <c r="D2109" t="s">
        <v>4466</v>
      </c>
      <c r="E2109" t="s">
        <v>4430</v>
      </c>
      <c r="F2109" t="s">
        <v>2443</v>
      </c>
      <c r="G2109" s="2">
        <v>45629</v>
      </c>
      <c r="H2109">
        <v>0</v>
      </c>
      <c r="I2109">
        <v>0</v>
      </c>
      <c r="J2109" s="1">
        <v>150650</v>
      </c>
      <c r="K2109" s="1">
        <v>150650</v>
      </c>
    </row>
    <row r="2110" spans="1:11" x14ac:dyDescent="0.25">
      <c r="A2110" t="s">
        <v>273</v>
      </c>
      <c r="B2110" t="s">
        <v>2734</v>
      </c>
      <c r="C2110" t="s">
        <v>16</v>
      </c>
      <c r="D2110" t="s">
        <v>4461</v>
      </c>
      <c r="E2110" t="s">
        <v>4455</v>
      </c>
      <c r="F2110" t="s">
        <v>2443</v>
      </c>
      <c r="G2110" s="2">
        <v>45629</v>
      </c>
      <c r="H2110">
        <v>0</v>
      </c>
      <c r="I2110">
        <v>0</v>
      </c>
      <c r="J2110" s="1">
        <v>150650</v>
      </c>
      <c r="K2110" s="1">
        <v>150650</v>
      </c>
    </row>
    <row r="2111" spans="1:11" x14ac:dyDescent="0.25">
      <c r="A2111" t="s">
        <v>261</v>
      </c>
      <c r="B2111" t="s">
        <v>2720</v>
      </c>
      <c r="C2111" t="s">
        <v>16</v>
      </c>
      <c r="D2111" t="s">
        <v>4461</v>
      </c>
      <c r="E2111" t="s">
        <v>4425</v>
      </c>
      <c r="F2111" t="s">
        <v>2443</v>
      </c>
      <c r="G2111" s="2">
        <v>45631</v>
      </c>
      <c r="H2111">
        <v>0</v>
      </c>
      <c r="I2111">
        <v>0</v>
      </c>
      <c r="J2111" s="1">
        <v>150650</v>
      </c>
      <c r="K2111" s="1">
        <v>150650</v>
      </c>
    </row>
    <row r="2112" spans="1:11" x14ac:dyDescent="0.25">
      <c r="A2112" t="s">
        <v>244</v>
      </c>
      <c r="B2112" t="s">
        <v>2709</v>
      </c>
      <c r="C2112" t="s">
        <v>42</v>
      </c>
      <c r="D2112" t="s">
        <v>4467</v>
      </c>
      <c r="E2112" t="s">
        <v>4456</v>
      </c>
      <c r="F2112" t="s">
        <v>2443</v>
      </c>
      <c r="G2112" s="2">
        <v>45632</v>
      </c>
      <c r="H2112">
        <v>0</v>
      </c>
      <c r="I2112">
        <v>0</v>
      </c>
      <c r="J2112" s="1">
        <v>150650</v>
      </c>
      <c r="K2112" s="1">
        <v>150650</v>
      </c>
    </row>
    <row r="2113" spans="1:11" x14ac:dyDescent="0.25">
      <c r="A2113" t="s">
        <v>245</v>
      </c>
      <c r="B2113" t="s">
        <v>2710</v>
      </c>
      <c r="C2113" t="s">
        <v>42</v>
      </c>
      <c r="D2113" t="s">
        <v>4467</v>
      </c>
      <c r="E2113" t="s">
        <v>4436</v>
      </c>
      <c r="F2113" t="s">
        <v>2443</v>
      </c>
      <c r="G2113" s="2">
        <v>45632</v>
      </c>
      <c r="H2113">
        <v>0</v>
      </c>
      <c r="I2113">
        <v>0</v>
      </c>
      <c r="J2113" s="1">
        <v>150650</v>
      </c>
      <c r="K2113" s="1">
        <v>150650</v>
      </c>
    </row>
    <row r="2114" spans="1:11" x14ac:dyDescent="0.25">
      <c r="A2114" t="s">
        <v>228</v>
      </c>
      <c r="B2114" t="s">
        <v>2717</v>
      </c>
      <c r="C2114" t="s">
        <v>16</v>
      </c>
      <c r="D2114" t="s">
        <v>4466</v>
      </c>
      <c r="E2114" t="s">
        <v>4431</v>
      </c>
      <c r="F2114" t="s">
        <v>2443</v>
      </c>
      <c r="G2114" s="2">
        <v>45633</v>
      </c>
      <c r="H2114">
        <v>0</v>
      </c>
      <c r="I2114">
        <v>0</v>
      </c>
      <c r="J2114" s="1">
        <v>150650</v>
      </c>
      <c r="K2114" s="1">
        <v>150650</v>
      </c>
    </row>
    <row r="2115" spans="1:11" x14ac:dyDescent="0.25">
      <c r="A2115" t="s">
        <v>227</v>
      </c>
      <c r="B2115" t="s">
        <v>2713</v>
      </c>
      <c r="C2115" t="s">
        <v>16</v>
      </c>
      <c r="D2115" t="s">
        <v>4465</v>
      </c>
      <c r="E2115" t="s">
        <v>4428</v>
      </c>
      <c r="F2115" t="s">
        <v>2443</v>
      </c>
      <c r="G2115" s="2">
        <v>45634</v>
      </c>
      <c r="H2115">
        <v>0</v>
      </c>
      <c r="I2115">
        <v>0</v>
      </c>
      <c r="J2115" s="1">
        <v>150650</v>
      </c>
      <c r="K2115" s="1">
        <v>301300</v>
      </c>
    </row>
    <row r="2116" spans="1:11" x14ac:dyDescent="0.25">
      <c r="A2116" t="s">
        <v>220</v>
      </c>
      <c r="B2116" t="s">
        <v>2733</v>
      </c>
      <c r="C2116" t="s">
        <v>16</v>
      </c>
      <c r="D2116" t="s">
        <v>4465</v>
      </c>
      <c r="E2116" t="s">
        <v>4448</v>
      </c>
      <c r="F2116" t="s">
        <v>2443</v>
      </c>
      <c r="G2116" s="2">
        <v>45635</v>
      </c>
      <c r="H2116">
        <v>0</v>
      </c>
      <c r="I2116">
        <v>0</v>
      </c>
      <c r="J2116" s="1">
        <v>150650</v>
      </c>
      <c r="K2116" s="1">
        <v>150650</v>
      </c>
    </row>
    <row r="2117" spans="1:11" x14ac:dyDescent="0.25">
      <c r="A2117" t="s">
        <v>216</v>
      </c>
      <c r="B2117" t="s">
        <v>2732</v>
      </c>
      <c r="C2117" t="s">
        <v>16</v>
      </c>
      <c r="D2117" t="s">
        <v>4461</v>
      </c>
      <c r="E2117" t="s">
        <v>4444</v>
      </c>
      <c r="F2117" t="s">
        <v>2443</v>
      </c>
      <c r="G2117" s="2">
        <v>45636</v>
      </c>
      <c r="H2117">
        <v>0</v>
      </c>
      <c r="I2117">
        <v>0</v>
      </c>
      <c r="J2117" s="1">
        <v>150650</v>
      </c>
      <c r="K2117" s="1">
        <v>150650</v>
      </c>
    </row>
    <row r="2118" spans="1:11" x14ac:dyDescent="0.25">
      <c r="A2118" t="s">
        <v>190</v>
      </c>
      <c r="B2118" t="s">
        <v>2701</v>
      </c>
      <c r="C2118" t="s">
        <v>16</v>
      </c>
      <c r="D2118" t="s">
        <v>4466</v>
      </c>
      <c r="E2118" t="s">
        <v>4453</v>
      </c>
      <c r="F2118" t="s">
        <v>2443</v>
      </c>
      <c r="G2118" s="2">
        <v>45639</v>
      </c>
      <c r="H2118">
        <v>0</v>
      </c>
      <c r="I2118">
        <v>0</v>
      </c>
      <c r="J2118" s="1">
        <v>150650</v>
      </c>
      <c r="K2118" s="1">
        <v>150650</v>
      </c>
    </row>
    <row r="2119" spans="1:11" x14ac:dyDescent="0.25">
      <c r="A2119" t="s">
        <v>182</v>
      </c>
      <c r="B2119" t="s">
        <v>2708</v>
      </c>
      <c r="C2119" t="s">
        <v>16</v>
      </c>
      <c r="D2119" t="s">
        <v>4466</v>
      </c>
      <c r="E2119" t="s">
        <v>4457</v>
      </c>
      <c r="F2119" t="s">
        <v>2443</v>
      </c>
      <c r="G2119" s="2">
        <v>45640</v>
      </c>
      <c r="H2119">
        <v>0</v>
      </c>
      <c r="I2119">
        <v>0</v>
      </c>
      <c r="J2119" s="1">
        <v>150650</v>
      </c>
      <c r="K2119" s="1">
        <v>150650</v>
      </c>
    </row>
    <row r="2120" spans="1:11" x14ac:dyDescent="0.25">
      <c r="A2120" t="s">
        <v>183</v>
      </c>
      <c r="B2120" t="s">
        <v>2728</v>
      </c>
      <c r="C2120" t="s">
        <v>16</v>
      </c>
      <c r="D2120" t="s">
        <v>4465</v>
      </c>
      <c r="E2120" t="s">
        <v>4439</v>
      </c>
      <c r="F2120" t="s">
        <v>2443</v>
      </c>
      <c r="G2120" s="2">
        <v>45640</v>
      </c>
      <c r="H2120">
        <v>0</v>
      </c>
      <c r="I2120">
        <v>0</v>
      </c>
      <c r="J2120" s="1">
        <v>150650</v>
      </c>
      <c r="K2120" s="1">
        <v>150650</v>
      </c>
    </row>
    <row r="2121" spans="1:11" x14ac:dyDescent="0.25">
      <c r="A2121" t="s">
        <v>186</v>
      </c>
      <c r="B2121" t="s">
        <v>2729</v>
      </c>
      <c r="C2121" t="s">
        <v>16</v>
      </c>
      <c r="D2121" t="s">
        <v>4465</v>
      </c>
      <c r="E2121" t="s">
        <v>4427</v>
      </c>
      <c r="F2121" t="s">
        <v>2443</v>
      </c>
      <c r="G2121" s="2">
        <v>45640</v>
      </c>
      <c r="H2121">
        <v>0</v>
      </c>
      <c r="I2121">
        <v>0</v>
      </c>
      <c r="J2121" s="1">
        <v>150650</v>
      </c>
      <c r="K2121" s="1">
        <v>150650</v>
      </c>
    </row>
    <row r="2122" spans="1:11" x14ac:dyDescent="0.25">
      <c r="A2122" t="s">
        <v>174</v>
      </c>
      <c r="B2122" t="s">
        <v>2726</v>
      </c>
      <c r="C2122" t="s">
        <v>16</v>
      </c>
      <c r="D2122" t="s">
        <v>4466</v>
      </c>
      <c r="E2122" t="s">
        <v>4437</v>
      </c>
      <c r="F2122" t="s">
        <v>2443</v>
      </c>
      <c r="G2122" s="2">
        <v>45642</v>
      </c>
      <c r="H2122">
        <v>0</v>
      </c>
      <c r="I2122">
        <v>0</v>
      </c>
      <c r="J2122" s="1">
        <v>150650</v>
      </c>
      <c r="K2122" s="1">
        <v>150650</v>
      </c>
    </row>
    <row r="2123" spans="1:11" x14ac:dyDescent="0.25">
      <c r="A2123" t="s">
        <v>177</v>
      </c>
      <c r="B2123" t="s">
        <v>2727</v>
      </c>
      <c r="C2123" t="s">
        <v>16</v>
      </c>
      <c r="D2123" t="s">
        <v>4465</v>
      </c>
      <c r="E2123" t="s">
        <v>4445</v>
      </c>
      <c r="F2123" t="s">
        <v>2443</v>
      </c>
      <c r="G2123" s="2">
        <v>45642</v>
      </c>
      <c r="H2123">
        <v>0</v>
      </c>
      <c r="I2123">
        <v>0</v>
      </c>
      <c r="J2123" s="1">
        <v>150650</v>
      </c>
      <c r="K2123" s="1">
        <v>150650</v>
      </c>
    </row>
    <row r="2124" spans="1:11" x14ac:dyDescent="0.25">
      <c r="A2124" t="s">
        <v>173</v>
      </c>
      <c r="B2124" t="s">
        <v>2718</v>
      </c>
      <c r="C2124" t="s">
        <v>16</v>
      </c>
      <c r="D2124" t="s">
        <v>4466</v>
      </c>
      <c r="E2124" t="s">
        <v>4438</v>
      </c>
      <c r="F2124" t="s">
        <v>2443</v>
      </c>
      <c r="G2124" s="2">
        <v>45643</v>
      </c>
      <c r="H2124">
        <v>0</v>
      </c>
      <c r="I2124">
        <v>0</v>
      </c>
      <c r="J2124" s="1">
        <v>150650</v>
      </c>
      <c r="K2124" s="1">
        <v>150650</v>
      </c>
    </row>
    <row r="2125" spans="1:11" x14ac:dyDescent="0.25">
      <c r="A2125" t="s">
        <v>148</v>
      </c>
      <c r="B2125" t="s">
        <v>2721</v>
      </c>
      <c r="C2125" t="s">
        <v>16</v>
      </c>
      <c r="D2125" t="s">
        <v>4466</v>
      </c>
      <c r="E2125" t="s">
        <v>4438</v>
      </c>
      <c r="F2125" t="s">
        <v>2443</v>
      </c>
      <c r="G2125" s="2">
        <v>45646</v>
      </c>
      <c r="H2125">
        <v>0</v>
      </c>
      <c r="I2125">
        <v>0</v>
      </c>
      <c r="J2125" s="1">
        <v>150650</v>
      </c>
      <c r="K2125" s="1">
        <v>150650</v>
      </c>
    </row>
    <row r="2126" spans="1:11" x14ac:dyDescent="0.25">
      <c r="A2126" t="s">
        <v>148</v>
      </c>
      <c r="B2126" t="s">
        <v>2721</v>
      </c>
      <c r="C2126" t="s">
        <v>16</v>
      </c>
      <c r="D2126" t="s">
        <v>4466</v>
      </c>
      <c r="E2126" t="s">
        <v>4438</v>
      </c>
      <c r="F2126" t="s">
        <v>2443</v>
      </c>
      <c r="G2126" s="2">
        <v>45646</v>
      </c>
      <c r="H2126">
        <v>0</v>
      </c>
      <c r="I2126">
        <v>0</v>
      </c>
      <c r="J2126" s="1">
        <v>150650</v>
      </c>
      <c r="K2126" s="1">
        <v>150650</v>
      </c>
    </row>
    <row r="2127" spans="1:11" x14ac:dyDescent="0.25">
      <c r="A2127" t="s">
        <v>131</v>
      </c>
      <c r="B2127" t="s">
        <v>2707</v>
      </c>
      <c r="C2127" t="s">
        <v>16</v>
      </c>
      <c r="D2127" t="s">
        <v>4462</v>
      </c>
      <c r="E2127" t="s">
        <v>4433</v>
      </c>
      <c r="F2127" t="s">
        <v>2443</v>
      </c>
      <c r="G2127" s="2">
        <v>45647</v>
      </c>
      <c r="H2127">
        <v>0</v>
      </c>
      <c r="I2127">
        <v>0</v>
      </c>
      <c r="J2127" s="1">
        <v>150650</v>
      </c>
      <c r="K2127" s="1">
        <v>150650</v>
      </c>
    </row>
    <row r="2128" spans="1:11" x14ac:dyDescent="0.25">
      <c r="A2128" t="s">
        <v>111</v>
      </c>
      <c r="B2128" t="s">
        <v>2715</v>
      </c>
      <c r="C2128" t="s">
        <v>16</v>
      </c>
      <c r="D2128" t="s">
        <v>4462</v>
      </c>
      <c r="E2128" t="s">
        <v>4454</v>
      </c>
      <c r="F2128" t="s">
        <v>2443</v>
      </c>
      <c r="G2128" s="2">
        <v>45649</v>
      </c>
      <c r="H2128">
        <v>0</v>
      </c>
      <c r="I2128">
        <v>0</v>
      </c>
      <c r="J2128" s="1">
        <v>150650</v>
      </c>
      <c r="K2128" s="1">
        <v>150650</v>
      </c>
    </row>
    <row r="2129" spans="1:11" x14ac:dyDescent="0.25">
      <c r="A2129" t="s">
        <v>114</v>
      </c>
      <c r="B2129" t="s">
        <v>2715</v>
      </c>
      <c r="C2129" t="s">
        <v>16</v>
      </c>
      <c r="D2129" t="s">
        <v>4462</v>
      </c>
      <c r="E2129" t="s">
        <v>4454</v>
      </c>
      <c r="F2129" t="s">
        <v>2443</v>
      </c>
      <c r="G2129" s="2">
        <v>45649</v>
      </c>
      <c r="H2129">
        <v>0</v>
      </c>
      <c r="I2129">
        <v>0</v>
      </c>
      <c r="J2129" s="1">
        <v>150650</v>
      </c>
      <c r="K2129" s="1">
        <v>150650</v>
      </c>
    </row>
    <row r="2130" spans="1:11" x14ac:dyDescent="0.25">
      <c r="A2130" t="s">
        <v>113</v>
      </c>
      <c r="B2130" t="s">
        <v>2715</v>
      </c>
      <c r="C2130" t="s">
        <v>16</v>
      </c>
      <c r="D2130" t="s">
        <v>4462</v>
      </c>
      <c r="E2130" t="s">
        <v>4454</v>
      </c>
      <c r="F2130" t="s">
        <v>2443</v>
      </c>
      <c r="G2130" s="2">
        <v>45649</v>
      </c>
      <c r="H2130">
        <v>0</v>
      </c>
      <c r="I2130">
        <v>0</v>
      </c>
      <c r="J2130" s="1">
        <v>150650</v>
      </c>
      <c r="K2130" s="1">
        <v>150650</v>
      </c>
    </row>
    <row r="2131" spans="1:11" x14ac:dyDescent="0.25">
      <c r="A2131" t="s">
        <v>113</v>
      </c>
      <c r="B2131" t="s">
        <v>2715</v>
      </c>
      <c r="C2131" t="s">
        <v>16</v>
      </c>
      <c r="D2131" t="s">
        <v>4462</v>
      </c>
      <c r="E2131" t="s">
        <v>4454</v>
      </c>
      <c r="F2131" t="s">
        <v>2443</v>
      </c>
      <c r="G2131" s="2">
        <v>45649</v>
      </c>
      <c r="H2131">
        <v>0</v>
      </c>
      <c r="I2131">
        <v>0</v>
      </c>
      <c r="J2131" s="1">
        <v>150650</v>
      </c>
      <c r="K2131" s="1">
        <v>150650</v>
      </c>
    </row>
    <row r="2132" spans="1:11" x14ac:dyDescent="0.25">
      <c r="A2132" t="s">
        <v>76</v>
      </c>
      <c r="B2132" t="s">
        <v>2711</v>
      </c>
      <c r="C2132" t="s">
        <v>16</v>
      </c>
      <c r="D2132" t="s">
        <v>4461</v>
      </c>
      <c r="E2132" t="s">
        <v>4447</v>
      </c>
      <c r="F2132" t="s">
        <v>2443</v>
      </c>
      <c r="G2132" s="2">
        <v>45652</v>
      </c>
      <c r="H2132">
        <v>0</v>
      </c>
      <c r="I2132">
        <v>0</v>
      </c>
      <c r="J2132" s="1">
        <v>150650</v>
      </c>
      <c r="K2132" s="1">
        <v>150650</v>
      </c>
    </row>
    <row r="2133" spans="1:11" x14ac:dyDescent="0.25">
      <c r="A2133" t="s">
        <v>45</v>
      </c>
      <c r="B2133" t="s">
        <v>2699</v>
      </c>
      <c r="C2133" t="s">
        <v>16</v>
      </c>
      <c r="D2133" t="s">
        <v>4462</v>
      </c>
      <c r="E2133" t="s">
        <v>4440</v>
      </c>
      <c r="F2133" t="s">
        <v>2443</v>
      </c>
      <c r="G2133" s="2">
        <v>45656</v>
      </c>
      <c r="H2133">
        <v>0</v>
      </c>
      <c r="I2133">
        <v>0</v>
      </c>
      <c r="J2133" s="1">
        <v>150650</v>
      </c>
      <c r="K2133" s="1">
        <v>150650</v>
      </c>
    </row>
    <row r="2134" spans="1:11" x14ac:dyDescent="0.25">
      <c r="A2134" t="s">
        <v>2308</v>
      </c>
      <c r="B2134" t="s">
        <v>2732</v>
      </c>
      <c r="C2134" t="s">
        <v>16</v>
      </c>
      <c r="D2134" t="s">
        <v>4461</v>
      </c>
      <c r="E2134" t="s">
        <v>4444</v>
      </c>
      <c r="F2134" t="s">
        <v>2745</v>
      </c>
      <c r="G2134" s="2">
        <v>45359</v>
      </c>
      <c r="H2134">
        <v>0</v>
      </c>
      <c r="I2134">
        <v>0</v>
      </c>
      <c r="J2134" s="1">
        <v>100000</v>
      </c>
      <c r="K2134" s="1">
        <v>100000</v>
      </c>
    </row>
    <row r="2135" spans="1:11" x14ac:dyDescent="0.25">
      <c r="A2135" t="s">
        <v>114</v>
      </c>
      <c r="B2135" t="s">
        <v>2715</v>
      </c>
      <c r="C2135" t="s">
        <v>16</v>
      </c>
      <c r="D2135" t="s">
        <v>4462</v>
      </c>
      <c r="E2135" t="s">
        <v>4454</v>
      </c>
      <c r="F2135" t="s">
        <v>2745</v>
      </c>
      <c r="G2135" s="2">
        <v>45649</v>
      </c>
      <c r="H2135">
        <v>0</v>
      </c>
      <c r="I2135">
        <v>0</v>
      </c>
      <c r="J2135" s="1">
        <v>200000</v>
      </c>
      <c r="K2135" s="1">
        <v>200000</v>
      </c>
    </row>
    <row r="2136" spans="1:11" x14ac:dyDescent="0.25">
      <c r="A2136" t="s">
        <v>2621</v>
      </c>
      <c r="B2136" t="s">
        <v>2733</v>
      </c>
      <c r="C2136" t="s">
        <v>16</v>
      </c>
      <c r="D2136" t="s">
        <v>4465</v>
      </c>
      <c r="E2136" t="s">
        <v>4448</v>
      </c>
      <c r="F2136" t="s">
        <v>2743</v>
      </c>
      <c r="G2136" s="2">
        <v>45317</v>
      </c>
      <c r="H2136">
        <v>0</v>
      </c>
      <c r="I2136">
        <v>0</v>
      </c>
      <c r="J2136" s="1">
        <v>113000</v>
      </c>
      <c r="K2136" s="1">
        <v>113000</v>
      </c>
    </row>
    <row r="2137" spans="1:11" x14ac:dyDescent="0.25">
      <c r="A2137" t="s">
        <v>2590</v>
      </c>
      <c r="B2137" t="s">
        <v>2735</v>
      </c>
      <c r="C2137" t="s">
        <v>16</v>
      </c>
      <c r="D2137" t="s">
        <v>4462</v>
      </c>
      <c r="E2137" t="s">
        <v>4426</v>
      </c>
      <c r="F2137" t="s">
        <v>2743</v>
      </c>
      <c r="G2137" s="2">
        <v>45322</v>
      </c>
      <c r="H2137">
        <v>0</v>
      </c>
      <c r="I2137">
        <v>0</v>
      </c>
      <c r="J2137" s="1">
        <v>110000</v>
      </c>
      <c r="K2137" s="1">
        <v>110000</v>
      </c>
    </row>
    <row r="2138" spans="1:11" x14ac:dyDescent="0.25">
      <c r="A2138" t="s">
        <v>2580</v>
      </c>
      <c r="B2138" t="s">
        <v>2723</v>
      </c>
      <c r="C2138" t="s">
        <v>16</v>
      </c>
      <c r="D2138" t="s">
        <v>4462</v>
      </c>
      <c r="E2138" t="s">
        <v>4443</v>
      </c>
      <c r="F2138" t="s">
        <v>2746</v>
      </c>
      <c r="G2138" s="2">
        <v>45323</v>
      </c>
      <c r="H2138">
        <v>0</v>
      </c>
      <c r="I2138">
        <v>0</v>
      </c>
      <c r="J2138" s="1">
        <v>10000</v>
      </c>
      <c r="K2138" s="1">
        <v>10000</v>
      </c>
    </row>
    <row r="2139" spans="1:11" x14ac:dyDescent="0.25">
      <c r="A2139" t="s">
        <v>2587</v>
      </c>
      <c r="B2139" t="s">
        <v>2715</v>
      </c>
      <c r="C2139" t="s">
        <v>16</v>
      </c>
      <c r="D2139" t="s">
        <v>4462</v>
      </c>
      <c r="E2139" t="s">
        <v>4454</v>
      </c>
      <c r="F2139" t="s">
        <v>2746</v>
      </c>
      <c r="G2139" s="2">
        <v>45323</v>
      </c>
      <c r="H2139">
        <v>0</v>
      </c>
      <c r="I2139">
        <v>0</v>
      </c>
      <c r="J2139" s="1">
        <v>10000</v>
      </c>
      <c r="K2139" s="1">
        <v>10000</v>
      </c>
    </row>
    <row r="2140" spans="1:11" x14ac:dyDescent="0.25">
      <c r="A2140" t="s">
        <v>2409</v>
      </c>
      <c r="B2140" t="s">
        <v>2733</v>
      </c>
      <c r="C2140" t="s">
        <v>16</v>
      </c>
      <c r="D2140" t="s">
        <v>4465</v>
      </c>
      <c r="E2140" t="s">
        <v>4448</v>
      </c>
      <c r="F2140" t="s">
        <v>4491</v>
      </c>
      <c r="G2140" s="2">
        <v>45348</v>
      </c>
      <c r="H2140">
        <v>0</v>
      </c>
      <c r="I2140">
        <v>0</v>
      </c>
      <c r="J2140" s="1">
        <v>111275.53</v>
      </c>
      <c r="K2140" s="1">
        <v>111275.53</v>
      </c>
    </row>
    <row r="2141" spans="1:11" x14ac:dyDescent="0.25">
      <c r="A2141" t="s">
        <v>968</v>
      </c>
      <c r="B2141" t="s">
        <v>2737</v>
      </c>
      <c r="C2141" t="s">
        <v>16</v>
      </c>
      <c r="D2141" t="s">
        <v>4466</v>
      </c>
      <c r="E2141" t="s">
        <v>4432</v>
      </c>
      <c r="F2141" t="s">
        <v>4491</v>
      </c>
      <c r="G2141" s="2">
        <v>45533</v>
      </c>
      <c r="H2141">
        <v>0</v>
      </c>
      <c r="I2141">
        <v>0</v>
      </c>
      <c r="J2141" s="1">
        <v>237681.39</v>
      </c>
      <c r="K2141" s="1">
        <v>237681.39</v>
      </c>
    </row>
    <row r="2142" spans="1:11" x14ac:dyDescent="0.25">
      <c r="A2142" t="s">
        <v>961</v>
      </c>
      <c r="B2142" t="s">
        <v>2700</v>
      </c>
      <c r="C2142" t="s">
        <v>27</v>
      </c>
      <c r="D2142" t="s">
        <v>4466</v>
      </c>
      <c r="E2142" t="s">
        <v>4450</v>
      </c>
      <c r="F2142" t="s">
        <v>4491</v>
      </c>
      <c r="G2142" s="2">
        <v>45534</v>
      </c>
      <c r="H2142">
        <v>0</v>
      </c>
      <c r="I2142">
        <v>0</v>
      </c>
      <c r="J2142" s="1">
        <v>237681.39</v>
      </c>
      <c r="K2142" s="1">
        <v>237681.39</v>
      </c>
    </row>
    <row r="2143" spans="1:11" x14ac:dyDescent="0.25">
      <c r="A2143" t="s">
        <v>962</v>
      </c>
      <c r="B2143" t="s">
        <v>2733</v>
      </c>
      <c r="C2143" t="s">
        <v>16</v>
      </c>
      <c r="D2143" t="s">
        <v>4465</v>
      </c>
      <c r="E2143" t="s">
        <v>4448</v>
      </c>
      <c r="F2143" t="s">
        <v>4491</v>
      </c>
      <c r="G2143" s="2">
        <v>45534</v>
      </c>
      <c r="H2143">
        <v>0</v>
      </c>
      <c r="I2143">
        <v>0</v>
      </c>
      <c r="J2143" s="1">
        <v>237681.39</v>
      </c>
      <c r="K2143" s="1">
        <v>237681.39</v>
      </c>
    </row>
    <row r="2144" spans="1:11" x14ac:dyDescent="0.25">
      <c r="A2144" t="s">
        <v>964</v>
      </c>
      <c r="B2144" t="s">
        <v>2719</v>
      </c>
      <c r="C2144" t="s">
        <v>16</v>
      </c>
      <c r="D2144" t="s">
        <v>4466</v>
      </c>
      <c r="E2144" t="s">
        <v>4430</v>
      </c>
      <c r="F2144" t="s">
        <v>4491</v>
      </c>
      <c r="G2144" s="2">
        <v>45534</v>
      </c>
      <c r="H2144">
        <v>0</v>
      </c>
      <c r="I2144">
        <v>0</v>
      </c>
      <c r="J2144" s="1">
        <v>237681.39</v>
      </c>
      <c r="K2144" s="1">
        <v>237681.39</v>
      </c>
    </row>
    <row r="2145" spans="1:11" x14ac:dyDescent="0.25">
      <c r="A2145" t="s">
        <v>967</v>
      </c>
      <c r="B2145" t="s">
        <v>2720</v>
      </c>
      <c r="C2145" t="s">
        <v>16</v>
      </c>
      <c r="D2145" t="s">
        <v>4461</v>
      </c>
      <c r="E2145" t="s">
        <v>4425</v>
      </c>
      <c r="F2145" t="s">
        <v>4491</v>
      </c>
      <c r="G2145" s="2">
        <v>45534</v>
      </c>
      <c r="H2145">
        <v>0</v>
      </c>
      <c r="I2145">
        <v>0</v>
      </c>
      <c r="J2145" s="1">
        <v>237681.39</v>
      </c>
      <c r="K2145" s="1">
        <v>237681.39</v>
      </c>
    </row>
    <row r="2146" spans="1:11" x14ac:dyDescent="0.25">
      <c r="A2146" t="s">
        <v>954</v>
      </c>
      <c r="B2146" t="s">
        <v>2705</v>
      </c>
      <c r="C2146" t="s">
        <v>42</v>
      </c>
      <c r="D2146" t="s">
        <v>4467</v>
      </c>
      <c r="E2146" t="s">
        <v>4435</v>
      </c>
      <c r="F2146" t="s">
        <v>4491</v>
      </c>
      <c r="G2146" s="2">
        <v>45535</v>
      </c>
      <c r="H2146">
        <v>0</v>
      </c>
      <c r="I2146">
        <v>0</v>
      </c>
      <c r="J2146" s="1">
        <v>237681.39</v>
      </c>
      <c r="K2146" s="1">
        <v>237681.39</v>
      </c>
    </row>
    <row r="2147" spans="1:11" x14ac:dyDescent="0.25">
      <c r="A2147" t="s">
        <v>956</v>
      </c>
      <c r="B2147" t="s">
        <v>2706</v>
      </c>
      <c r="C2147" t="s">
        <v>27</v>
      </c>
      <c r="D2147" t="s">
        <v>4461</v>
      </c>
      <c r="E2147" t="s">
        <v>4452</v>
      </c>
      <c r="F2147" t="s">
        <v>4491</v>
      </c>
      <c r="G2147" s="2">
        <v>45535</v>
      </c>
      <c r="H2147">
        <v>0</v>
      </c>
      <c r="I2147">
        <v>0</v>
      </c>
      <c r="J2147" s="1">
        <v>237681.39</v>
      </c>
      <c r="K2147" s="1">
        <v>237681.39</v>
      </c>
    </row>
    <row r="2148" spans="1:11" x14ac:dyDescent="0.25">
      <c r="A2148" t="s">
        <v>957</v>
      </c>
      <c r="B2148" t="s">
        <v>2717</v>
      </c>
      <c r="C2148" t="s">
        <v>16</v>
      </c>
      <c r="D2148" t="s">
        <v>4466</v>
      </c>
      <c r="E2148" t="s">
        <v>4431</v>
      </c>
      <c r="F2148" t="s">
        <v>4491</v>
      </c>
      <c r="G2148" s="2">
        <v>45535</v>
      </c>
      <c r="H2148">
        <v>0</v>
      </c>
      <c r="I2148">
        <v>0</v>
      </c>
      <c r="J2148" s="1">
        <v>237681.39</v>
      </c>
      <c r="K2148" s="1">
        <v>237681.39</v>
      </c>
    </row>
    <row r="2149" spans="1:11" x14ac:dyDescent="0.25">
      <c r="A2149" t="s">
        <v>945</v>
      </c>
      <c r="B2149" t="s">
        <v>2701</v>
      </c>
      <c r="C2149" t="s">
        <v>16</v>
      </c>
      <c r="D2149" t="s">
        <v>4466</v>
      </c>
      <c r="E2149" t="s">
        <v>4453</v>
      </c>
      <c r="F2149" t="s">
        <v>4491</v>
      </c>
      <c r="G2149" s="2">
        <v>45537</v>
      </c>
      <c r="H2149">
        <v>0</v>
      </c>
      <c r="I2149">
        <v>0</v>
      </c>
      <c r="J2149" s="1">
        <v>237681.39</v>
      </c>
      <c r="K2149" s="1">
        <v>237681.39</v>
      </c>
    </row>
    <row r="2150" spans="1:11" x14ac:dyDescent="0.25">
      <c r="A2150" t="s">
        <v>937</v>
      </c>
      <c r="B2150" t="s">
        <v>2698</v>
      </c>
      <c r="C2150" t="s">
        <v>16</v>
      </c>
      <c r="D2150" t="s">
        <v>4465</v>
      </c>
      <c r="E2150" t="s">
        <v>4442</v>
      </c>
      <c r="F2150" t="s">
        <v>4491</v>
      </c>
      <c r="G2150" s="2">
        <v>45538</v>
      </c>
      <c r="H2150">
        <v>0</v>
      </c>
      <c r="I2150">
        <v>0</v>
      </c>
      <c r="J2150" s="1">
        <v>237681.39</v>
      </c>
      <c r="K2150" s="1">
        <v>237681.39</v>
      </c>
    </row>
    <row r="2151" spans="1:11" x14ac:dyDescent="0.25">
      <c r="A2151" t="s">
        <v>925</v>
      </c>
      <c r="B2151" t="s">
        <v>2718</v>
      </c>
      <c r="C2151" t="s">
        <v>16</v>
      </c>
      <c r="D2151" t="s">
        <v>4466</v>
      </c>
      <c r="E2151" t="s">
        <v>4438</v>
      </c>
      <c r="F2151" t="s">
        <v>4491</v>
      </c>
      <c r="G2151" s="2">
        <v>45540</v>
      </c>
      <c r="H2151">
        <v>0</v>
      </c>
      <c r="I2151">
        <v>0</v>
      </c>
      <c r="J2151" s="1">
        <v>237681.39</v>
      </c>
      <c r="K2151" s="1">
        <v>237681.39</v>
      </c>
    </row>
    <row r="2152" spans="1:11" x14ac:dyDescent="0.25">
      <c r="A2152" t="s">
        <v>926</v>
      </c>
      <c r="B2152" t="s">
        <v>2713</v>
      </c>
      <c r="C2152" t="s">
        <v>16</v>
      </c>
      <c r="D2152" t="s">
        <v>4465</v>
      </c>
      <c r="E2152" t="s">
        <v>4428</v>
      </c>
      <c r="F2152" t="s">
        <v>4491</v>
      </c>
      <c r="G2152" s="2">
        <v>45540</v>
      </c>
      <c r="H2152">
        <v>0</v>
      </c>
      <c r="I2152">
        <v>0</v>
      </c>
      <c r="J2152" s="1">
        <v>237681.39</v>
      </c>
      <c r="K2152" s="1">
        <v>237681.39</v>
      </c>
    </row>
    <row r="2153" spans="1:11" x14ac:dyDescent="0.25">
      <c r="A2153" t="s">
        <v>931</v>
      </c>
      <c r="B2153" t="s">
        <v>2710</v>
      </c>
      <c r="C2153" t="s">
        <v>42</v>
      </c>
      <c r="D2153" t="s">
        <v>4467</v>
      </c>
      <c r="E2153" t="s">
        <v>4436</v>
      </c>
      <c r="F2153" t="s">
        <v>4491</v>
      </c>
      <c r="G2153" s="2">
        <v>45540</v>
      </c>
      <c r="H2153">
        <v>0</v>
      </c>
      <c r="I2153">
        <v>0</v>
      </c>
      <c r="J2153" s="1">
        <v>237681.39</v>
      </c>
      <c r="K2153" s="1">
        <v>237681.39</v>
      </c>
    </row>
    <row r="2154" spans="1:11" x14ac:dyDescent="0.25">
      <c r="A2154" t="s">
        <v>910</v>
      </c>
      <c r="B2154" t="s">
        <v>2734</v>
      </c>
      <c r="C2154" t="s">
        <v>16</v>
      </c>
      <c r="D2154" t="s">
        <v>4461</v>
      </c>
      <c r="E2154" t="s">
        <v>4455</v>
      </c>
      <c r="F2154" t="s">
        <v>4491</v>
      </c>
      <c r="G2154" s="2">
        <v>45542</v>
      </c>
      <c r="H2154">
        <v>0</v>
      </c>
      <c r="I2154">
        <v>0</v>
      </c>
      <c r="J2154" s="1">
        <v>237681.39</v>
      </c>
      <c r="K2154" s="1">
        <v>237681.39</v>
      </c>
    </row>
    <row r="2155" spans="1:11" x14ac:dyDescent="0.25">
      <c r="A2155" t="s">
        <v>883</v>
      </c>
      <c r="B2155" t="s">
        <v>2724</v>
      </c>
      <c r="C2155" t="s">
        <v>16</v>
      </c>
      <c r="D2155" t="s">
        <v>4462</v>
      </c>
      <c r="E2155" t="s">
        <v>4451</v>
      </c>
      <c r="F2155" t="s">
        <v>4491</v>
      </c>
      <c r="G2155" s="2">
        <v>45546</v>
      </c>
      <c r="H2155">
        <v>0</v>
      </c>
      <c r="I2155">
        <v>0</v>
      </c>
      <c r="J2155" s="1">
        <v>237681.39</v>
      </c>
      <c r="K2155" s="1">
        <v>237681.39</v>
      </c>
    </row>
    <row r="2156" spans="1:11" x14ac:dyDescent="0.25">
      <c r="A2156" t="s">
        <v>862</v>
      </c>
      <c r="B2156" t="s">
        <v>2729</v>
      </c>
      <c r="C2156" t="s">
        <v>16</v>
      </c>
      <c r="D2156" t="s">
        <v>4465</v>
      </c>
      <c r="E2156" t="s">
        <v>4427</v>
      </c>
      <c r="F2156" t="s">
        <v>4491</v>
      </c>
      <c r="G2156" s="2">
        <v>45549</v>
      </c>
      <c r="H2156">
        <v>0</v>
      </c>
      <c r="I2156">
        <v>0</v>
      </c>
      <c r="J2156" s="1">
        <v>237681.39</v>
      </c>
      <c r="K2156" s="1">
        <v>237681.39</v>
      </c>
    </row>
    <row r="2157" spans="1:11" x14ac:dyDescent="0.25">
      <c r="A2157" t="s">
        <v>840</v>
      </c>
      <c r="B2157" t="s">
        <v>2728</v>
      </c>
      <c r="C2157" t="s">
        <v>16</v>
      </c>
      <c r="D2157" t="s">
        <v>4465</v>
      </c>
      <c r="E2157" t="s">
        <v>4439</v>
      </c>
      <c r="F2157" t="s">
        <v>4491</v>
      </c>
      <c r="G2157" s="2">
        <v>45554</v>
      </c>
      <c r="H2157">
        <v>0</v>
      </c>
      <c r="I2157">
        <v>0</v>
      </c>
      <c r="J2157" s="1">
        <v>237681.39</v>
      </c>
      <c r="K2157" s="1">
        <v>237681.39</v>
      </c>
    </row>
    <row r="2158" spans="1:11" x14ac:dyDescent="0.25">
      <c r="A2158" t="s">
        <v>838</v>
      </c>
      <c r="B2158" t="s">
        <v>2732</v>
      </c>
      <c r="C2158" t="s">
        <v>16</v>
      </c>
      <c r="D2158" t="s">
        <v>4461</v>
      </c>
      <c r="E2158" t="s">
        <v>4444</v>
      </c>
      <c r="F2158" t="s">
        <v>4491</v>
      </c>
      <c r="G2158" s="2">
        <v>45555</v>
      </c>
      <c r="H2158">
        <v>0</v>
      </c>
      <c r="I2158">
        <v>0</v>
      </c>
      <c r="J2158" s="1">
        <v>237681.39</v>
      </c>
      <c r="K2158" s="1">
        <v>237681.39</v>
      </c>
    </row>
    <row r="2159" spans="1:11" x14ac:dyDescent="0.25">
      <c r="A2159" t="s">
        <v>806</v>
      </c>
      <c r="B2159" t="s">
        <v>2711</v>
      </c>
      <c r="C2159" t="s">
        <v>16</v>
      </c>
      <c r="D2159" t="s">
        <v>4461</v>
      </c>
      <c r="E2159" t="s">
        <v>4447</v>
      </c>
      <c r="F2159" t="s">
        <v>4491</v>
      </c>
      <c r="G2159" s="2">
        <v>45558</v>
      </c>
      <c r="H2159">
        <v>0</v>
      </c>
      <c r="I2159">
        <v>0</v>
      </c>
      <c r="J2159" s="1">
        <v>237681.39</v>
      </c>
      <c r="K2159" s="1">
        <v>237681.39</v>
      </c>
    </row>
    <row r="2160" spans="1:11" x14ac:dyDescent="0.25">
      <c r="A2160" t="s">
        <v>725</v>
      </c>
      <c r="B2160" t="s">
        <v>2707</v>
      </c>
      <c r="C2160" t="s">
        <v>16</v>
      </c>
      <c r="D2160" t="s">
        <v>4462</v>
      </c>
      <c r="E2160" t="s">
        <v>4433</v>
      </c>
      <c r="F2160" t="s">
        <v>4491</v>
      </c>
      <c r="G2160" s="2">
        <v>45567</v>
      </c>
      <c r="H2160">
        <v>0</v>
      </c>
      <c r="I2160">
        <v>0</v>
      </c>
      <c r="J2160" s="1">
        <v>237681.39</v>
      </c>
      <c r="K2160" s="1">
        <v>237681.39</v>
      </c>
    </row>
    <row r="2161" spans="1:11" x14ac:dyDescent="0.25">
      <c r="A2161" t="s">
        <v>702</v>
      </c>
      <c r="B2161" t="s">
        <v>2699</v>
      </c>
      <c r="C2161" t="s">
        <v>16</v>
      </c>
      <c r="D2161" t="s">
        <v>4462</v>
      </c>
      <c r="E2161" t="s">
        <v>4440</v>
      </c>
      <c r="F2161" t="s">
        <v>4491</v>
      </c>
      <c r="G2161" s="2">
        <v>45570</v>
      </c>
      <c r="H2161">
        <v>0</v>
      </c>
      <c r="I2161">
        <v>0</v>
      </c>
      <c r="J2161" s="1">
        <v>237681.39</v>
      </c>
      <c r="K2161" s="1">
        <v>237681.39</v>
      </c>
    </row>
    <row r="2162" spans="1:11" x14ac:dyDescent="0.25">
      <c r="A2162" t="s">
        <v>636</v>
      </c>
      <c r="B2162" t="s">
        <v>2721</v>
      </c>
      <c r="C2162" t="s">
        <v>16</v>
      </c>
      <c r="D2162" t="s">
        <v>4466</v>
      </c>
      <c r="E2162" t="s">
        <v>4438</v>
      </c>
      <c r="F2162" t="s">
        <v>4491</v>
      </c>
      <c r="G2162" s="2">
        <v>45585</v>
      </c>
      <c r="H2162">
        <v>0</v>
      </c>
      <c r="I2162">
        <v>0</v>
      </c>
      <c r="J2162" s="1">
        <v>237681.39</v>
      </c>
      <c r="K2162" s="1">
        <v>237681.39</v>
      </c>
    </row>
    <row r="2163" spans="1:11" x14ac:dyDescent="0.25">
      <c r="A2163" t="s">
        <v>622</v>
      </c>
      <c r="B2163" t="s">
        <v>2735</v>
      </c>
      <c r="C2163" t="s">
        <v>16</v>
      </c>
      <c r="D2163" t="s">
        <v>4462</v>
      </c>
      <c r="E2163" t="s">
        <v>4426</v>
      </c>
      <c r="F2163" t="s">
        <v>4491</v>
      </c>
      <c r="G2163" s="2">
        <v>45587</v>
      </c>
      <c r="H2163">
        <v>0</v>
      </c>
      <c r="I2163">
        <v>0</v>
      </c>
      <c r="J2163" s="1">
        <v>237681.39</v>
      </c>
      <c r="K2163" s="1">
        <v>237681.39</v>
      </c>
    </row>
    <row r="2164" spans="1:11" x14ac:dyDescent="0.25">
      <c r="A2164" t="s">
        <v>600</v>
      </c>
      <c r="B2164" t="s">
        <v>2708</v>
      </c>
      <c r="C2164" t="s">
        <v>16</v>
      </c>
      <c r="D2164" t="s">
        <v>4466</v>
      </c>
      <c r="E2164" t="s">
        <v>4457</v>
      </c>
      <c r="F2164" t="s">
        <v>4491</v>
      </c>
      <c r="G2164" s="2">
        <v>45589</v>
      </c>
      <c r="H2164">
        <v>0</v>
      </c>
      <c r="I2164">
        <v>0</v>
      </c>
      <c r="J2164" s="1">
        <v>237681.39</v>
      </c>
      <c r="K2164" s="1">
        <v>237681.39</v>
      </c>
    </row>
    <row r="2165" spans="1:11" x14ac:dyDescent="0.25">
      <c r="A2165" t="s">
        <v>606</v>
      </c>
      <c r="B2165" t="s">
        <v>2725</v>
      </c>
      <c r="C2165" t="s">
        <v>16</v>
      </c>
      <c r="D2165" t="s">
        <v>4465</v>
      </c>
      <c r="E2165" t="s">
        <v>4429</v>
      </c>
      <c r="F2165" t="s">
        <v>4491</v>
      </c>
      <c r="G2165" s="2">
        <v>45589</v>
      </c>
      <c r="H2165">
        <v>0</v>
      </c>
      <c r="I2165">
        <v>0</v>
      </c>
      <c r="J2165" s="1">
        <v>237681.39</v>
      </c>
      <c r="K2165" s="1">
        <v>237681.39</v>
      </c>
    </row>
    <row r="2166" spans="1:11" x14ac:dyDescent="0.25">
      <c r="A2166" t="s">
        <v>947</v>
      </c>
      <c r="B2166" t="s">
        <v>2726</v>
      </c>
      <c r="C2166" t="s">
        <v>16</v>
      </c>
      <c r="D2166" t="s">
        <v>4466</v>
      </c>
      <c r="E2166" t="s">
        <v>4437</v>
      </c>
      <c r="F2166" t="s">
        <v>4492</v>
      </c>
      <c r="G2166" s="2">
        <v>45537</v>
      </c>
      <c r="H2166">
        <v>0</v>
      </c>
      <c r="I2166">
        <v>0</v>
      </c>
      <c r="J2166" s="1">
        <v>59420.35</v>
      </c>
      <c r="K2166" s="1">
        <v>59420.35</v>
      </c>
    </row>
    <row r="2167" spans="1:11" x14ac:dyDescent="0.25">
      <c r="A2167" t="s">
        <v>2687</v>
      </c>
      <c r="B2167" t="s">
        <v>2735</v>
      </c>
      <c r="C2167" t="s">
        <v>16</v>
      </c>
      <c r="D2167" t="s">
        <v>4462</v>
      </c>
      <c r="E2167" t="s">
        <v>4426</v>
      </c>
      <c r="F2167" t="s">
        <v>2742</v>
      </c>
      <c r="G2167" s="2">
        <v>45307</v>
      </c>
      <c r="H2167">
        <v>0</v>
      </c>
      <c r="I2167">
        <v>0</v>
      </c>
      <c r="J2167" s="1">
        <v>10000</v>
      </c>
      <c r="K2167" s="1">
        <v>10000</v>
      </c>
    </row>
    <row r="2168" spans="1:11" x14ac:dyDescent="0.25">
      <c r="A2168" t="s">
        <v>2693</v>
      </c>
      <c r="B2168" t="s">
        <v>66</v>
      </c>
      <c r="C2168" t="s">
        <v>35</v>
      </c>
      <c r="D2168" t="s">
        <v>4466</v>
      </c>
      <c r="E2168" t="s">
        <v>3304</v>
      </c>
      <c r="F2168" t="s">
        <v>2742</v>
      </c>
      <c r="G2168" s="2">
        <v>45307</v>
      </c>
      <c r="H2168">
        <v>0</v>
      </c>
      <c r="I2168">
        <v>0</v>
      </c>
      <c r="J2168" s="1">
        <v>10000</v>
      </c>
      <c r="K2168" s="1">
        <v>10000</v>
      </c>
    </row>
    <row r="2169" spans="1:11" x14ac:dyDescent="0.25">
      <c r="A2169" t="s">
        <v>2685</v>
      </c>
      <c r="B2169" t="s">
        <v>2713</v>
      </c>
      <c r="C2169" t="s">
        <v>16</v>
      </c>
      <c r="D2169" t="s">
        <v>4465</v>
      </c>
      <c r="E2169" t="s">
        <v>4428</v>
      </c>
      <c r="F2169" t="s">
        <v>2742</v>
      </c>
      <c r="G2169" s="2">
        <v>45308</v>
      </c>
      <c r="H2169">
        <v>0</v>
      </c>
      <c r="I2169">
        <v>0</v>
      </c>
      <c r="J2169" s="1">
        <v>10000</v>
      </c>
      <c r="K2169" s="1">
        <v>10000</v>
      </c>
    </row>
    <row r="2170" spans="1:11" x14ac:dyDescent="0.25">
      <c r="A2170" t="s">
        <v>2682</v>
      </c>
      <c r="B2170" t="s">
        <v>2725</v>
      </c>
      <c r="C2170" t="s">
        <v>16</v>
      </c>
      <c r="D2170" t="s">
        <v>4465</v>
      </c>
      <c r="E2170" t="s">
        <v>4429</v>
      </c>
      <c r="F2170" t="s">
        <v>2742</v>
      </c>
      <c r="G2170" s="2">
        <v>45309</v>
      </c>
      <c r="H2170">
        <v>0</v>
      </c>
      <c r="I2170">
        <v>0</v>
      </c>
      <c r="J2170" s="1">
        <v>10000</v>
      </c>
      <c r="K2170" s="1">
        <v>60000</v>
      </c>
    </row>
    <row r="2171" spans="1:11" x14ac:dyDescent="0.25">
      <c r="A2171" t="s">
        <v>2653</v>
      </c>
      <c r="B2171" t="s">
        <v>2721</v>
      </c>
      <c r="C2171" t="s">
        <v>16</v>
      </c>
      <c r="D2171" t="s">
        <v>4466</v>
      </c>
      <c r="E2171" t="s">
        <v>4438</v>
      </c>
      <c r="F2171" t="s">
        <v>2742</v>
      </c>
      <c r="G2171" s="2">
        <v>45311</v>
      </c>
      <c r="H2171">
        <v>0</v>
      </c>
      <c r="I2171">
        <v>0</v>
      </c>
      <c r="J2171" s="1">
        <v>10000</v>
      </c>
      <c r="K2171" s="1">
        <v>10000</v>
      </c>
    </row>
    <row r="2172" spans="1:11" x14ac:dyDescent="0.25">
      <c r="A2172" t="s">
        <v>2657</v>
      </c>
      <c r="B2172" t="s">
        <v>2726</v>
      </c>
      <c r="C2172" t="s">
        <v>16</v>
      </c>
      <c r="D2172" t="s">
        <v>4466</v>
      </c>
      <c r="E2172" t="s">
        <v>4437</v>
      </c>
      <c r="F2172" t="s">
        <v>2742</v>
      </c>
      <c r="G2172" s="2">
        <v>45311</v>
      </c>
      <c r="H2172">
        <v>0</v>
      </c>
      <c r="I2172">
        <v>0</v>
      </c>
      <c r="J2172" s="1">
        <v>10000</v>
      </c>
      <c r="K2172" s="1">
        <v>10000</v>
      </c>
    </row>
    <row r="2173" spans="1:11" x14ac:dyDescent="0.25">
      <c r="A2173" t="s">
        <v>2658</v>
      </c>
      <c r="B2173" t="s">
        <v>2699</v>
      </c>
      <c r="C2173" t="s">
        <v>16</v>
      </c>
      <c r="D2173" t="s">
        <v>4462</v>
      </c>
      <c r="E2173" t="s">
        <v>4440</v>
      </c>
      <c r="F2173" t="s">
        <v>2742</v>
      </c>
      <c r="G2173" s="2">
        <v>45311</v>
      </c>
      <c r="H2173">
        <v>0</v>
      </c>
      <c r="I2173">
        <v>0</v>
      </c>
      <c r="J2173" s="1">
        <v>47500</v>
      </c>
      <c r="K2173" s="1">
        <v>47500</v>
      </c>
    </row>
    <row r="2174" spans="1:11" x14ac:dyDescent="0.25">
      <c r="A2174" t="s">
        <v>2636</v>
      </c>
      <c r="B2174" t="s">
        <v>2730</v>
      </c>
      <c r="C2174" t="s">
        <v>42</v>
      </c>
      <c r="D2174" t="s">
        <v>4467</v>
      </c>
      <c r="E2174" t="s">
        <v>4441</v>
      </c>
      <c r="F2174" t="s">
        <v>2742</v>
      </c>
      <c r="G2174" s="2">
        <v>45313</v>
      </c>
      <c r="H2174">
        <v>0</v>
      </c>
      <c r="I2174">
        <v>0</v>
      </c>
      <c r="J2174" s="1">
        <v>10000</v>
      </c>
      <c r="K2174" s="1">
        <v>10000</v>
      </c>
    </row>
    <row r="2175" spans="1:11" x14ac:dyDescent="0.25">
      <c r="A2175" t="s">
        <v>2638</v>
      </c>
      <c r="B2175" t="s">
        <v>2698</v>
      </c>
      <c r="C2175" t="s">
        <v>16</v>
      </c>
      <c r="D2175" t="s">
        <v>4465</v>
      </c>
      <c r="E2175" t="s">
        <v>4442</v>
      </c>
      <c r="F2175" t="s">
        <v>2742</v>
      </c>
      <c r="G2175" s="2">
        <v>45313</v>
      </c>
      <c r="H2175">
        <v>0</v>
      </c>
      <c r="I2175">
        <v>0</v>
      </c>
      <c r="J2175" s="1">
        <v>10000</v>
      </c>
      <c r="K2175" s="1">
        <v>10000</v>
      </c>
    </row>
    <row r="2176" spans="1:11" x14ac:dyDescent="0.25">
      <c r="A2176" t="s">
        <v>2644</v>
      </c>
      <c r="B2176" t="s">
        <v>2729</v>
      </c>
      <c r="C2176" t="s">
        <v>16</v>
      </c>
      <c r="D2176" t="s">
        <v>4465</v>
      </c>
      <c r="E2176" t="s">
        <v>4427</v>
      </c>
      <c r="F2176" t="s">
        <v>2742</v>
      </c>
      <c r="G2176" s="2">
        <v>45313</v>
      </c>
      <c r="H2176">
        <v>0</v>
      </c>
      <c r="I2176">
        <v>0</v>
      </c>
      <c r="J2176" s="1">
        <v>10000</v>
      </c>
      <c r="K2176" s="1">
        <v>10000</v>
      </c>
    </row>
    <row r="2177" spans="1:11" x14ac:dyDescent="0.25">
      <c r="A2177" t="s">
        <v>2647</v>
      </c>
      <c r="B2177" t="s">
        <v>2721</v>
      </c>
      <c r="C2177" t="s">
        <v>16</v>
      </c>
      <c r="D2177" t="s">
        <v>4466</v>
      </c>
      <c r="E2177" t="s">
        <v>4438</v>
      </c>
      <c r="F2177" t="s">
        <v>2742</v>
      </c>
      <c r="G2177" s="2">
        <v>45313</v>
      </c>
      <c r="H2177">
        <v>0</v>
      </c>
      <c r="I2177">
        <v>0</v>
      </c>
      <c r="J2177" s="1">
        <v>10000</v>
      </c>
      <c r="K2177" s="1">
        <v>10000</v>
      </c>
    </row>
    <row r="2178" spans="1:11" x14ac:dyDescent="0.25">
      <c r="A2178" t="s">
        <v>2649</v>
      </c>
      <c r="B2178" t="s">
        <v>4472</v>
      </c>
      <c r="C2178" t="s">
        <v>16</v>
      </c>
      <c r="D2178" t="s">
        <v>4461</v>
      </c>
      <c r="E2178" t="s">
        <v>4373</v>
      </c>
      <c r="F2178" t="s">
        <v>2742</v>
      </c>
      <c r="G2178" s="2">
        <v>45313</v>
      </c>
      <c r="H2178">
        <v>0</v>
      </c>
      <c r="I2178">
        <v>0</v>
      </c>
      <c r="J2178" s="1">
        <v>10000</v>
      </c>
      <c r="K2178" s="1">
        <v>10000</v>
      </c>
    </row>
    <row r="2179" spans="1:11" x14ac:dyDescent="0.25">
      <c r="A2179" t="s">
        <v>2650</v>
      </c>
      <c r="B2179" t="s">
        <v>2723</v>
      </c>
      <c r="C2179" t="s">
        <v>16</v>
      </c>
      <c r="D2179" t="s">
        <v>4462</v>
      </c>
      <c r="E2179" t="s">
        <v>4443</v>
      </c>
      <c r="F2179" t="s">
        <v>2742</v>
      </c>
      <c r="G2179" s="2">
        <v>45313</v>
      </c>
      <c r="H2179">
        <v>0</v>
      </c>
      <c r="I2179">
        <v>0</v>
      </c>
      <c r="J2179" s="1">
        <v>10000</v>
      </c>
      <c r="K2179" s="1">
        <v>10000</v>
      </c>
    </row>
    <row r="2180" spans="1:11" x14ac:dyDescent="0.25">
      <c r="A2180" t="s">
        <v>2634</v>
      </c>
      <c r="B2180" t="s">
        <v>2727</v>
      </c>
      <c r="C2180" t="s">
        <v>16</v>
      </c>
      <c r="D2180" t="s">
        <v>4465</v>
      </c>
      <c r="E2180" t="s">
        <v>4445</v>
      </c>
      <c r="F2180" t="s">
        <v>2742</v>
      </c>
      <c r="G2180" s="2">
        <v>45314</v>
      </c>
      <c r="H2180">
        <v>0</v>
      </c>
      <c r="I2180">
        <v>0</v>
      </c>
      <c r="J2180" s="1">
        <v>10000</v>
      </c>
      <c r="K2180" s="1">
        <v>10000</v>
      </c>
    </row>
    <row r="2181" spans="1:11" x14ac:dyDescent="0.25">
      <c r="A2181" t="s">
        <v>2625</v>
      </c>
      <c r="B2181" t="s">
        <v>2719</v>
      </c>
      <c r="C2181" t="s">
        <v>16</v>
      </c>
      <c r="D2181" t="s">
        <v>4466</v>
      </c>
      <c r="E2181" t="s">
        <v>4430</v>
      </c>
      <c r="F2181" t="s">
        <v>2742</v>
      </c>
      <c r="G2181" s="2">
        <v>45315</v>
      </c>
      <c r="H2181">
        <v>0</v>
      </c>
      <c r="I2181">
        <v>0</v>
      </c>
      <c r="J2181" s="1">
        <v>10000</v>
      </c>
      <c r="K2181" s="1">
        <v>10000</v>
      </c>
    </row>
    <row r="2182" spans="1:11" x14ac:dyDescent="0.25">
      <c r="A2182" t="s">
        <v>2623</v>
      </c>
      <c r="B2182" t="s">
        <v>2711</v>
      </c>
      <c r="C2182" t="s">
        <v>16</v>
      </c>
      <c r="D2182" t="s">
        <v>4461</v>
      </c>
      <c r="E2182" t="s">
        <v>4447</v>
      </c>
      <c r="F2182" t="s">
        <v>2742</v>
      </c>
      <c r="G2182" s="2">
        <v>45316</v>
      </c>
      <c r="H2182">
        <v>0</v>
      </c>
      <c r="I2182">
        <v>0</v>
      </c>
      <c r="J2182" s="1">
        <v>10000</v>
      </c>
      <c r="K2182" s="1">
        <v>10000</v>
      </c>
    </row>
    <row r="2183" spans="1:11" x14ac:dyDescent="0.25">
      <c r="A2183" t="s">
        <v>2621</v>
      </c>
      <c r="B2183" t="s">
        <v>2733</v>
      </c>
      <c r="C2183" t="s">
        <v>16</v>
      </c>
      <c r="D2183" t="s">
        <v>4465</v>
      </c>
      <c r="E2183" t="s">
        <v>4448</v>
      </c>
      <c r="F2183" t="s">
        <v>2742</v>
      </c>
      <c r="G2183" s="2">
        <v>45317</v>
      </c>
      <c r="H2183">
        <v>0</v>
      </c>
      <c r="I2183">
        <v>0</v>
      </c>
      <c r="J2183" s="1">
        <v>10000</v>
      </c>
      <c r="K2183" s="1">
        <v>10000</v>
      </c>
    </row>
    <row r="2184" spans="1:11" x14ac:dyDescent="0.25">
      <c r="A2184" t="s">
        <v>2619</v>
      </c>
      <c r="B2184" t="s">
        <v>2699</v>
      </c>
      <c r="C2184" t="s">
        <v>16</v>
      </c>
      <c r="D2184" t="s">
        <v>4462</v>
      </c>
      <c r="E2184" t="s">
        <v>4440</v>
      </c>
      <c r="F2184" t="s">
        <v>2742</v>
      </c>
      <c r="G2184" s="2">
        <v>45318</v>
      </c>
      <c r="H2184">
        <v>0</v>
      </c>
      <c r="I2184">
        <v>0</v>
      </c>
      <c r="J2184" s="1">
        <v>10000</v>
      </c>
      <c r="K2184" s="1">
        <v>10000</v>
      </c>
    </row>
    <row r="2185" spans="1:11" x14ac:dyDescent="0.25">
      <c r="A2185" t="s">
        <v>2611</v>
      </c>
      <c r="B2185" t="s">
        <v>2700</v>
      </c>
      <c r="C2185" t="s">
        <v>27</v>
      </c>
      <c r="D2185" t="s">
        <v>4466</v>
      </c>
      <c r="E2185" t="s">
        <v>4450</v>
      </c>
      <c r="F2185" t="s">
        <v>2742</v>
      </c>
      <c r="G2185" s="2">
        <v>45320</v>
      </c>
      <c r="H2185">
        <v>0</v>
      </c>
      <c r="I2185">
        <v>0</v>
      </c>
      <c r="J2185" s="1">
        <v>10000</v>
      </c>
      <c r="K2185" s="1">
        <v>10000</v>
      </c>
    </row>
    <row r="2186" spans="1:11" x14ac:dyDescent="0.25">
      <c r="A2186" t="s">
        <v>2613</v>
      </c>
      <c r="B2186" t="s">
        <v>2718</v>
      </c>
      <c r="C2186" t="s">
        <v>16</v>
      </c>
      <c r="D2186" t="s">
        <v>4466</v>
      </c>
      <c r="E2186" t="s">
        <v>4438</v>
      </c>
      <c r="F2186" t="s">
        <v>2742</v>
      </c>
      <c r="G2186" s="2">
        <v>45320</v>
      </c>
      <c r="H2186">
        <v>0</v>
      </c>
      <c r="I2186">
        <v>0</v>
      </c>
      <c r="J2186" s="1">
        <v>10000</v>
      </c>
      <c r="K2186" s="1">
        <v>10000</v>
      </c>
    </row>
    <row r="2187" spans="1:11" x14ac:dyDescent="0.25">
      <c r="A2187" t="s">
        <v>2589</v>
      </c>
      <c r="B2187" t="s">
        <v>2724</v>
      </c>
      <c r="C2187" t="s">
        <v>16</v>
      </c>
      <c r="D2187" t="s">
        <v>4462</v>
      </c>
      <c r="E2187" t="s">
        <v>4451</v>
      </c>
      <c r="F2187" t="s">
        <v>2742</v>
      </c>
      <c r="G2187" s="2">
        <v>45322</v>
      </c>
      <c r="H2187">
        <v>0</v>
      </c>
      <c r="I2187">
        <v>0</v>
      </c>
      <c r="J2187" s="1">
        <v>10000</v>
      </c>
      <c r="K2187" s="1">
        <v>20000</v>
      </c>
    </row>
    <row r="2188" spans="1:11" x14ac:dyDescent="0.25">
      <c r="A2188" t="s">
        <v>2590</v>
      </c>
      <c r="B2188" t="s">
        <v>2735</v>
      </c>
      <c r="C2188" t="s">
        <v>16</v>
      </c>
      <c r="D2188" t="s">
        <v>4462</v>
      </c>
      <c r="E2188" t="s">
        <v>4426</v>
      </c>
      <c r="F2188" t="s">
        <v>2742</v>
      </c>
      <c r="G2188" s="2">
        <v>45322</v>
      </c>
      <c r="H2188">
        <v>0</v>
      </c>
      <c r="I2188">
        <v>0</v>
      </c>
      <c r="J2188" s="1">
        <v>47500</v>
      </c>
      <c r="K2188" s="1">
        <v>47500</v>
      </c>
    </row>
    <row r="2189" spans="1:11" x14ac:dyDescent="0.25">
      <c r="A2189" t="s">
        <v>2580</v>
      </c>
      <c r="B2189" t="s">
        <v>2723</v>
      </c>
      <c r="C2189" t="s">
        <v>16</v>
      </c>
      <c r="D2189" t="s">
        <v>4462</v>
      </c>
      <c r="E2189" t="s">
        <v>4443</v>
      </c>
      <c r="F2189" t="s">
        <v>2742</v>
      </c>
      <c r="G2189" s="2">
        <v>45323</v>
      </c>
      <c r="H2189">
        <v>0</v>
      </c>
      <c r="I2189">
        <v>0</v>
      </c>
      <c r="J2189" s="1">
        <v>10000</v>
      </c>
      <c r="K2189" s="1">
        <v>10000</v>
      </c>
    </row>
    <row r="2190" spans="1:11" x14ac:dyDescent="0.25">
      <c r="A2190" t="s">
        <v>2584</v>
      </c>
      <c r="B2190" t="s">
        <v>2729</v>
      </c>
      <c r="C2190" t="s">
        <v>16</v>
      </c>
      <c r="D2190" t="s">
        <v>4465</v>
      </c>
      <c r="E2190" t="s">
        <v>4427</v>
      </c>
      <c r="F2190" t="s">
        <v>2742</v>
      </c>
      <c r="G2190" s="2">
        <v>45323</v>
      </c>
      <c r="H2190">
        <v>0</v>
      </c>
      <c r="I2190">
        <v>0</v>
      </c>
      <c r="J2190" s="1">
        <v>10000</v>
      </c>
      <c r="K2190" s="1">
        <v>10000</v>
      </c>
    </row>
    <row r="2191" spans="1:11" x14ac:dyDescent="0.25">
      <c r="A2191" t="s">
        <v>2586</v>
      </c>
      <c r="B2191" t="s">
        <v>2714</v>
      </c>
      <c r="C2191" t="s">
        <v>16</v>
      </c>
      <c r="D2191" t="s">
        <v>4466</v>
      </c>
      <c r="E2191" t="s">
        <v>4434</v>
      </c>
      <c r="F2191" t="s">
        <v>2742</v>
      </c>
      <c r="G2191" s="2">
        <v>45323</v>
      </c>
      <c r="H2191">
        <v>0</v>
      </c>
      <c r="I2191">
        <v>0</v>
      </c>
      <c r="J2191" s="1">
        <v>10000</v>
      </c>
      <c r="K2191" s="1">
        <v>10000</v>
      </c>
    </row>
    <row r="2192" spans="1:11" x14ac:dyDescent="0.25">
      <c r="A2192" t="s">
        <v>2577</v>
      </c>
      <c r="B2192" t="s">
        <v>2699</v>
      </c>
      <c r="C2192" t="s">
        <v>16</v>
      </c>
      <c r="D2192" t="s">
        <v>4462</v>
      </c>
      <c r="E2192" t="s">
        <v>4440</v>
      </c>
      <c r="F2192" t="s">
        <v>2742</v>
      </c>
      <c r="G2192" s="2">
        <v>45324</v>
      </c>
      <c r="H2192">
        <v>0</v>
      </c>
      <c r="I2192">
        <v>0</v>
      </c>
      <c r="J2192" s="1">
        <v>10000</v>
      </c>
      <c r="K2192" s="1">
        <v>10000</v>
      </c>
    </row>
    <row r="2193" spans="1:11" x14ac:dyDescent="0.25">
      <c r="A2193" t="s">
        <v>2566</v>
      </c>
      <c r="B2193" t="s">
        <v>2705</v>
      </c>
      <c r="C2193" t="s">
        <v>42</v>
      </c>
      <c r="D2193" t="s">
        <v>4467</v>
      </c>
      <c r="E2193" t="s">
        <v>4435</v>
      </c>
      <c r="F2193" t="s">
        <v>2742</v>
      </c>
      <c r="G2193" s="2">
        <v>45325</v>
      </c>
      <c r="H2193">
        <v>0</v>
      </c>
      <c r="I2193">
        <v>0</v>
      </c>
      <c r="J2193" s="1">
        <v>10000</v>
      </c>
      <c r="K2193" s="1">
        <v>10000</v>
      </c>
    </row>
    <row r="2194" spans="1:11" x14ac:dyDescent="0.25">
      <c r="A2194" t="s">
        <v>2562</v>
      </c>
      <c r="B2194" t="s">
        <v>2719</v>
      </c>
      <c r="C2194" t="s">
        <v>16</v>
      </c>
      <c r="D2194" t="s">
        <v>4466</v>
      </c>
      <c r="E2194" t="s">
        <v>4430</v>
      </c>
      <c r="F2194" t="s">
        <v>2742</v>
      </c>
      <c r="G2194" s="2">
        <v>45326</v>
      </c>
      <c r="H2194">
        <v>0</v>
      </c>
      <c r="I2194">
        <v>0</v>
      </c>
      <c r="J2194" s="1">
        <v>10000</v>
      </c>
      <c r="K2194" s="1">
        <v>10000</v>
      </c>
    </row>
    <row r="2195" spans="1:11" x14ac:dyDescent="0.25">
      <c r="A2195" t="s">
        <v>2560</v>
      </c>
      <c r="B2195" t="s">
        <v>2698</v>
      </c>
      <c r="C2195" t="s">
        <v>16</v>
      </c>
      <c r="D2195" t="s">
        <v>4465</v>
      </c>
      <c r="E2195" t="s">
        <v>4442</v>
      </c>
      <c r="F2195" t="s">
        <v>2742</v>
      </c>
      <c r="G2195" s="2">
        <v>45327</v>
      </c>
      <c r="H2195">
        <v>0</v>
      </c>
      <c r="I2195">
        <v>0</v>
      </c>
      <c r="J2195" s="1">
        <v>10000</v>
      </c>
      <c r="K2195" s="1">
        <v>10000</v>
      </c>
    </row>
    <row r="2196" spans="1:11" x14ac:dyDescent="0.25">
      <c r="A2196" t="s">
        <v>2540</v>
      </c>
      <c r="B2196" t="s">
        <v>2700</v>
      </c>
      <c r="C2196" t="s">
        <v>27</v>
      </c>
      <c r="D2196" t="s">
        <v>4466</v>
      </c>
      <c r="E2196" t="s">
        <v>4450</v>
      </c>
      <c r="F2196" t="s">
        <v>2742</v>
      </c>
      <c r="G2196" s="2">
        <v>45331</v>
      </c>
      <c r="H2196">
        <v>0</v>
      </c>
      <c r="I2196">
        <v>0</v>
      </c>
      <c r="J2196" s="1">
        <v>10000</v>
      </c>
      <c r="K2196" s="1">
        <v>10000</v>
      </c>
    </row>
    <row r="2197" spans="1:11" x14ac:dyDescent="0.25">
      <c r="A2197" t="s">
        <v>2538</v>
      </c>
      <c r="B2197" t="s">
        <v>2701</v>
      </c>
      <c r="C2197" t="s">
        <v>16</v>
      </c>
      <c r="D2197" t="s">
        <v>4466</v>
      </c>
      <c r="E2197" t="s">
        <v>4453</v>
      </c>
      <c r="F2197" t="s">
        <v>2742</v>
      </c>
      <c r="G2197" s="2">
        <v>45332</v>
      </c>
      <c r="H2197">
        <v>0</v>
      </c>
      <c r="I2197">
        <v>0</v>
      </c>
      <c r="J2197" s="1">
        <v>10000</v>
      </c>
      <c r="K2197" s="1">
        <v>10000</v>
      </c>
    </row>
    <row r="2198" spans="1:11" x14ac:dyDescent="0.25">
      <c r="A2198" t="s">
        <v>2532</v>
      </c>
      <c r="B2198" t="s">
        <v>2718</v>
      </c>
      <c r="C2198" t="s">
        <v>16</v>
      </c>
      <c r="D2198" t="s">
        <v>4466</v>
      </c>
      <c r="E2198" t="s">
        <v>4438</v>
      </c>
      <c r="F2198" t="s">
        <v>2742</v>
      </c>
      <c r="G2198" s="2">
        <v>45333</v>
      </c>
      <c r="H2198">
        <v>0</v>
      </c>
      <c r="I2198">
        <v>0</v>
      </c>
      <c r="J2198" s="1">
        <v>10000</v>
      </c>
      <c r="K2198" s="1">
        <v>10000</v>
      </c>
    </row>
    <row r="2199" spans="1:11" x14ac:dyDescent="0.25">
      <c r="A2199" t="s">
        <v>2524</v>
      </c>
      <c r="B2199" t="s">
        <v>2730</v>
      </c>
      <c r="C2199" t="s">
        <v>42</v>
      </c>
      <c r="D2199" t="s">
        <v>4467</v>
      </c>
      <c r="E2199" t="s">
        <v>4441</v>
      </c>
      <c r="F2199" t="s">
        <v>2742</v>
      </c>
      <c r="G2199" s="2">
        <v>45334</v>
      </c>
      <c r="H2199">
        <v>0</v>
      </c>
      <c r="I2199">
        <v>0</v>
      </c>
      <c r="J2199" s="1">
        <v>10000</v>
      </c>
      <c r="K2199" s="1">
        <v>10000</v>
      </c>
    </row>
    <row r="2200" spans="1:11" x14ac:dyDescent="0.25">
      <c r="A2200" t="s">
        <v>2522</v>
      </c>
      <c r="B2200" t="s">
        <v>2714</v>
      </c>
      <c r="C2200" t="s">
        <v>16</v>
      </c>
      <c r="D2200" t="s">
        <v>4466</v>
      </c>
      <c r="E2200" t="s">
        <v>4434</v>
      </c>
      <c r="F2200" t="s">
        <v>2742</v>
      </c>
      <c r="G2200" s="2">
        <v>45335</v>
      </c>
      <c r="H2200">
        <v>0</v>
      </c>
      <c r="I2200">
        <v>0</v>
      </c>
      <c r="J2200" s="1">
        <v>10000</v>
      </c>
      <c r="K2200" s="1">
        <v>10000</v>
      </c>
    </row>
    <row r="2201" spans="1:11" x14ac:dyDescent="0.25">
      <c r="A2201" t="s">
        <v>2510</v>
      </c>
      <c r="B2201" t="s">
        <v>2713</v>
      </c>
      <c r="C2201" t="s">
        <v>16</v>
      </c>
      <c r="D2201" t="s">
        <v>4465</v>
      </c>
      <c r="E2201" t="s">
        <v>4428</v>
      </c>
      <c r="F2201" t="s">
        <v>2742</v>
      </c>
      <c r="G2201" s="2">
        <v>45336</v>
      </c>
      <c r="H2201">
        <v>0</v>
      </c>
      <c r="I2201">
        <v>0</v>
      </c>
      <c r="J2201" s="1">
        <v>10000</v>
      </c>
      <c r="K2201" s="1">
        <v>10000</v>
      </c>
    </row>
    <row r="2202" spans="1:11" x14ac:dyDescent="0.25">
      <c r="A2202" t="s">
        <v>2481</v>
      </c>
      <c r="B2202" t="s">
        <v>2711</v>
      </c>
      <c r="C2202" t="s">
        <v>16</v>
      </c>
      <c r="D2202" t="s">
        <v>4461</v>
      </c>
      <c r="E2202" t="s">
        <v>4447</v>
      </c>
      <c r="F2202" t="s">
        <v>2742</v>
      </c>
      <c r="G2202" s="2">
        <v>45341</v>
      </c>
      <c r="H2202">
        <v>0</v>
      </c>
      <c r="I2202">
        <v>0</v>
      </c>
      <c r="J2202" s="1">
        <v>10000</v>
      </c>
      <c r="K2202" s="1">
        <v>10000</v>
      </c>
    </row>
    <row r="2203" spans="1:11" x14ac:dyDescent="0.25">
      <c r="A2203" t="s">
        <v>2455</v>
      </c>
      <c r="B2203" t="s">
        <v>2735</v>
      </c>
      <c r="C2203" t="s">
        <v>16</v>
      </c>
      <c r="D2203" t="s">
        <v>4462</v>
      </c>
      <c r="E2203" t="s">
        <v>4426</v>
      </c>
      <c r="F2203" t="s">
        <v>2742</v>
      </c>
      <c r="G2203" s="2">
        <v>45343</v>
      </c>
      <c r="H2203">
        <v>0</v>
      </c>
      <c r="I2203">
        <v>0</v>
      </c>
      <c r="J2203" s="1">
        <v>10000</v>
      </c>
      <c r="K2203" s="1">
        <v>10000</v>
      </c>
    </row>
    <row r="2204" spans="1:11" x14ac:dyDescent="0.25">
      <c r="A2204" t="s">
        <v>2457</v>
      </c>
      <c r="B2204" t="s">
        <v>2717</v>
      </c>
      <c r="C2204" t="s">
        <v>16</v>
      </c>
      <c r="D2204" t="s">
        <v>4466</v>
      </c>
      <c r="E2204" t="s">
        <v>4431</v>
      </c>
      <c r="F2204" t="s">
        <v>2742</v>
      </c>
      <c r="G2204" s="2">
        <v>45343</v>
      </c>
      <c r="H2204">
        <v>0</v>
      </c>
      <c r="I2204">
        <v>0</v>
      </c>
      <c r="J2204" s="1">
        <v>10000</v>
      </c>
      <c r="K2204" s="1">
        <v>10000</v>
      </c>
    </row>
    <row r="2205" spans="1:11" x14ac:dyDescent="0.25">
      <c r="A2205" t="s">
        <v>2435</v>
      </c>
      <c r="B2205" t="s">
        <v>2701</v>
      </c>
      <c r="C2205" t="s">
        <v>16</v>
      </c>
      <c r="D2205" t="s">
        <v>4466</v>
      </c>
      <c r="E2205" t="s">
        <v>4453</v>
      </c>
      <c r="F2205" t="s">
        <v>2742</v>
      </c>
      <c r="G2205" s="2">
        <v>45344</v>
      </c>
      <c r="H2205">
        <v>0</v>
      </c>
      <c r="I2205">
        <v>0</v>
      </c>
      <c r="J2205" s="1">
        <v>18250</v>
      </c>
      <c r="K2205" s="1">
        <v>18250</v>
      </c>
    </row>
    <row r="2206" spans="1:11" x14ac:dyDescent="0.25">
      <c r="A2206" t="s">
        <v>2434</v>
      </c>
      <c r="B2206" t="s">
        <v>2701</v>
      </c>
      <c r="C2206" t="s">
        <v>16</v>
      </c>
      <c r="D2206" t="s">
        <v>4466</v>
      </c>
      <c r="E2206" t="s">
        <v>4453</v>
      </c>
      <c r="F2206" t="s">
        <v>2742</v>
      </c>
      <c r="G2206" s="2">
        <v>45344</v>
      </c>
      <c r="H2206">
        <v>0</v>
      </c>
      <c r="I2206">
        <v>0</v>
      </c>
      <c r="J2206" s="1">
        <v>10000</v>
      </c>
      <c r="K2206" s="1">
        <v>10000</v>
      </c>
    </row>
    <row r="2207" spans="1:11" x14ac:dyDescent="0.25">
      <c r="A2207" t="s">
        <v>2446</v>
      </c>
      <c r="B2207" t="s">
        <v>2710</v>
      </c>
      <c r="C2207" t="s">
        <v>42</v>
      </c>
      <c r="D2207" t="s">
        <v>4467</v>
      </c>
      <c r="E2207" t="s">
        <v>4436</v>
      </c>
      <c r="F2207" t="s">
        <v>2742</v>
      </c>
      <c r="G2207" s="2">
        <v>45344</v>
      </c>
      <c r="H2207">
        <v>0</v>
      </c>
      <c r="I2207">
        <v>0</v>
      </c>
      <c r="J2207" s="1">
        <v>10000</v>
      </c>
      <c r="K2207" s="1">
        <v>10000</v>
      </c>
    </row>
    <row r="2208" spans="1:11" x14ac:dyDescent="0.25">
      <c r="A2208" t="s">
        <v>2447</v>
      </c>
      <c r="B2208" t="s">
        <v>2721</v>
      </c>
      <c r="C2208" t="s">
        <v>16</v>
      </c>
      <c r="D2208" t="s">
        <v>4466</v>
      </c>
      <c r="E2208" t="s">
        <v>4438</v>
      </c>
      <c r="F2208" t="s">
        <v>2742</v>
      </c>
      <c r="G2208" s="2">
        <v>45344</v>
      </c>
      <c r="H2208">
        <v>0</v>
      </c>
      <c r="I2208">
        <v>0</v>
      </c>
      <c r="J2208" s="1">
        <v>10000</v>
      </c>
      <c r="K2208" s="1">
        <v>10000</v>
      </c>
    </row>
    <row r="2209" spans="1:11" x14ac:dyDescent="0.25">
      <c r="A2209" t="s">
        <v>2451</v>
      </c>
      <c r="B2209" t="s">
        <v>2722</v>
      </c>
      <c r="C2209" t="s">
        <v>16</v>
      </c>
      <c r="D2209" t="s">
        <v>4462</v>
      </c>
      <c r="E2209" t="s">
        <v>4446</v>
      </c>
      <c r="F2209" t="s">
        <v>2742</v>
      </c>
      <c r="G2209" s="2">
        <v>45344</v>
      </c>
      <c r="H2209">
        <v>0</v>
      </c>
      <c r="I2209">
        <v>0</v>
      </c>
      <c r="J2209" s="1">
        <v>10000</v>
      </c>
      <c r="K2209" s="1">
        <v>10000</v>
      </c>
    </row>
    <row r="2210" spans="1:11" x14ac:dyDescent="0.25">
      <c r="A2210" t="s">
        <v>2427</v>
      </c>
      <c r="B2210" t="s">
        <v>4472</v>
      </c>
      <c r="C2210" t="s">
        <v>16</v>
      </c>
      <c r="D2210" t="s">
        <v>4461</v>
      </c>
      <c r="E2210" t="s">
        <v>4373</v>
      </c>
      <c r="F2210" t="s">
        <v>2742</v>
      </c>
      <c r="G2210" s="2">
        <v>45345</v>
      </c>
      <c r="H2210">
        <v>0</v>
      </c>
      <c r="I2210">
        <v>0</v>
      </c>
      <c r="J2210" s="1">
        <v>10000</v>
      </c>
      <c r="K2210" s="1">
        <v>10000</v>
      </c>
    </row>
    <row r="2211" spans="1:11" x14ac:dyDescent="0.25">
      <c r="A2211" t="s">
        <v>2428</v>
      </c>
      <c r="B2211" t="s">
        <v>2726</v>
      </c>
      <c r="C2211" t="s">
        <v>16</v>
      </c>
      <c r="D2211" t="s">
        <v>4466</v>
      </c>
      <c r="E2211" t="s">
        <v>4437</v>
      </c>
      <c r="F2211" t="s">
        <v>2742</v>
      </c>
      <c r="G2211" s="2">
        <v>45345</v>
      </c>
      <c r="H2211">
        <v>0</v>
      </c>
      <c r="I2211">
        <v>0</v>
      </c>
      <c r="J2211" s="1">
        <v>10000</v>
      </c>
      <c r="K2211" s="1">
        <v>10000</v>
      </c>
    </row>
    <row r="2212" spans="1:11" x14ac:dyDescent="0.25">
      <c r="A2212" t="s">
        <v>2429</v>
      </c>
      <c r="B2212" t="s">
        <v>2705</v>
      </c>
      <c r="C2212" t="s">
        <v>42</v>
      </c>
      <c r="D2212" t="s">
        <v>4467</v>
      </c>
      <c r="E2212" t="s">
        <v>4435</v>
      </c>
      <c r="F2212" t="s">
        <v>2742</v>
      </c>
      <c r="G2212" s="2">
        <v>45345</v>
      </c>
      <c r="H2212">
        <v>0</v>
      </c>
      <c r="I2212">
        <v>0</v>
      </c>
      <c r="J2212" s="1">
        <v>10000</v>
      </c>
      <c r="K2212" s="1">
        <v>10000</v>
      </c>
    </row>
    <row r="2213" spans="1:11" x14ac:dyDescent="0.25">
      <c r="A2213" t="s">
        <v>2424</v>
      </c>
      <c r="B2213" t="s">
        <v>2729</v>
      </c>
      <c r="C2213" t="s">
        <v>16</v>
      </c>
      <c r="D2213" t="s">
        <v>4465</v>
      </c>
      <c r="E2213" t="s">
        <v>4427</v>
      </c>
      <c r="F2213" t="s">
        <v>2742</v>
      </c>
      <c r="G2213" s="2">
        <v>45346</v>
      </c>
      <c r="H2213">
        <v>0</v>
      </c>
      <c r="I2213">
        <v>0</v>
      </c>
      <c r="J2213" s="1">
        <v>10000</v>
      </c>
      <c r="K2213" s="1">
        <v>10000</v>
      </c>
    </row>
    <row r="2214" spans="1:11" x14ac:dyDescent="0.25">
      <c r="A2214" t="s">
        <v>2418</v>
      </c>
      <c r="B2214" t="s">
        <v>2709</v>
      </c>
      <c r="C2214" t="s">
        <v>42</v>
      </c>
      <c r="D2214" t="s">
        <v>4467</v>
      </c>
      <c r="E2214" t="s">
        <v>4456</v>
      </c>
      <c r="F2214" t="s">
        <v>2742</v>
      </c>
      <c r="G2214" s="2">
        <v>45347</v>
      </c>
      <c r="H2214">
        <v>0</v>
      </c>
      <c r="I2214">
        <v>0</v>
      </c>
      <c r="J2214" s="1">
        <v>10000</v>
      </c>
      <c r="K2214" s="1">
        <v>10000</v>
      </c>
    </row>
    <row r="2215" spans="1:11" x14ac:dyDescent="0.25">
      <c r="A2215" t="s">
        <v>2420</v>
      </c>
      <c r="B2215" t="s">
        <v>2727</v>
      </c>
      <c r="C2215" t="s">
        <v>16</v>
      </c>
      <c r="D2215" t="s">
        <v>4465</v>
      </c>
      <c r="E2215" t="s">
        <v>4445</v>
      </c>
      <c r="F2215" t="s">
        <v>2742</v>
      </c>
      <c r="G2215" s="2">
        <v>45347</v>
      </c>
      <c r="H2215">
        <v>0</v>
      </c>
      <c r="I2215">
        <v>0</v>
      </c>
      <c r="J2215" s="1">
        <v>10000</v>
      </c>
      <c r="K2215" s="1">
        <v>10000</v>
      </c>
    </row>
    <row r="2216" spans="1:11" x14ac:dyDescent="0.25">
      <c r="A2216" t="s">
        <v>2422</v>
      </c>
      <c r="B2216" t="s">
        <v>2708</v>
      </c>
      <c r="C2216" t="s">
        <v>16</v>
      </c>
      <c r="D2216" t="s">
        <v>4466</v>
      </c>
      <c r="E2216" t="s">
        <v>4457</v>
      </c>
      <c r="F2216" t="s">
        <v>2742</v>
      </c>
      <c r="G2216" s="2">
        <v>45347</v>
      </c>
      <c r="H2216">
        <v>0</v>
      </c>
      <c r="I2216">
        <v>0</v>
      </c>
      <c r="J2216" s="1">
        <v>10000</v>
      </c>
      <c r="K2216" s="1">
        <v>10000</v>
      </c>
    </row>
    <row r="2217" spans="1:11" x14ac:dyDescent="0.25">
      <c r="A2217" t="s">
        <v>2409</v>
      </c>
      <c r="B2217" t="s">
        <v>2733</v>
      </c>
      <c r="C2217" t="s">
        <v>16</v>
      </c>
      <c r="D2217" t="s">
        <v>4465</v>
      </c>
      <c r="E2217" t="s">
        <v>4448</v>
      </c>
      <c r="F2217" t="s">
        <v>2742</v>
      </c>
      <c r="G2217" s="2">
        <v>45348</v>
      </c>
      <c r="H2217">
        <v>0</v>
      </c>
      <c r="I2217">
        <v>0</v>
      </c>
      <c r="J2217" s="1">
        <v>10000</v>
      </c>
      <c r="K2217" s="1">
        <v>10000</v>
      </c>
    </row>
    <row r="2218" spans="1:11" x14ac:dyDescent="0.25">
      <c r="A2218" t="s">
        <v>2396</v>
      </c>
      <c r="B2218" t="s">
        <v>2716</v>
      </c>
      <c r="C2218" t="s">
        <v>16</v>
      </c>
      <c r="D2218" t="s">
        <v>4462</v>
      </c>
      <c r="E2218" t="s">
        <v>4458</v>
      </c>
      <c r="F2218" t="s">
        <v>2742</v>
      </c>
      <c r="G2218" s="2">
        <v>45349</v>
      </c>
      <c r="H2218">
        <v>0</v>
      </c>
      <c r="I2218">
        <v>0</v>
      </c>
      <c r="J2218" s="1">
        <v>10000</v>
      </c>
      <c r="K2218" s="1">
        <v>10000</v>
      </c>
    </row>
    <row r="2219" spans="1:11" x14ac:dyDescent="0.25">
      <c r="A2219" t="s">
        <v>2355</v>
      </c>
      <c r="B2219" t="s">
        <v>2714</v>
      </c>
      <c r="C2219" t="s">
        <v>16</v>
      </c>
      <c r="D2219" t="s">
        <v>4466</v>
      </c>
      <c r="E2219" t="s">
        <v>4434</v>
      </c>
      <c r="F2219" t="s">
        <v>2742</v>
      </c>
      <c r="G2219" s="2">
        <v>45352</v>
      </c>
      <c r="H2219">
        <v>0</v>
      </c>
      <c r="I2219">
        <v>0</v>
      </c>
      <c r="J2219" s="1">
        <v>10000</v>
      </c>
      <c r="K2219" s="1">
        <v>10000</v>
      </c>
    </row>
    <row r="2220" spans="1:11" x14ac:dyDescent="0.25">
      <c r="A2220" t="s">
        <v>2333</v>
      </c>
      <c r="B2220" t="s">
        <v>2700</v>
      </c>
      <c r="C2220" t="s">
        <v>27</v>
      </c>
      <c r="D2220" t="s">
        <v>4466</v>
      </c>
      <c r="E2220" t="s">
        <v>4450</v>
      </c>
      <c r="F2220" t="s">
        <v>2742</v>
      </c>
      <c r="G2220" s="2">
        <v>45355</v>
      </c>
      <c r="H2220">
        <v>0</v>
      </c>
      <c r="I2220">
        <v>0</v>
      </c>
      <c r="J2220" s="1">
        <v>10000</v>
      </c>
      <c r="K2220" s="1">
        <v>10000</v>
      </c>
    </row>
    <row r="2221" spans="1:11" x14ac:dyDescent="0.25">
      <c r="A2221" t="s">
        <v>2335</v>
      </c>
      <c r="B2221" t="s">
        <v>2705</v>
      </c>
      <c r="C2221" t="s">
        <v>42</v>
      </c>
      <c r="D2221" t="s">
        <v>4467</v>
      </c>
      <c r="E2221" t="s">
        <v>4435</v>
      </c>
      <c r="F2221" t="s">
        <v>2742</v>
      </c>
      <c r="G2221" s="2">
        <v>45355</v>
      </c>
      <c r="H2221">
        <v>0</v>
      </c>
      <c r="I2221">
        <v>0</v>
      </c>
      <c r="J2221" s="1">
        <v>10000</v>
      </c>
      <c r="K2221" s="1">
        <v>10000</v>
      </c>
    </row>
    <row r="2222" spans="1:11" x14ac:dyDescent="0.25">
      <c r="A2222" t="s">
        <v>2337</v>
      </c>
      <c r="B2222" t="s">
        <v>2729</v>
      </c>
      <c r="C2222" t="s">
        <v>16</v>
      </c>
      <c r="D2222" t="s">
        <v>4465</v>
      </c>
      <c r="E2222" t="s">
        <v>4427</v>
      </c>
      <c r="F2222" t="s">
        <v>2742</v>
      </c>
      <c r="G2222" s="2">
        <v>45355</v>
      </c>
      <c r="H2222">
        <v>0</v>
      </c>
      <c r="I2222">
        <v>0</v>
      </c>
      <c r="J2222" s="1">
        <v>10000</v>
      </c>
      <c r="K2222" s="1">
        <v>10000</v>
      </c>
    </row>
    <row r="2223" spans="1:11" x14ac:dyDescent="0.25">
      <c r="A2223" t="s">
        <v>2339</v>
      </c>
      <c r="B2223" t="s">
        <v>2701</v>
      </c>
      <c r="C2223" t="s">
        <v>16</v>
      </c>
      <c r="D2223" t="s">
        <v>4466</v>
      </c>
      <c r="E2223" t="s">
        <v>4453</v>
      </c>
      <c r="F2223" t="s">
        <v>2742</v>
      </c>
      <c r="G2223" s="2">
        <v>45355</v>
      </c>
      <c r="H2223">
        <v>0</v>
      </c>
      <c r="I2223">
        <v>0</v>
      </c>
      <c r="J2223" s="1">
        <v>10000</v>
      </c>
      <c r="K2223" s="1">
        <v>10000</v>
      </c>
    </row>
    <row r="2224" spans="1:11" x14ac:dyDescent="0.25">
      <c r="A2224" t="s">
        <v>2332</v>
      </c>
      <c r="B2224" t="s">
        <v>4472</v>
      </c>
      <c r="C2224" t="s">
        <v>16</v>
      </c>
      <c r="D2224" t="s">
        <v>4461</v>
      </c>
      <c r="E2224" t="s">
        <v>4373</v>
      </c>
      <c r="F2224" t="s">
        <v>2742</v>
      </c>
      <c r="G2224" s="2">
        <v>45356</v>
      </c>
      <c r="H2224">
        <v>0</v>
      </c>
      <c r="I2224">
        <v>0</v>
      </c>
      <c r="J2224" s="1">
        <v>10000</v>
      </c>
      <c r="K2224" s="1">
        <v>20000</v>
      </c>
    </row>
    <row r="2225" spans="1:11" x14ac:dyDescent="0.25">
      <c r="A2225" t="s">
        <v>2324</v>
      </c>
      <c r="B2225" t="s">
        <v>2699</v>
      </c>
      <c r="C2225" t="s">
        <v>16</v>
      </c>
      <c r="D2225" t="s">
        <v>4462</v>
      </c>
      <c r="E2225" t="s">
        <v>4440</v>
      </c>
      <c r="F2225" t="s">
        <v>2742</v>
      </c>
      <c r="G2225" s="2">
        <v>45357</v>
      </c>
      <c r="H2225">
        <v>0</v>
      </c>
      <c r="I2225">
        <v>0</v>
      </c>
      <c r="J2225" s="1">
        <v>10000</v>
      </c>
      <c r="K2225" s="1">
        <v>10000</v>
      </c>
    </row>
    <row r="2226" spans="1:11" x14ac:dyDescent="0.25">
      <c r="A2226" t="s">
        <v>2317</v>
      </c>
      <c r="B2226" t="s">
        <v>2707</v>
      </c>
      <c r="C2226" t="s">
        <v>16</v>
      </c>
      <c r="D2226" t="s">
        <v>4462</v>
      </c>
      <c r="E2226" t="s">
        <v>4433</v>
      </c>
      <c r="F2226" t="s">
        <v>2742</v>
      </c>
      <c r="G2226" s="2">
        <v>45358</v>
      </c>
      <c r="H2226">
        <v>0</v>
      </c>
      <c r="I2226">
        <v>0</v>
      </c>
      <c r="J2226" s="1">
        <v>10000</v>
      </c>
      <c r="K2226" s="1">
        <v>10000</v>
      </c>
    </row>
    <row r="2227" spans="1:11" x14ac:dyDescent="0.25">
      <c r="A2227" t="s">
        <v>2303</v>
      </c>
      <c r="B2227" t="s">
        <v>2710</v>
      </c>
      <c r="C2227" t="s">
        <v>42</v>
      </c>
      <c r="D2227" t="s">
        <v>4467</v>
      </c>
      <c r="E2227" t="s">
        <v>4436</v>
      </c>
      <c r="F2227" t="s">
        <v>2742</v>
      </c>
      <c r="G2227" s="2">
        <v>45359</v>
      </c>
      <c r="H2227">
        <v>0</v>
      </c>
      <c r="I2227">
        <v>0</v>
      </c>
      <c r="J2227" s="1">
        <v>10000</v>
      </c>
      <c r="K2227" s="1">
        <v>10000</v>
      </c>
    </row>
    <row r="2228" spans="1:11" x14ac:dyDescent="0.25">
      <c r="A2228" t="s">
        <v>2307</v>
      </c>
      <c r="B2228" t="s">
        <v>2736</v>
      </c>
      <c r="C2228" t="s">
        <v>16</v>
      </c>
      <c r="D2228" t="s">
        <v>4461</v>
      </c>
      <c r="E2228" t="s">
        <v>4459</v>
      </c>
      <c r="F2228" t="s">
        <v>2742</v>
      </c>
      <c r="G2228" s="2">
        <v>45359</v>
      </c>
      <c r="H2228">
        <v>0</v>
      </c>
      <c r="I2228">
        <v>0</v>
      </c>
      <c r="J2228" s="1">
        <v>10000</v>
      </c>
      <c r="K2228" s="1">
        <v>10000</v>
      </c>
    </row>
    <row r="2229" spans="1:11" x14ac:dyDescent="0.25">
      <c r="A2229" t="s">
        <v>2299</v>
      </c>
      <c r="B2229" t="s">
        <v>2711</v>
      </c>
      <c r="C2229" t="s">
        <v>16</v>
      </c>
      <c r="D2229" t="s">
        <v>4461</v>
      </c>
      <c r="E2229" t="s">
        <v>4447</v>
      </c>
      <c r="F2229" t="s">
        <v>2742</v>
      </c>
      <c r="G2229" s="2">
        <v>45360</v>
      </c>
      <c r="H2229">
        <v>0</v>
      </c>
      <c r="I2229">
        <v>0</v>
      </c>
      <c r="J2229" s="1">
        <v>10000</v>
      </c>
      <c r="K2229" s="1">
        <v>10000</v>
      </c>
    </row>
    <row r="2230" spans="1:11" x14ac:dyDescent="0.25">
      <c r="A2230" t="s">
        <v>2292</v>
      </c>
      <c r="B2230" t="s">
        <v>2698</v>
      </c>
      <c r="C2230" t="s">
        <v>16</v>
      </c>
      <c r="D2230" t="s">
        <v>4465</v>
      </c>
      <c r="E2230" t="s">
        <v>4442</v>
      </c>
      <c r="F2230" t="s">
        <v>2742</v>
      </c>
      <c r="G2230" s="2">
        <v>45361</v>
      </c>
      <c r="H2230">
        <v>0</v>
      </c>
      <c r="I2230">
        <v>0</v>
      </c>
      <c r="J2230" s="1">
        <v>10000</v>
      </c>
      <c r="K2230" s="1">
        <v>10000</v>
      </c>
    </row>
    <row r="2231" spans="1:11" x14ac:dyDescent="0.25">
      <c r="A2231" t="s">
        <v>2281</v>
      </c>
      <c r="B2231" t="s">
        <v>2718</v>
      </c>
      <c r="C2231" t="s">
        <v>16</v>
      </c>
      <c r="D2231" t="s">
        <v>4466</v>
      </c>
      <c r="E2231" t="s">
        <v>4438</v>
      </c>
      <c r="F2231" t="s">
        <v>2742</v>
      </c>
      <c r="G2231" s="2">
        <v>45364</v>
      </c>
      <c r="H2231">
        <v>0</v>
      </c>
      <c r="I2231">
        <v>0</v>
      </c>
      <c r="J2231" s="1">
        <v>10000</v>
      </c>
      <c r="K2231" s="1">
        <v>10000</v>
      </c>
    </row>
    <row r="2232" spans="1:11" x14ac:dyDescent="0.25">
      <c r="A2232" t="s">
        <v>2253</v>
      </c>
      <c r="B2232" t="s">
        <v>2723</v>
      </c>
      <c r="C2232" t="s">
        <v>16</v>
      </c>
      <c r="D2232" t="s">
        <v>4462</v>
      </c>
      <c r="E2232" t="s">
        <v>4443</v>
      </c>
      <c r="F2232" t="s">
        <v>2742</v>
      </c>
      <c r="G2232" s="2">
        <v>45369</v>
      </c>
      <c r="H2232">
        <v>0</v>
      </c>
      <c r="I2232">
        <v>0</v>
      </c>
      <c r="J2232" s="1">
        <v>10000</v>
      </c>
      <c r="K2232" s="1">
        <v>10000</v>
      </c>
    </row>
    <row r="2233" spans="1:11" x14ac:dyDescent="0.25">
      <c r="A2233" t="s">
        <v>2263</v>
      </c>
      <c r="B2233" t="s">
        <v>2726</v>
      </c>
      <c r="C2233" t="s">
        <v>16</v>
      </c>
      <c r="D2233" t="s">
        <v>4466</v>
      </c>
      <c r="E2233" t="s">
        <v>4437</v>
      </c>
      <c r="F2233" t="s">
        <v>2742</v>
      </c>
      <c r="G2233" s="2">
        <v>45369</v>
      </c>
      <c r="H2233">
        <v>0</v>
      </c>
      <c r="I2233">
        <v>0</v>
      </c>
      <c r="J2233" s="1">
        <v>10000</v>
      </c>
      <c r="K2233" s="1">
        <v>10000</v>
      </c>
    </row>
    <row r="2234" spans="1:11" x14ac:dyDescent="0.25">
      <c r="A2234" t="s">
        <v>2230</v>
      </c>
      <c r="B2234" t="s">
        <v>2727</v>
      </c>
      <c r="C2234" t="s">
        <v>16</v>
      </c>
      <c r="D2234" t="s">
        <v>4465</v>
      </c>
      <c r="E2234" t="s">
        <v>4445</v>
      </c>
      <c r="F2234" t="s">
        <v>2742</v>
      </c>
      <c r="G2234" s="2">
        <v>45372</v>
      </c>
      <c r="H2234">
        <v>0</v>
      </c>
      <c r="I2234">
        <v>0</v>
      </c>
      <c r="J2234" s="1">
        <v>10000</v>
      </c>
      <c r="K2234" s="1">
        <v>10000</v>
      </c>
    </row>
    <row r="2235" spans="1:11" x14ac:dyDescent="0.25">
      <c r="A2235" t="s">
        <v>2215</v>
      </c>
      <c r="B2235" t="s">
        <v>2735</v>
      </c>
      <c r="C2235" t="s">
        <v>16</v>
      </c>
      <c r="D2235" t="s">
        <v>4462</v>
      </c>
      <c r="E2235" t="s">
        <v>4426</v>
      </c>
      <c r="F2235" t="s">
        <v>2742</v>
      </c>
      <c r="G2235" s="2">
        <v>45375</v>
      </c>
      <c r="H2235">
        <v>0</v>
      </c>
      <c r="I2235">
        <v>0</v>
      </c>
      <c r="J2235" s="1">
        <v>10000</v>
      </c>
      <c r="K2235" s="1">
        <v>10000</v>
      </c>
    </row>
    <row r="2236" spans="1:11" x14ac:dyDescent="0.25">
      <c r="A2236" t="s">
        <v>2202</v>
      </c>
      <c r="B2236" t="s">
        <v>2730</v>
      </c>
      <c r="C2236" t="s">
        <v>42</v>
      </c>
      <c r="D2236" t="s">
        <v>4467</v>
      </c>
      <c r="E2236" t="s">
        <v>4441</v>
      </c>
      <c r="F2236" t="s">
        <v>2742</v>
      </c>
      <c r="G2236" s="2">
        <v>45376</v>
      </c>
      <c r="H2236">
        <v>0</v>
      </c>
      <c r="I2236">
        <v>0</v>
      </c>
      <c r="J2236" s="1">
        <v>10000</v>
      </c>
      <c r="K2236" s="1">
        <v>10000</v>
      </c>
    </row>
    <row r="2237" spans="1:11" x14ac:dyDescent="0.25">
      <c r="A2237" t="s">
        <v>2209</v>
      </c>
      <c r="B2237" t="s">
        <v>2708</v>
      </c>
      <c r="C2237" t="s">
        <v>16</v>
      </c>
      <c r="D2237" t="s">
        <v>4466</v>
      </c>
      <c r="E2237" t="s">
        <v>4457</v>
      </c>
      <c r="F2237" t="s">
        <v>2742</v>
      </c>
      <c r="G2237" s="2">
        <v>45376</v>
      </c>
      <c r="H2237">
        <v>0</v>
      </c>
      <c r="I2237">
        <v>0</v>
      </c>
      <c r="J2237" s="1">
        <v>10000</v>
      </c>
      <c r="K2237" s="1">
        <v>10000</v>
      </c>
    </row>
    <row r="2238" spans="1:11" x14ac:dyDescent="0.25">
      <c r="A2238" t="s">
        <v>2196</v>
      </c>
      <c r="B2238" t="s">
        <v>2716</v>
      </c>
      <c r="C2238" t="s">
        <v>16</v>
      </c>
      <c r="D2238" t="s">
        <v>4462</v>
      </c>
      <c r="E2238" t="s">
        <v>4458</v>
      </c>
      <c r="F2238" t="s">
        <v>2742</v>
      </c>
      <c r="G2238" s="2">
        <v>45377</v>
      </c>
      <c r="H2238">
        <v>0</v>
      </c>
      <c r="I2238">
        <v>0</v>
      </c>
      <c r="J2238" s="1">
        <v>10000</v>
      </c>
      <c r="K2238" s="1">
        <v>10000</v>
      </c>
    </row>
    <row r="2239" spans="1:11" x14ac:dyDescent="0.25">
      <c r="A2239" t="s">
        <v>2187</v>
      </c>
      <c r="B2239" t="s">
        <v>2709</v>
      </c>
      <c r="C2239" t="s">
        <v>42</v>
      </c>
      <c r="D2239" t="s">
        <v>4467</v>
      </c>
      <c r="E2239" t="s">
        <v>4456</v>
      </c>
      <c r="F2239" t="s">
        <v>2742</v>
      </c>
      <c r="G2239" s="2">
        <v>45379</v>
      </c>
      <c r="H2239">
        <v>0</v>
      </c>
      <c r="I2239">
        <v>0</v>
      </c>
      <c r="J2239" s="1">
        <v>10000</v>
      </c>
      <c r="K2239" s="1">
        <v>10000</v>
      </c>
    </row>
    <row r="2240" spans="1:11" x14ac:dyDescent="0.25">
      <c r="A2240" t="s">
        <v>2181</v>
      </c>
      <c r="B2240" t="s">
        <v>2721</v>
      </c>
      <c r="C2240" t="s">
        <v>16</v>
      </c>
      <c r="D2240" t="s">
        <v>4466</v>
      </c>
      <c r="E2240" t="s">
        <v>4438</v>
      </c>
      <c r="F2240" t="s">
        <v>2742</v>
      </c>
      <c r="G2240" s="2">
        <v>45381</v>
      </c>
      <c r="H2240">
        <v>0</v>
      </c>
      <c r="I2240">
        <v>0</v>
      </c>
      <c r="J2240" s="1">
        <v>10000</v>
      </c>
      <c r="K2240" s="1">
        <v>10000</v>
      </c>
    </row>
    <row r="2241" spans="1:11" x14ac:dyDescent="0.25">
      <c r="A2241" t="s">
        <v>2157</v>
      </c>
      <c r="B2241" t="s">
        <v>2707</v>
      </c>
      <c r="C2241" t="s">
        <v>16</v>
      </c>
      <c r="D2241" t="s">
        <v>4462</v>
      </c>
      <c r="E2241" t="s">
        <v>4433</v>
      </c>
      <c r="F2241" t="s">
        <v>2742</v>
      </c>
      <c r="G2241" s="2">
        <v>45384</v>
      </c>
      <c r="H2241">
        <v>0</v>
      </c>
      <c r="I2241">
        <v>0</v>
      </c>
      <c r="J2241" s="1">
        <v>10000</v>
      </c>
      <c r="K2241" s="1">
        <v>10000</v>
      </c>
    </row>
    <row r="2242" spans="1:11" x14ac:dyDescent="0.25">
      <c r="A2242" t="s">
        <v>2161</v>
      </c>
      <c r="B2242" t="s">
        <v>2717</v>
      </c>
      <c r="C2242" t="s">
        <v>16</v>
      </c>
      <c r="D2242" t="s">
        <v>4466</v>
      </c>
      <c r="E2242" t="s">
        <v>4431</v>
      </c>
      <c r="F2242" t="s">
        <v>2742</v>
      </c>
      <c r="G2242" s="2">
        <v>45384</v>
      </c>
      <c r="H2242">
        <v>0</v>
      </c>
      <c r="I2242">
        <v>0</v>
      </c>
      <c r="J2242" s="1">
        <v>10000</v>
      </c>
      <c r="K2242" s="1">
        <v>10000</v>
      </c>
    </row>
    <row r="2243" spans="1:11" x14ac:dyDescent="0.25">
      <c r="A2243" t="s">
        <v>2161</v>
      </c>
      <c r="B2243" t="s">
        <v>2717</v>
      </c>
      <c r="C2243" t="s">
        <v>16</v>
      </c>
      <c r="D2243" t="s">
        <v>4466</v>
      </c>
      <c r="E2243" t="s">
        <v>4431</v>
      </c>
      <c r="F2243" t="s">
        <v>2742</v>
      </c>
      <c r="G2243" s="2">
        <v>45384</v>
      </c>
      <c r="H2243">
        <v>0</v>
      </c>
      <c r="I2243">
        <v>0</v>
      </c>
      <c r="J2243" s="1">
        <v>10000</v>
      </c>
      <c r="K2243" s="1">
        <v>10000</v>
      </c>
    </row>
    <row r="2244" spans="1:11" x14ac:dyDescent="0.25">
      <c r="A2244" t="s">
        <v>2145</v>
      </c>
      <c r="B2244" t="s">
        <v>2705</v>
      </c>
      <c r="C2244" t="s">
        <v>42</v>
      </c>
      <c r="D2244" t="s">
        <v>4467</v>
      </c>
      <c r="E2244" t="s">
        <v>4435</v>
      </c>
      <c r="F2244" t="s">
        <v>2742</v>
      </c>
      <c r="G2244" s="2">
        <v>45385</v>
      </c>
      <c r="H2244">
        <v>0</v>
      </c>
      <c r="I2244">
        <v>0</v>
      </c>
      <c r="J2244" s="1">
        <v>10000</v>
      </c>
      <c r="K2244" s="1">
        <v>10000</v>
      </c>
    </row>
    <row r="2245" spans="1:11" x14ac:dyDescent="0.25">
      <c r="A2245" t="s">
        <v>2153</v>
      </c>
      <c r="B2245" t="s">
        <v>2731</v>
      </c>
      <c r="C2245" t="s">
        <v>16</v>
      </c>
      <c r="D2245" t="s">
        <v>4465</v>
      </c>
      <c r="E2245" t="s">
        <v>4460</v>
      </c>
      <c r="F2245" t="s">
        <v>2742</v>
      </c>
      <c r="G2245" s="2">
        <v>45385</v>
      </c>
      <c r="H2245">
        <v>0</v>
      </c>
      <c r="I2245">
        <v>0</v>
      </c>
      <c r="J2245" s="1">
        <v>10000</v>
      </c>
      <c r="K2245" s="1">
        <v>10000</v>
      </c>
    </row>
    <row r="2246" spans="1:11" x14ac:dyDescent="0.25">
      <c r="A2246" t="s">
        <v>2156</v>
      </c>
      <c r="B2246" t="s">
        <v>2723</v>
      </c>
      <c r="C2246" t="s">
        <v>16</v>
      </c>
      <c r="D2246" t="s">
        <v>4462</v>
      </c>
      <c r="E2246" t="s">
        <v>4443</v>
      </c>
      <c r="F2246" t="s">
        <v>2742</v>
      </c>
      <c r="G2246" s="2">
        <v>45385</v>
      </c>
      <c r="H2246">
        <v>0</v>
      </c>
      <c r="I2246">
        <v>0</v>
      </c>
      <c r="J2246" s="1">
        <v>10000</v>
      </c>
      <c r="K2246" s="1">
        <v>10000</v>
      </c>
    </row>
    <row r="2247" spans="1:11" x14ac:dyDescent="0.25">
      <c r="A2247" t="s">
        <v>2140</v>
      </c>
      <c r="B2247" t="s">
        <v>2699</v>
      </c>
      <c r="C2247" t="s">
        <v>16</v>
      </c>
      <c r="D2247" t="s">
        <v>4462</v>
      </c>
      <c r="E2247" t="s">
        <v>4440</v>
      </c>
      <c r="F2247" t="s">
        <v>2742</v>
      </c>
      <c r="G2247" s="2">
        <v>45386</v>
      </c>
      <c r="H2247">
        <v>0</v>
      </c>
      <c r="I2247">
        <v>0</v>
      </c>
      <c r="J2247" s="1">
        <v>10000</v>
      </c>
      <c r="K2247" s="1">
        <v>10000</v>
      </c>
    </row>
    <row r="2248" spans="1:11" x14ac:dyDescent="0.25">
      <c r="A2248" t="s">
        <v>2132</v>
      </c>
      <c r="B2248" t="s">
        <v>2736</v>
      </c>
      <c r="C2248" t="s">
        <v>16</v>
      </c>
      <c r="D2248" t="s">
        <v>4461</v>
      </c>
      <c r="E2248" t="s">
        <v>4459</v>
      </c>
      <c r="F2248" t="s">
        <v>2742</v>
      </c>
      <c r="G2248" s="2">
        <v>45387</v>
      </c>
      <c r="H2248">
        <v>0</v>
      </c>
      <c r="I2248">
        <v>0</v>
      </c>
      <c r="J2248" s="1">
        <v>10000</v>
      </c>
      <c r="K2248" s="1">
        <v>10000</v>
      </c>
    </row>
    <row r="2249" spans="1:11" x14ac:dyDescent="0.25">
      <c r="A2249" t="s">
        <v>2118</v>
      </c>
      <c r="B2249" t="s">
        <v>2701</v>
      </c>
      <c r="C2249" t="s">
        <v>16</v>
      </c>
      <c r="D2249" t="s">
        <v>4466</v>
      </c>
      <c r="E2249" t="s">
        <v>4453</v>
      </c>
      <c r="F2249" t="s">
        <v>2742</v>
      </c>
      <c r="G2249" s="2">
        <v>45388</v>
      </c>
      <c r="H2249">
        <v>0</v>
      </c>
      <c r="I2249">
        <v>0</v>
      </c>
      <c r="J2249" s="1">
        <v>10000</v>
      </c>
      <c r="K2249" s="1">
        <v>10000</v>
      </c>
    </row>
    <row r="2250" spans="1:11" x14ac:dyDescent="0.25">
      <c r="A2250" t="s">
        <v>2120</v>
      </c>
      <c r="B2250" t="s">
        <v>2724</v>
      </c>
      <c r="C2250" t="s">
        <v>16</v>
      </c>
      <c r="D2250" t="s">
        <v>4462</v>
      </c>
      <c r="E2250" t="s">
        <v>4451</v>
      </c>
      <c r="F2250" t="s">
        <v>2742</v>
      </c>
      <c r="G2250" s="2">
        <v>45388</v>
      </c>
      <c r="H2250">
        <v>0</v>
      </c>
      <c r="I2250">
        <v>0</v>
      </c>
      <c r="J2250" s="1">
        <v>10000</v>
      </c>
      <c r="K2250" s="1">
        <v>10000</v>
      </c>
    </row>
    <row r="2251" spans="1:11" x14ac:dyDescent="0.25">
      <c r="A2251" t="s">
        <v>2110</v>
      </c>
      <c r="B2251" t="s">
        <v>2700</v>
      </c>
      <c r="C2251" t="s">
        <v>27</v>
      </c>
      <c r="D2251" t="s">
        <v>4466</v>
      </c>
      <c r="E2251" t="s">
        <v>4450</v>
      </c>
      <c r="F2251" t="s">
        <v>2742</v>
      </c>
      <c r="G2251" s="2">
        <v>45389</v>
      </c>
      <c r="H2251">
        <v>0</v>
      </c>
      <c r="I2251">
        <v>0</v>
      </c>
      <c r="J2251" s="1">
        <v>10000</v>
      </c>
      <c r="K2251" s="1">
        <v>10000</v>
      </c>
    </row>
    <row r="2252" spans="1:11" x14ac:dyDescent="0.25">
      <c r="A2252" t="s">
        <v>2107</v>
      </c>
      <c r="B2252" t="s">
        <v>2719</v>
      </c>
      <c r="C2252" t="s">
        <v>16</v>
      </c>
      <c r="D2252" t="s">
        <v>4466</v>
      </c>
      <c r="E2252" t="s">
        <v>4430</v>
      </c>
      <c r="F2252" t="s">
        <v>2742</v>
      </c>
      <c r="G2252" s="2">
        <v>45390</v>
      </c>
      <c r="H2252">
        <v>0</v>
      </c>
      <c r="I2252">
        <v>0</v>
      </c>
      <c r="J2252" s="1">
        <v>10000</v>
      </c>
      <c r="K2252" s="1">
        <v>10000</v>
      </c>
    </row>
    <row r="2253" spans="1:11" x14ac:dyDescent="0.25">
      <c r="A2253" t="s">
        <v>2108</v>
      </c>
      <c r="B2253" t="s">
        <v>2726</v>
      </c>
      <c r="C2253" t="s">
        <v>16</v>
      </c>
      <c r="D2253" t="s">
        <v>4466</v>
      </c>
      <c r="E2253" t="s">
        <v>4437</v>
      </c>
      <c r="F2253" t="s">
        <v>2742</v>
      </c>
      <c r="G2253" s="2">
        <v>45390</v>
      </c>
      <c r="H2253">
        <v>0</v>
      </c>
      <c r="I2253">
        <v>0</v>
      </c>
      <c r="J2253" s="1">
        <v>10000</v>
      </c>
      <c r="K2253" s="1">
        <v>10000</v>
      </c>
    </row>
    <row r="2254" spans="1:11" x14ac:dyDescent="0.25">
      <c r="A2254" t="s">
        <v>2100</v>
      </c>
      <c r="B2254" t="s">
        <v>2729</v>
      </c>
      <c r="C2254" t="s">
        <v>16</v>
      </c>
      <c r="D2254" t="s">
        <v>4465</v>
      </c>
      <c r="E2254" t="s">
        <v>4427</v>
      </c>
      <c r="F2254" t="s">
        <v>2742</v>
      </c>
      <c r="G2254" s="2">
        <v>45391</v>
      </c>
      <c r="H2254">
        <v>0</v>
      </c>
      <c r="I2254">
        <v>0</v>
      </c>
      <c r="J2254" s="1">
        <v>10000</v>
      </c>
      <c r="K2254" s="1">
        <v>10000</v>
      </c>
    </row>
    <row r="2255" spans="1:11" x14ac:dyDescent="0.25">
      <c r="A2255" t="s">
        <v>2101</v>
      </c>
      <c r="B2255" t="s">
        <v>2718</v>
      </c>
      <c r="C2255" t="s">
        <v>16</v>
      </c>
      <c r="D2255" t="s">
        <v>4466</v>
      </c>
      <c r="E2255" t="s">
        <v>4438</v>
      </c>
      <c r="F2255" t="s">
        <v>2742</v>
      </c>
      <c r="G2255" s="2">
        <v>45391</v>
      </c>
      <c r="H2255">
        <v>0</v>
      </c>
      <c r="I2255">
        <v>0</v>
      </c>
      <c r="J2255" s="1">
        <v>10000</v>
      </c>
      <c r="K2255" s="1">
        <v>10000</v>
      </c>
    </row>
    <row r="2256" spans="1:11" x14ac:dyDescent="0.25">
      <c r="A2256" t="s">
        <v>2097</v>
      </c>
      <c r="B2256" t="s">
        <v>2722</v>
      </c>
      <c r="C2256" t="s">
        <v>16</v>
      </c>
      <c r="D2256" t="s">
        <v>4462</v>
      </c>
      <c r="E2256" t="s">
        <v>4446</v>
      </c>
      <c r="F2256" t="s">
        <v>2742</v>
      </c>
      <c r="G2256" s="2">
        <v>45392</v>
      </c>
      <c r="H2256">
        <v>0</v>
      </c>
      <c r="I2256">
        <v>0</v>
      </c>
      <c r="J2256" s="1">
        <v>10000</v>
      </c>
      <c r="K2256" s="1">
        <v>10000</v>
      </c>
    </row>
    <row r="2257" spans="1:11" x14ac:dyDescent="0.25">
      <c r="A2257" t="s">
        <v>2093</v>
      </c>
      <c r="B2257" t="s">
        <v>2714</v>
      </c>
      <c r="C2257" t="s">
        <v>16</v>
      </c>
      <c r="D2257" t="s">
        <v>4466</v>
      </c>
      <c r="E2257" t="s">
        <v>4434</v>
      </c>
      <c r="F2257" t="s">
        <v>2742</v>
      </c>
      <c r="G2257" s="2">
        <v>45393</v>
      </c>
      <c r="H2257">
        <v>0</v>
      </c>
      <c r="I2257">
        <v>0</v>
      </c>
      <c r="J2257" s="1">
        <v>10000</v>
      </c>
      <c r="K2257" s="1">
        <v>10000</v>
      </c>
    </row>
    <row r="2258" spans="1:11" x14ac:dyDescent="0.25">
      <c r="A2258" t="s">
        <v>2090</v>
      </c>
      <c r="B2258" t="s">
        <v>2710</v>
      </c>
      <c r="C2258" t="s">
        <v>42</v>
      </c>
      <c r="D2258" t="s">
        <v>4467</v>
      </c>
      <c r="E2258" t="s">
        <v>4436</v>
      </c>
      <c r="F2258" t="s">
        <v>2742</v>
      </c>
      <c r="G2258" s="2">
        <v>45394</v>
      </c>
      <c r="H2258">
        <v>0</v>
      </c>
      <c r="I2258">
        <v>0</v>
      </c>
      <c r="J2258" s="1">
        <v>10000</v>
      </c>
      <c r="K2258" s="1">
        <v>10000</v>
      </c>
    </row>
    <row r="2259" spans="1:11" x14ac:dyDescent="0.25">
      <c r="A2259" t="s">
        <v>2091</v>
      </c>
      <c r="B2259" t="s">
        <v>2698</v>
      </c>
      <c r="C2259" t="s">
        <v>16</v>
      </c>
      <c r="D2259" t="s">
        <v>4465</v>
      </c>
      <c r="E2259" t="s">
        <v>4442</v>
      </c>
      <c r="F2259" t="s">
        <v>2742</v>
      </c>
      <c r="G2259" s="2">
        <v>45394</v>
      </c>
      <c r="H2259">
        <v>0</v>
      </c>
      <c r="I2259">
        <v>0</v>
      </c>
      <c r="J2259" s="1">
        <v>10000</v>
      </c>
      <c r="K2259" s="1">
        <v>10000</v>
      </c>
    </row>
    <row r="2260" spans="1:11" x14ac:dyDescent="0.25">
      <c r="A2260" t="s">
        <v>2050</v>
      </c>
      <c r="B2260" t="s">
        <v>2727</v>
      </c>
      <c r="C2260" t="s">
        <v>16</v>
      </c>
      <c r="D2260" t="s">
        <v>4465</v>
      </c>
      <c r="E2260" t="s">
        <v>4445</v>
      </c>
      <c r="F2260" t="s">
        <v>2742</v>
      </c>
      <c r="G2260" s="2">
        <v>45395</v>
      </c>
      <c r="H2260">
        <v>0</v>
      </c>
      <c r="I2260">
        <v>0</v>
      </c>
      <c r="J2260" s="1">
        <v>10000</v>
      </c>
      <c r="K2260" s="1">
        <v>10000</v>
      </c>
    </row>
    <row r="2261" spans="1:11" x14ac:dyDescent="0.25">
      <c r="A2261" t="s">
        <v>2060</v>
      </c>
      <c r="B2261" t="s">
        <v>2735</v>
      </c>
      <c r="C2261" t="s">
        <v>16</v>
      </c>
      <c r="D2261" t="s">
        <v>4462</v>
      </c>
      <c r="E2261" t="s">
        <v>4426</v>
      </c>
      <c r="F2261" t="s">
        <v>2742</v>
      </c>
      <c r="G2261" s="2">
        <v>45395</v>
      </c>
      <c r="H2261">
        <v>0</v>
      </c>
      <c r="I2261">
        <v>0</v>
      </c>
      <c r="J2261" s="1">
        <v>10000</v>
      </c>
      <c r="K2261" s="1">
        <v>10000</v>
      </c>
    </row>
    <row r="2262" spans="1:11" x14ac:dyDescent="0.25">
      <c r="A2262" t="s">
        <v>2066</v>
      </c>
      <c r="B2262" t="s">
        <v>2709</v>
      </c>
      <c r="C2262" t="s">
        <v>42</v>
      </c>
      <c r="D2262" t="s">
        <v>4467</v>
      </c>
      <c r="E2262" t="s">
        <v>4456</v>
      </c>
      <c r="F2262" t="s">
        <v>2742</v>
      </c>
      <c r="G2262" s="2">
        <v>45395</v>
      </c>
      <c r="H2262">
        <v>0</v>
      </c>
      <c r="I2262">
        <v>0</v>
      </c>
      <c r="J2262" s="1">
        <v>10000</v>
      </c>
      <c r="K2262" s="1">
        <v>10000</v>
      </c>
    </row>
    <row r="2263" spans="1:11" x14ac:dyDescent="0.25">
      <c r="A2263" t="s">
        <v>2068</v>
      </c>
      <c r="B2263" t="s">
        <v>2721</v>
      </c>
      <c r="C2263" t="s">
        <v>16</v>
      </c>
      <c r="D2263" t="s">
        <v>4466</v>
      </c>
      <c r="E2263" t="s">
        <v>4438</v>
      </c>
      <c r="F2263" t="s">
        <v>2742</v>
      </c>
      <c r="G2263" s="2">
        <v>45395</v>
      </c>
      <c r="H2263">
        <v>0</v>
      </c>
      <c r="I2263">
        <v>0</v>
      </c>
      <c r="J2263" s="1">
        <v>10000</v>
      </c>
      <c r="K2263" s="1">
        <v>10000</v>
      </c>
    </row>
    <row r="2264" spans="1:11" x14ac:dyDescent="0.25">
      <c r="A2264" t="s">
        <v>2042</v>
      </c>
      <c r="B2264" t="s">
        <v>2733</v>
      </c>
      <c r="C2264" t="s">
        <v>16</v>
      </c>
      <c r="D2264" t="s">
        <v>4465</v>
      </c>
      <c r="E2264" t="s">
        <v>4448</v>
      </c>
      <c r="F2264" t="s">
        <v>2742</v>
      </c>
      <c r="G2264" s="2">
        <v>45397</v>
      </c>
      <c r="H2264">
        <v>0</v>
      </c>
      <c r="I2264">
        <v>0</v>
      </c>
      <c r="J2264" s="1">
        <v>10000</v>
      </c>
      <c r="K2264" s="1">
        <v>10000</v>
      </c>
    </row>
    <row r="2265" spans="1:11" x14ac:dyDescent="0.25">
      <c r="A2265" t="s">
        <v>1973</v>
      </c>
      <c r="B2265" t="s">
        <v>2711</v>
      </c>
      <c r="C2265" t="s">
        <v>16</v>
      </c>
      <c r="D2265" t="s">
        <v>4461</v>
      </c>
      <c r="E2265" t="s">
        <v>4447</v>
      </c>
      <c r="F2265" t="s">
        <v>2742</v>
      </c>
      <c r="G2265" s="2">
        <v>45405</v>
      </c>
      <c r="H2265">
        <v>0</v>
      </c>
      <c r="I2265">
        <v>0</v>
      </c>
      <c r="J2265" s="1">
        <v>10000</v>
      </c>
      <c r="K2265" s="1">
        <v>10000</v>
      </c>
    </row>
    <row r="2266" spans="1:11" x14ac:dyDescent="0.25">
      <c r="A2266" t="s">
        <v>1967</v>
      </c>
      <c r="B2266" t="s">
        <v>2708</v>
      </c>
      <c r="C2266" t="s">
        <v>16</v>
      </c>
      <c r="D2266" t="s">
        <v>4466</v>
      </c>
      <c r="E2266" t="s">
        <v>4457</v>
      </c>
      <c r="F2266" t="s">
        <v>2742</v>
      </c>
      <c r="G2266" s="2">
        <v>45406</v>
      </c>
      <c r="H2266">
        <v>0</v>
      </c>
      <c r="I2266">
        <v>0</v>
      </c>
      <c r="J2266" s="1">
        <v>10000</v>
      </c>
      <c r="K2266" s="1">
        <v>10000</v>
      </c>
    </row>
    <row r="2267" spans="1:11" x14ac:dyDescent="0.25">
      <c r="A2267" t="s">
        <v>1963</v>
      </c>
      <c r="B2267" t="s">
        <v>2716</v>
      </c>
      <c r="C2267" t="s">
        <v>16</v>
      </c>
      <c r="D2267" t="s">
        <v>4462</v>
      </c>
      <c r="E2267" t="s">
        <v>4458</v>
      </c>
      <c r="F2267" t="s">
        <v>2742</v>
      </c>
      <c r="G2267" s="2">
        <v>45407</v>
      </c>
      <c r="H2267">
        <v>0</v>
      </c>
      <c r="I2267">
        <v>0</v>
      </c>
      <c r="J2267" s="1">
        <v>10000</v>
      </c>
      <c r="K2267" s="1">
        <v>10000</v>
      </c>
    </row>
    <row r="2268" spans="1:11" x14ac:dyDescent="0.25">
      <c r="A2268" t="s">
        <v>1902</v>
      </c>
      <c r="B2268" t="s">
        <v>2705</v>
      </c>
      <c r="C2268" t="s">
        <v>42</v>
      </c>
      <c r="D2268" t="s">
        <v>4467</v>
      </c>
      <c r="E2268" t="s">
        <v>4435</v>
      </c>
      <c r="F2268" t="s">
        <v>2742</v>
      </c>
      <c r="G2268" s="2">
        <v>45413</v>
      </c>
      <c r="H2268">
        <v>0</v>
      </c>
      <c r="I2268">
        <v>0</v>
      </c>
      <c r="J2268" s="1">
        <v>10000</v>
      </c>
      <c r="K2268" s="1">
        <v>10000</v>
      </c>
    </row>
    <row r="2269" spans="1:11" x14ac:dyDescent="0.25">
      <c r="A2269" t="s">
        <v>1904</v>
      </c>
      <c r="B2269" t="s">
        <v>2733</v>
      </c>
      <c r="C2269" t="s">
        <v>16</v>
      </c>
      <c r="D2269" t="s">
        <v>4465</v>
      </c>
      <c r="E2269" t="s">
        <v>4448</v>
      </c>
      <c r="F2269" t="s">
        <v>2742</v>
      </c>
      <c r="G2269" s="2">
        <v>45413</v>
      </c>
      <c r="H2269">
        <v>0</v>
      </c>
      <c r="I2269">
        <v>0</v>
      </c>
      <c r="J2269" s="1">
        <v>10000</v>
      </c>
      <c r="K2269" s="1">
        <v>10000</v>
      </c>
    </row>
    <row r="2270" spans="1:11" x14ac:dyDescent="0.25">
      <c r="A2270" t="s">
        <v>1907</v>
      </c>
      <c r="B2270" t="s">
        <v>2707</v>
      </c>
      <c r="C2270" t="s">
        <v>16</v>
      </c>
      <c r="D2270" t="s">
        <v>4462</v>
      </c>
      <c r="E2270" t="s">
        <v>4433</v>
      </c>
      <c r="F2270" t="s">
        <v>2742</v>
      </c>
      <c r="G2270" s="2">
        <v>45413</v>
      </c>
      <c r="H2270">
        <v>0</v>
      </c>
      <c r="I2270">
        <v>0</v>
      </c>
      <c r="J2270" s="1">
        <v>10000</v>
      </c>
      <c r="K2270" s="1">
        <v>10000</v>
      </c>
    </row>
    <row r="2271" spans="1:11" x14ac:dyDescent="0.25">
      <c r="A2271" t="s">
        <v>1900</v>
      </c>
      <c r="B2271" t="s">
        <v>2719</v>
      </c>
      <c r="C2271" t="s">
        <v>16</v>
      </c>
      <c r="D2271" t="s">
        <v>4466</v>
      </c>
      <c r="E2271" t="s">
        <v>4430</v>
      </c>
      <c r="F2271" t="s">
        <v>2742</v>
      </c>
      <c r="G2271" s="2">
        <v>45414</v>
      </c>
      <c r="H2271">
        <v>0</v>
      </c>
      <c r="I2271">
        <v>0</v>
      </c>
      <c r="J2271" s="1">
        <v>10000</v>
      </c>
      <c r="K2271" s="1">
        <v>10000</v>
      </c>
    </row>
    <row r="2272" spans="1:11" x14ac:dyDescent="0.25">
      <c r="A2272" t="s">
        <v>1886</v>
      </c>
      <c r="B2272" t="s">
        <v>2736</v>
      </c>
      <c r="C2272" t="s">
        <v>16</v>
      </c>
      <c r="D2272" t="s">
        <v>4461</v>
      </c>
      <c r="E2272" t="s">
        <v>4459</v>
      </c>
      <c r="F2272" t="s">
        <v>2742</v>
      </c>
      <c r="G2272" s="2">
        <v>45415</v>
      </c>
      <c r="H2272">
        <v>0</v>
      </c>
      <c r="I2272">
        <v>0</v>
      </c>
      <c r="J2272" s="1">
        <v>10000</v>
      </c>
      <c r="K2272" s="1">
        <v>10000</v>
      </c>
    </row>
    <row r="2273" spans="1:11" x14ac:dyDescent="0.25">
      <c r="A2273" t="s">
        <v>1887</v>
      </c>
      <c r="B2273" t="s">
        <v>2724</v>
      </c>
      <c r="C2273" t="s">
        <v>16</v>
      </c>
      <c r="D2273" t="s">
        <v>4462</v>
      </c>
      <c r="E2273" t="s">
        <v>4451</v>
      </c>
      <c r="F2273" t="s">
        <v>2742</v>
      </c>
      <c r="G2273" s="2">
        <v>45415</v>
      </c>
      <c r="H2273">
        <v>0</v>
      </c>
      <c r="I2273">
        <v>0</v>
      </c>
      <c r="J2273" s="1">
        <v>10000</v>
      </c>
      <c r="K2273" s="1">
        <v>10000</v>
      </c>
    </row>
    <row r="2274" spans="1:11" x14ac:dyDescent="0.25">
      <c r="A2274" t="s">
        <v>1893</v>
      </c>
      <c r="B2274" t="s">
        <v>2699</v>
      </c>
      <c r="C2274" t="s">
        <v>16</v>
      </c>
      <c r="D2274" t="s">
        <v>4462</v>
      </c>
      <c r="E2274" t="s">
        <v>4440</v>
      </c>
      <c r="F2274" t="s">
        <v>2742</v>
      </c>
      <c r="G2274" s="2">
        <v>45415</v>
      </c>
      <c r="H2274">
        <v>0</v>
      </c>
      <c r="I2274">
        <v>0</v>
      </c>
      <c r="J2274" s="1">
        <v>10000</v>
      </c>
      <c r="K2274" s="1">
        <v>10000</v>
      </c>
    </row>
    <row r="2275" spans="1:11" x14ac:dyDescent="0.25">
      <c r="A2275" t="s">
        <v>1878</v>
      </c>
      <c r="B2275" t="s">
        <v>2717</v>
      </c>
      <c r="C2275" t="s">
        <v>16</v>
      </c>
      <c r="D2275" t="s">
        <v>4466</v>
      </c>
      <c r="E2275" t="s">
        <v>4431</v>
      </c>
      <c r="F2275" t="s">
        <v>2742</v>
      </c>
      <c r="G2275" s="2">
        <v>45416</v>
      </c>
      <c r="H2275">
        <v>0</v>
      </c>
      <c r="I2275">
        <v>0</v>
      </c>
      <c r="J2275" s="1">
        <v>10000</v>
      </c>
      <c r="K2275" s="1">
        <v>10000</v>
      </c>
    </row>
    <row r="2276" spans="1:11" x14ac:dyDescent="0.25">
      <c r="A2276" t="s">
        <v>1870</v>
      </c>
      <c r="B2276" t="s">
        <v>2722</v>
      </c>
      <c r="C2276" t="s">
        <v>16</v>
      </c>
      <c r="D2276" t="s">
        <v>4462</v>
      </c>
      <c r="E2276" t="s">
        <v>4446</v>
      </c>
      <c r="F2276" t="s">
        <v>2742</v>
      </c>
      <c r="G2276" s="2">
        <v>45418</v>
      </c>
      <c r="H2276">
        <v>0</v>
      </c>
      <c r="I2276">
        <v>0</v>
      </c>
      <c r="J2276" s="1">
        <v>10000</v>
      </c>
      <c r="K2276" s="1">
        <v>10000</v>
      </c>
    </row>
    <row r="2277" spans="1:11" x14ac:dyDescent="0.25">
      <c r="A2277" t="s">
        <v>1872</v>
      </c>
      <c r="B2277" t="s">
        <v>2710</v>
      </c>
      <c r="C2277" t="s">
        <v>42</v>
      </c>
      <c r="D2277" t="s">
        <v>4467</v>
      </c>
      <c r="E2277" t="s">
        <v>4436</v>
      </c>
      <c r="F2277" t="s">
        <v>2742</v>
      </c>
      <c r="G2277" s="2">
        <v>45418</v>
      </c>
      <c r="H2277">
        <v>0</v>
      </c>
      <c r="I2277">
        <v>0</v>
      </c>
      <c r="J2277" s="1">
        <v>10000</v>
      </c>
      <c r="K2277" s="1">
        <v>10000</v>
      </c>
    </row>
    <row r="2278" spans="1:11" x14ac:dyDescent="0.25">
      <c r="A2278" t="s">
        <v>1865</v>
      </c>
      <c r="B2278" t="s">
        <v>2700</v>
      </c>
      <c r="C2278" t="s">
        <v>27</v>
      </c>
      <c r="D2278" t="s">
        <v>4466</v>
      </c>
      <c r="E2278" t="s">
        <v>4450</v>
      </c>
      <c r="F2278" t="s">
        <v>2742</v>
      </c>
      <c r="G2278" s="2">
        <v>45419</v>
      </c>
      <c r="H2278">
        <v>0</v>
      </c>
      <c r="I2278">
        <v>0</v>
      </c>
      <c r="J2278" s="1">
        <v>10000</v>
      </c>
      <c r="K2278" s="1">
        <v>10000</v>
      </c>
    </row>
    <row r="2279" spans="1:11" x14ac:dyDescent="0.25">
      <c r="A2279" t="s">
        <v>1867</v>
      </c>
      <c r="B2279" t="s">
        <v>2717</v>
      </c>
      <c r="C2279" t="s">
        <v>16</v>
      </c>
      <c r="D2279" t="s">
        <v>4466</v>
      </c>
      <c r="E2279" t="s">
        <v>4431</v>
      </c>
      <c r="F2279" t="s">
        <v>2742</v>
      </c>
      <c r="G2279" s="2">
        <v>45419</v>
      </c>
      <c r="H2279">
        <v>0</v>
      </c>
      <c r="I2279">
        <v>0</v>
      </c>
      <c r="J2279" s="1">
        <v>10000</v>
      </c>
      <c r="K2279" s="1">
        <v>10000</v>
      </c>
    </row>
    <row r="2280" spans="1:11" x14ac:dyDescent="0.25">
      <c r="A2280" t="s">
        <v>1848</v>
      </c>
      <c r="B2280" t="s">
        <v>2701</v>
      </c>
      <c r="C2280" t="s">
        <v>16</v>
      </c>
      <c r="D2280" t="s">
        <v>4466</v>
      </c>
      <c r="E2280" t="s">
        <v>4453</v>
      </c>
      <c r="F2280" t="s">
        <v>2742</v>
      </c>
      <c r="G2280" s="2">
        <v>45420</v>
      </c>
      <c r="H2280">
        <v>0</v>
      </c>
      <c r="I2280">
        <v>0</v>
      </c>
      <c r="J2280" s="1">
        <v>10000</v>
      </c>
      <c r="K2280" s="1">
        <v>10000</v>
      </c>
    </row>
    <row r="2281" spans="1:11" x14ac:dyDescent="0.25">
      <c r="A2281" t="s">
        <v>1861</v>
      </c>
      <c r="B2281" t="s">
        <v>2729</v>
      </c>
      <c r="C2281" t="s">
        <v>16</v>
      </c>
      <c r="D2281" t="s">
        <v>4465</v>
      </c>
      <c r="E2281" t="s">
        <v>4427</v>
      </c>
      <c r="F2281" t="s">
        <v>2742</v>
      </c>
      <c r="G2281" s="2">
        <v>45420</v>
      </c>
      <c r="H2281">
        <v>0</v>
      </c>
      <c r="I2281">
        <v>0</v>
      </c>
      <c r="J2281" s="1">
        <v>10000</v>
      </c>
      <c r="K2281" s="1">
        <v>10000</v>
      </c>
    </row>
    <row r="2282" spans="1:11" x14ac:dyDescent="0.25">
      <c r="A2282" t="s">
        <v>1864</v>
      </c>
      <c r="B2282" t="s">
        <v>4472</v>
      </c>
      <c r="C2282" t="s">
        <v>16</v>
      </c>
      <c r="D2282" t="s">
        <v>4461</v>
      </c>
      <c r="E2282" t="s">
        <v>4373</v>
      </c>
      <c r="F2282" t="s">
        <v>2742</v>
      </c>
      <c r="G2282" s="2">
        <v>45420</v>
      </c>
      <c r="H2282">
        <v>0</v>
      </c>
      <c r="I2282">
        <v>0</v>
      </c>
      <c r="J2282" s="1">
        <v>10000</v>
      </c>
      <c r="K2282" s="1">
        <v>20000</v>
      </c>
    </row>
    <row r="2283" spans="1:11" x14ac:dyDescent="0.25">
      <c r="A2283" t="s">
        <v>1816</v>
      </c>
      <c r="B2283" t="s">
        <v>2718</v>
      </c>
      <c r="C2283" t="s">
        <v>16</v>
      </c>
      <c r="D2283" t="s">
        <v>4466</v>
      </c>
      <c r="E2283" t="s">
        <v>4438</v>
      </c>
      <c r="F2283" t="s">
        <v>2742</v>
      </c>
      <c r="G2283" s="2">
        <v>45425</v>
      </c>
      <c r="H2283">
        <v>0</v>
      </c>
      <c r="I2283">
        <v>0</v>
      </c>
      <c r="J2283" s="1">
        <v>10000</v>
      </c>
      <c r="K2283" s="1">
        <v>10000</v>
      </c>
    </row>
    <row r="2284" spans="1:11" x14ac:dyDescent="0.25">
      <c r="A2284" t="s">
        <v>1815</v>
      </c>
      <c r="B2284" t="s">
        <v>2731</v>
      </c>
      <c r="C2284" t="s">
        <v>16</v>
      </c>
      <c r="D2284" t="s">
        <v>4465</v>
      </c>
      <c r="E2284" t="s">
        <v>4460</v>
      </c>
      <c r="F2284" t="s">
        <v>2742</v>
      </c>
      <c r="G2284" s="2">
        <v>45426</v>
      </c>
      <c r="H2284">
        <v>0</v>
      </c>
      <c r="I2284">
        <v>0</v>
      </c>
      <c r="J2284" s="1">
        <v>10000</v>
      </c>
      <c r="K2284" s="1">
        <v>10000</v>
      </c>
    </row>
    <row r="2285" spans="1:11" x14ac:dyDescent="0.25">
      <c r="A2285" t="s">
        <v>1798</v>
      </c>
      <c r="B2285" t="s">
        <v>2698</v>
      </c>
      <c r="C2285" t="s">
        <v>16</v>
      </c>
      <c r="D2285" t="s">
        <v>4465</v>
      </c>
      <c r="E2285" t="s">
        <v>4442</v>
      </c>
      <c r="F2285" t="s">
        <v>2742</v>
      </c>
      <c r="G2285" s="2">
        <v>45428</v>
      </c>
      <c r="H2285">
        <v>0</v>
      </c>
      <c r="I2285">
        <v>0</v>
      </c>
      <c r="J2285" s="1">
        <v>10000</v>
      </c>
      <c r="K2285" s="1">
        <v>10000</v>
      </c>
    </row>
    <row r="2286" spans="1:11" x14ac:dyDescent="0.25">
      <c r="A2286" t="s">
        <v>1750</v>
      </c>
      <c r="B2286" t="s">
        <v>2723</v>
      </c>
      <c r="C2286" t="s">
        <v>16</v>
      </c>
      <c r="D2286" t="s">
        <v>4462</v>
      </c>
      <c r="E2286" t="s">
        <v>4443</v>
      </c>
      <c r="F2286" t="s">
        <v>2742</v>
      </c>
      <c r="G2286" s="2">
        <v>45432</v>
      </c>
      <c r="H2286">
        <v>0</v>
      </c>
      <c r="I2286">
        <v>0</v>
      </c>
      <c r="J2286" s="1">
        <v>10000</v>
      </c>
      <c r="K2286" s="1">
        <v>10000</v>
      </c>
    </row>
    <row r="2287" spans="1:11" x14ac:dyDescent="0.25">
      <c r="A2287" t="s">
        <v>1765</v>
      </c>
      <c r="B2287" t="s">
        <v>2727</v>
      </c>
      <c r="C2287" t="s">
        <v>16</v>
      </c>
      <c r="D2287" t="s">
        <v>4465</v>
      </c>
      <c r="E2287" t="s">
        <v>4445</v>
      </c>
      <c r="F2287" t="s">
        <v>2742</v>
      </c>
      <c r="G2287" s="2">
        <v>45432</v>
      </c>
      <c r="H2287">
        <v>0</v>
      </c>
      <c r="I2287">
        <v>0</v>
      </c>
      <c r="J2287" s="1">
        <v>10000</v>
      </c>
      <c r="K2287" s="1">
        <v>10000</v>
      </c>
    </row>
    <row r="2288" spans="1:11" x14ac:dyDescent="0.25">
      <c r="A2288" t="s">
        <v>1767</v>
      </c>
      <c r="B2288" t="s">
        <v>2726</v>
      </c>
      <c r="C2288" t="s">
        <v>16</v>
      </c>
      <c r="D2288" t="s">
        <v>4466</v>
      </c>
      <c r="E2288" t="s">
        <v>4437</v>
      </c>
      <c r="F2288" t="s">
        <v>2742</v>
      </c>
      <c r="G2288" s="2">
        <v>45432</v>
      </c>
      <c r="H2288">
        <v>0</v>
      </c>
      <c r="I2288">
        <v>0</v>
      </c>
      <c r="J2288" s="1">
        <v>10000</v>
      </c>
      <c r="K2288" s="1">
        <v>10000</v>
      </c>
    </row>
    <row r="2289" spans="1:11" x14ac:dyDescent="0.25">
      <c r="A2289" t="s">
        <v>1739</v>
      </c>
      <c r="B2289" t="s">
        <v>2711</v>
      </c>
      <c r="C2289" t="s">
        <v>16</v>
      </c>
      <c r="D2289" t="s">
        <v>4461</v>
      </c>
      <c r="E2289" t="s">
        <v>4447</v>
      </c>
      <c r="F2289" t="s">
        <v>2742</v>
      </c>
      <c r="G2289" s="2">
        <v>45434</v>
      </c>
      <c r="H2289">
        <v>0</v>
      </c>
      <c r="I2289">
        <v>0</v>
      </c>
      <c r="J2289" s="1">
        <v>10000</v>
      </c>
      <c r="K2289" s="1">
        <v>10000</v>
      </c>
    </row>
    <row r="2290" spans="1:11" x14ac:dyDescent="0.25">
      <c r="A2290" t="s">
        <v>1719</v>
      </c>
      <c r="B2290" t="s">
        <v>2712</v>
      </c>
      <c r="C2290" t="s">
        <v>16</v>
      </c>
      <c r="D2290" t="s">
        <v>4461</v>
      </c>
      <c r="E2290" t="s">
        <v>4449</v>
      </c>
      <c r="F2290" t="s">
        <v>2742</v>
      </c>
      <c r="G2290" s="2">
        <v>45436</v>
      </c>
      <c r="H2290">
        <v>0</v>
      </c>
      <c r="I2290">
        <v>0</v>
      </c>
      <c r="J2290" s="1">
        <v>10000</v>
      </c>
      <c r="K2290" s="1">
        <v>10000</v>
      </c>
    </row>
    <row r="2291" spans="1:11" x14ac:dyDescent="0.25">
      <c r="A2291" t="s">
        <v>1705</v>
      </c>
      <c r="B2291" t="s">
        <v>2708</v>
      </c>
      <c r="C2291" t="s">
        <v>16</v>
      </c>
      <c r="D2291" t="s">
        <v>4466</v>
      </c>
      <c r="E2291" t="s">
        <v>4457</v>
      </c>
      <c r="F2291" t="s">
        <v>2742</v>
      </c>
      <c r="G2291" s="2">
        <v>45437</v>
      </c>
      <c r="H2291">
        <v>0</v>
      </c>
      <c r="I2291">
        <v>0</v>
      </c>
      <c r="J2291" s="1">
        <v>10000</v>
      </c>
      <c r="K2291" s="1">
        <v>10000</v>
      </c>
    </row>
    <row r="2292" spans="1:11" x14ac:dyDescent="0.25">
      <c r="A2292" t="s">
        <v>1694</v>
      </c>
      <c r="B2292" t="s">
        <v>2716</v>
      </c>
      <c r="C2292" t="s">
        <v>16</v>
      </c>
      <c r="D2292" t="s">
        <v>4462</v>
      </c>
      <c r="E2292" t="s">
        <v>4458</v>
      </c>
      <c r="F2292" t="s">
        <v>2742</v>
      </c>
      <c r="G2292" s="2">
        <v>45439</v>
      </c>
      <c r="H2292">
        <v>0</v>
      </c>
      <c r="I2292">
        <v>0</v>
      </c>
      <c r="J2292" s="1">
        <v>10000</v>
      </c>
      <c r="K2292" s="1">
        <v>10000</v>
      </c>
    </row>
    <row r="2293" spans="1:11" x14ac:dyDescent="0.25">
      <c r="A2293" t="s">
        <v>1674</v>
      </c>
      <c r="B2293" t="s">
        <v>2735</v>
      </c>
      <c r="C2293" t="s">
        <v>16</v>
      </c>
      <c r="D2293" t="s">
        <v>4462</v>
      </c>
      <c r="E2293" t="s">
        <v>4426</v>
      </c>
      <c r="F2293" t="s">
        <v>2742</v>
      </c>
      <c r="G2293" s="2">
        <v>45441</v>
      </c>
      <c r="H2293">
        <v>0</v>
      </c>
      <c r="I2293">
        <v>0</v>
      </c>
      <c r="J2293" s="1">
        <v>10000</v>
      </c>
      <c r="K2293" s="1">
        <v>10000</v>
      </c>
    </row>
    <row r="2294" spans="1:11" x14ac:dyDescent="0.25">
      <c r="A2294" t="s">
        <v>1663</v>
      </c>
      <c r="B2294" t="s">
        <v>2719</v>
      </c>
      <c r="C2294" t="s">
        <v>16</v>
      </c>
      <c r="D2294" t="s">
        <v>4466</v>
      </c>
      <c r="E2294" t="s">
        <v>4430</v>
      </c>
      <c r="F2294" t="s">
        <v>2742</v>
      </c>
      <c r="G2294" s="2">
        <v>45443</v>
      </c>
      <c r="H2294">
        <v>0</v>
      </c>
      <c r="I2294">
        <v>0</v>
      </c>
      <c r="J2294" s="1">
        <v>10000</v>
      </c>
      <c r="K2294" s="1">
        <v>10000</v>
      </c>
    </row>
    <row r="2295" spans="1:11" x14ac:dyDescent="0.25">
      <c r="A2295" t="s">
        <v>1641</v>
      </c>
      <c r="B2295" t="s">
        <v>2707</v>
      </c>
      <c r="C2295" t="s">
        <v>16</v>
      </c>
      <c r="D2295" t="s">
        <v>4462</v>
      </c>
      <c r="E2295" t="s">
        <v>4433</v>
      </c>
      <c r="F2295" t="s">
        <v>2742</v>
      </c>
      <c r="G2295" s="2">
        <v>45444</v>
      </c>
      <c r="H2295">
        <v>0</v>
      </c>
      <c r="I2295">
        <v>0</v>
      </c>
      <c r="J2295" s="1">
        <v>10000</v>
      </c>
      <c r="K2295" s="1">
        <v>10000</v>
      </c>
    </row>
    <row r="2296" spans="1:11" x14ac:dyDescent="0.25">
      <c r="A2296" t="s">
        <v>1645</v>
      </c>
      <c r="B2296" t="s">
        <v>2717</v>
      </c>
      <c r="C2296" t="s">
        <v>16</v>
      </c>
      <c r="D2296" t="s">
        <v>4466</v>
      </c>
      <c r="E2296" t="s">
        <v>4431</v>
      </c>
      <c r="F2296" t="s">
        <v>2742</v>
      </c>
      <c r="G2296" s="2">
        <v>45444</v>
      </c>
      <c r="H2296">
        <v>0</v>
      </c>
      <c r="I2296">
        <v>0</v>
      </c>
      <c r="J2296" s="1">
        <v>10000</v>
      </c>
      <c r="K2296" s="1">
        <v>10000</v>
      </c>
    </row>
    <row r="2297" spans="1:11" x14ac:dyDescent="0.25">
      <c r="A2297" t="s">
        <v>1646</v>
      </c>
      <c r="B2297" t="s">
        <v>2698</v>
      </c>
      <c r="C2297" t="s">
        <v>16</v>
      </c>
      <c r="D2297" t="s">
        <v>4465</v>
      </c>
      <c r="E2297" t="s">
        <v>4442</v>
      </c>
      <c r="F2297" t="s">
        <v>2742</v>
      </c>
      <c r="G2297" s="2">
        <v>45444</v>
      </c>
      <c r="H2297">
        <v>0</v>
      </c>
      <c r="I2297">
        <v>0</v>
      </c>
      <c r="J2297" s="1">
        <v>10000</v>
      </c>
      <c r="K2297" s="1">
        <v>10000</v>
      </c>
    </row>
    <row r="2298" spans="1:11" x14ac:dyDescent="0.25">
      <c r="A2298" t="s">
        <v>1654</v>
      </c>
      <c r="B2298" t="s">
        <v>2714</v>
      </c>
      <c r="C2298" t="s">
        <v>16</v>
      </c>
      <c r="D2298" t="s">
        <v>4466</v>
      </c>
      <c r="E2298" t="s">
        <v>4434</v>
      </c>
      <c r="F2298" t="s">
        <v>2742</v>
      </c>
      <c r="G2298" s="2">
        <v>45444</v>
      </c>
      <c r="H2298">
        <v>0</v>
      </c>
      <c r="I2298">
        <v>0</v>
      </c>
      <c r="J2298" s="1">
        <v>10000</v>
      </c>
      <c r="K2298" s="1">
        <v>10000</v>
      </c>
    </row>
    <row r="2299" spans="1:11" x14ac:dyDescent="0.25">
      <c r="A2299" t="s">
        <v>1655</v>
      </c>
      <c r="B2299" t="s">
        <v>2726</v>
      </c>
      <c r="C2299" t="s">
        <v>16</v>
      </c>
      <c r="D2299" t="s">
        <v>4466</v>
      </c>
      <c r="E2299" t="s">
        <v>4437</v>
      </c>
      <c r="F2299" t="s">
        <v>2742</v>
      </c>
      <c r="G2299" s="2">
        <v>45444</v>
      </c>
      <c r="H2299">
        <v>0</v>
      </c>
      <c r="I2299">
        <v>0</v>
      </c>
      <c r="J2299" s="1">
        <v>10000</v>
      </c>
      <c r="K2299" s="1">
        <v>10000</v>
      </c>
    </row>
    <row r="2300" spans="1:11" x14ac:dyDescent="0.25">
      <c r="A2300" t="s">
        <v>1644</v>
      </c>
      <c r="B2300" t="s">
        <v>2712</v>
      </c>
      <c r="C2300" t="s">
        <v>16</v>
      </c>
      <c r="D2300" t="s">
        <v>4461</v>
      </c>
      <c r="E2300" t="s">
        <v>4449</v>
      </c>
      <c r="F2300" t="s">
        <v>2742</v>
      </c>
      <c r="G2300" s="2">
        <v>45444</v>
      </c>
      <c r="H2300">
        <v>0</v>
      </c>
      <c r="I2300">
        <v>0</v>
      </c>
      <c r="J2300" s="1">
        <v>10000</v>
      </c>
      <c r="K2300" s="1">
        <v>10000</v>
      </c>
    </row>
    <row r="2301" spans="1:11" x14ac:dyDescent="0.25">
      <c r="A2301" t="s">
        <v>1654</v>
      </c>
      <c r="B2301" t="s">
        <v>2714</v>
      </c>
      <c r="C2301" t="s">
        <v>16</v>
      </c>
      <c r="D2301" t="s">
        <v>4466</v>
      </c>
      <c r="E2301" t="s">
        <v>4434</v>
      </c>
      <c r="F2301" t="s">
        <v>2742</v>
      </c>
      <c r="G2301" s="2">
        <v>45444</v>
      </c>
      <c r="H2301">
        <v>0</v>
      </c>
      <c r="I2301">
        <v>0</v>
      </c>
      <c r="J2301" s="1">
        <v>10000</v>
      </c>
      <c r="K2301" s="1">
        <v>10000</v>
      </c>
    </row>
    <row r="2302" spans="1:11" x14ac:dyDescent="0.25">
      <c r="A2302" t="s">
        <v>1636</v>
      </c>
      <c r="B2302" t="s">
        <v>2701</v>
      </c>
      <c r="C2302" t="s">
        <v>16</v>
      </c>
      <c r="D2302" t="s">
        <v>4466</v>
      </c>
      <c r="E2302" t="s">
        <v>4453</v>
      </c>
      <c r="F2302" t="s">
        <v>2742</v>
      </c>
      <c r="G2302" s="2">
        <v>45445</v>
      </c>
      <c r="H2302">
        <v>0</v>
      </c>
      <c r="I2302">
        <v>0</v>
      </c>
      <c r="J2302" s="1">
        <v>10000</v>
      </c>
      <c r="K2302" s="1">
        <v>10000</v>
      </c>
    </row>
    <row r="2303" spans="1:11" x14ac:dyDescent="0.25">
      <c r="A2303" t="s">
        <v>1633</v>
      </c>
      <c r="B2303" t="s">
        <v>2729</v>
      </c>
      <c r="C2303" t="s">
        <v>16</v>
      </c>
      <c r="D2303" t="s">
        <v>4465</v>
      </c>
      <c r="E2303" t="s">
        <v>4427</v>
      </c>
      <c r="F2303" t="s">
        <v>2742</v>
      </c>
      <c r="G2303" s="2">
        <v>45446</v>
      </c>
      <c r="H2303">
        <v>0</v>
      </c>
      <c r="I2303">
        <v>0</v>
      </c>
      <c r="J2303" s="1">
        <v>10000</v>
      </c>
      <c r="K2303" s="1">
        <v>10000</v>
      </c>
    </row>
    <row r="2304" spans="1:11" x14ac:dyDescent="0.25">
      <c r="A2304" t="s">
        <v>1634</v>
      </c>
      <c r="B2304" t="s">
        <v>2699</v>
      </c>
      <c r="C2304" t="s">
        <v>16</v>
      </c>
      <c r="D2304" t="s">
        <v>4462</v>
      </c>
      <c r="E2304" t="s">
        <v>4440</v>
      </c>
      <c r="F2304" t="s">
        <v>2742</v>
      </c>
      <c r="G2304" s="2">
        <v>45446</v>
      </c>
      <c r="H2304">
        <v>0</v>
      </c>
      <c r="I2304">
        <v>0</v>
      </c>
      <c r="J2304" s="1">
        <v>10000</v>
      </c>
      <c r="K2304" s="1">
        <v>10000</v>
      </c>
    </row>
    <row r="2305" spans="1:11" x14ac:dyDescent="0.25">
      <c r="A2305" t="s">
        <v>1609</v>
      </c>
      <c r="B2305" t="s">
        <v>2719</v>
      </c>
      <c r="C2305" t="s">
        <v>16</v>
      </c>
      <c r="D2305" t="s">
        <v>4466</v>
      </c>
      <c r="E2305" t="s">
        <v>4430</v>
      </c>
      <c r="F2305" t="s">
        <v>2742</v>
      </c>
      <c r="G2305" s="2">
        <v>45448</v>
      </c>
      <c r="H2305">
        <v>0</v>
      </c>
      <c r="I2305">
        <v>0</v>
      </c>
      <c r="J2305" s="1">
        <v>10000</v>
      </c>
      <c r="K2305" s="1">
        <v>10000</v>
      </c>
    </row>
    <row r="2306" spans="1:11" x14ac:dyDescent="0.25">
      <c r="A2306" t="s">
        <v>1611</v>
      </c>
      <c r="B2306" t="s">
        <v>2731</v>
      </c>
      <c r="C2306" t="s">
        <v>16</v>
      </c>
      <c r="D2306" t="s">
        <v>4465</v>
      </c>
      <c r="E2306" t="s">
        <v>4460</v>
      </c>
      <c r="F2306" t="s">
        <v>2742</v>
      </c>
      <c r="G2306" s="2">
        <v>45448</v>
      </c>
      <c r="H2306">
        <v>0</v>
      </c>
      <c r="I2306">
        <v>0</v>
      </c>
      <c r="J2306" s="1">
        <v>10000</v>
      </c>
      <c r="K2306" s="1">
        <v>10000</v>
      </c>
    </row>
    <row r="2307" spans="1:11" x14ac:dyDescent="0.25">
      <c r="A2307" t="s">
        <v>1612</v>
      </c>
      <c r="B2307" t="s">
        <v>2724</v>
      </c>
      <c r="C2307" t="s">
        <v>16</v>
      </c>
      <c r="D2307" t="s">
        <v>4462</v>
      </c>
      <c r="E2307" t="s">
        <v>4451</v>
      </c>
      <c r="F2307" t="s">
        <v>2742</v>
      </c>
      <c r="G2307" s="2">
        <v>45448</v>
      </c>
      <c r="H2307">
        <v>0</v>
      </c>
      <c r="I2307">
        <v>0</v>
      </c>
      <c r="J2307" s="1">
        <v>10000</v>
      </c>
      <c r="K2307" s="1">
        <v>10000</v>
      </c>
    </row>
    <row r="2308" spans="1:11" x14ac:dyDescent="0.25">
      <c r="A2308" t="s">
        <v>1618</v>
      </c>
      <c r="B2308" t="s">
        <v>2735</v>
      </c>
      <c r="C2308" t="s">
        <v>16</v>
      </c>
      <c r="D2308" t="s">
        <v>4462</v>
      </c>
      <c r="E2308" t="s">
        <v>4426</v>
      </c>
      <c r="F2308" t="s">
        <v>2742</v>
      </c>
      <c r="G2308" s="2">
        <v>45448</v>
      </c>
      <c r="H2308">
        <v>0</v>
      </c>
      <c r="I2308">
        <v>0</v>
      </c>
      <c r="J2308" s="1">
        <v>10000</v>
      </c>
      <c r="K2308" s="1">
        <v>10000</v>
      </c>
    </row>
    <row r="2309" spans="1:11" x14ac:dyDescent="0.25">
      <c r="A2309" t="s">
        <v>1622</v>
      </c>
      <c r="B2309" t="s">
        <v>2736</v>
      </c>
      <c r="C2309" t="s">
        <v>16</v>
      </c>
      <c r="D2309" t="s">
        <v>4461</v>
      </c>
      <c r="E2309" t="s">
        <v>4459</v>
      </c>
      <c r="F2309" t="s">
        <v>2742</v>
      </c>
      <c r="G2309" s="2">
        <v>45448</v>
      </c>
      <c r="H2309">
        <v>0</v>
      </c>
      <c r="I2309">
        <v>0</v>
      </c>
      <c r="J2309" s="1">
        <v>10000</v>
      </c>
      <c r="K2309" s="1">
        <v>10000</v>
      </c>
    </row>
    <row r="2310" spans="1:11" x14ac:dyDescent="0.25">
      <c r="A2310" t="s">
        <v>1623</v>
      </c>
      <c r="B2310" t="s">
        <v>2722</v>
      </c>
      <c r="C2310" t="s">
        <v>16</v>
      </c>
      <c r="D2310" t="s">
        <v>4462</v>
      </c>
      <c r="E2310" t="s">
        <v>4446</v>
      </c>
      <c r="F2310" t="s">
        <v>2742</v>
      </c>
      <c r="G2310" s="2">
        <v>45448</v>
      </c>
      <c r="H2310">
        <v>0</v>
      </c>
      <c r="I2310">
        <v>0</v>
      </c>
      <c r="J2310" s="1">
        <v>10000</v>
      </c>
      <c r="K2310" s="1">
        <v>10000</v>
      </c>
    </row>
    <row r="2311" spans="1:11" x14ac:dyDescent="0.25">
      <c r="A2311" t="s">
        <v>1625</v>
      </c>
      <c r="B2311" t="s">
        <v>2734</v>
      </c>
      <c r="C2311" t="s">
        <v>16</v>
      </c>
      <c r="D2311" t="s">
        <v>4461</v>
      </c>
      <c r="E2311" t="s">
        <v>4455</v>
      </c>
      <c r="F2311" t="s">
        <v>2742</v>
      </c>
      <c r="G2311" s="2">
        <v>45448</v>
      </c>
      <c r="H2311">
        <v>0</v>
      </c>
      <c r="I2311">
        <v>0</v>
      </c>
      <c r="J2311" s="1">
        <v>10000</v>
      </c>
      <c r="K2311" s="1">
        <v>10000</v>
      </c>
    </row>
    <row r="2312" spans="1:11" x14ac:dyDescent="0.25">
      <c r="A2312" t="s">
        <v>1626</v>
      </c>
      <c r="B2312" t="s">
        <v>2721</v>
      </c>
      <c r="C2312" t="s">
        <v>16</v>
      </c>
      <c r="D2312" t="s">
        <v>4466</v>
      </c>
      <c r="E2312" t="s">
        <v>4438</v>
      </c>
      <c r="F2312" t="s">
        <v>2742</v>
      </c>
      <c r="G2312" s="2">
        <v>45448</v>
      </c>
      <c r="H2312">
        <v>0</v>
      </c>
      <c r="I2312">
        <v>0</v>
      </c>
      <c r="J2312" s="1">
        <v>10000</v>
      </c>
      <c r="K2312" s="1">
        <v>10000</v>
      </c>
    </row>
    <row r="2313" spans="1:11" x14ac:dyDescent="0.25">
      <c r="A2313" t="s">
        <v>1625</v>
      </c>
      <c r="B2313" t="s">
        <v>2734</v>
      </c>
      <c r="C2313" t="s">
        <v>16</v>
      </c>
      <c r="D2313" t="s">
        <v>4461</v>
      </c>
      <c r="E2313" t="s">
        <v>4455</v>
      </c>
      <c r="F2313" t="s">
        <v>2742</v>
      </c>
      <c r="G2313" s="2">
        <v>45448</v>
      </c>
      <c r="H2313">
        <v>0</v>
      </c>
      <c r="I2313">
        <v>0</v>
      </c>
      <c r="J2313" s="1">
        <v>10000</v>
      </c>
      <c r="K2313" s="1">
        <v>10000</v>
      </c>
    </row>
    <row r="2314" spans="1:11" x14ac:dyDescent="0.25">
      <c r="A2314" t="s">
        <v>1626</v>
      </c>
      <c r="B2314" t="s">
        <v>2721</v>
      </c>
      <c r="C2314" t="s">
        <v>16</v>
      </c>
      <c r="D2314" t="s">
        <v>4466</v>
      </c>
      <c r="E2314" t="s">
        <v>4438</v>
      </c>
      <c r="F2314" t="s">
        <v>2742</v>
      </c>
      <c r="G2314" s="2">
        <v>45448</v>
      </c>
      <c r="H2314">
        <v>0</v>
      </c>
      <c r="I2314">
        <v>0</v>
      </c>
      <c r="J2314" s="1">
        <v>10000</v>
      </c>
      <c r="K2314" s="1">
        <v>10000</v>
      </c>
    </row>
    <row r="2315" spans="1:11" x14ac:dyDescent="0.25">
      <c r="A2315" t="s">
        <v>1598</v>
      </c>
      <c r="B2315" t="s">
        <v>2733</v>
      </c>
      <c r="C2315" t="s">
        <v>16</v>
      </c>
      <c r="D2315" t="s">
        <v>4465</v>
      </c>
      <c r="E2315" t="s">
        <v>4448</v>
      </c>
      <c r="F2315" t="s">
        <v>2742</v>
      </c>
      <c r="G2315" s="2">
        <v>45449</v>
      </c>
      <c r="H2315">
        <v>0</v>
      </c>
      <c r="I2315">
        <v>0</v>
      </c>
      <c r="J2315" s="1">
        <v>10000</v>
      </c>
      <c r="K2315" s="1">
        <v>10000</v>
      </c>
    </row>
    <row r="2316" spans="1:11" x14ac:dyDescent="0.25">
      <c r="A2316" t="s">
        <v>1591</v>
      </c>
      <c r="B2316" t="s">
        <v>2723</v>
      </c>
      <c r="C2316" t="s">
        <v>16</v>
      </c>
      <c r="D2316" t="s">
        <v>4462</v>
      </c>
      <c r="E2316" t="s">
        <v>4443</v>
      </c>
      <c r="F2316" t="s">
        <v>2742</v>
      </c>
      <c r="G2316" s="2">
        <v>45450</v>
      </c>
      <c r="H2316">
        <v>0</v>
      </c>
      <c r="I2316">
        <v>0</v>
      </c>
      <c r="J2316" s="1">
        <v>10000</v>
      </c>
      <c r="K2316" s="1">
        <v>10000</v>
      </c>
    </row>
    <row r="2317" spans="1:11" x14ac:dyDescent="0.25">
      <c r="A2317" t="s">
        <v>1592</v>
      </c>
      <c r="B2317" t="s">
        <v>2718</v>
      </c>
      <c r="C2317" t="s">
        <v>16</v>
      </c>
      <c r="D2317" t="s">
        <v>4466</v>
      </c>
      <c r="E2317" t="s">
        <v>4438</v>
      </c>
      <c r="F2317" t="s">
        <v>2742</v>
      </c>
      <c r="G2317" s="2">
        <v>45450</v>
      </c>
      <c r="H2317">
        <v>0</v>
      </c>
      <c r="I2317">
        <v>0</v>
      </c>
      <c r="J2317" s="1">
        <v>10000</v>
      </c>
      <c r="K2317" s="1">
        <v>10000</v>
      </c>
    </row>
    <row r="2318" spans="1:11" x14ac:dyDescent="0.25">
      <c r="A2318" t="s">
        <v>1536</v>
      </c>
      <c r="B2318" t="s">
        <v>2708</v>
      </c>
      <c r="C2318" t="s">
        <v>16</v>
      </c>
      <c r="D2318" t="s">
        <v>4466</v>
      </c>
      <c r="E2318" t="s">
        <v>4457</v>
      </c>
      <c r="F2318" t="s">
        <v>2742</v>
      </c>
      <c r="G2318" s="2">
        <v>45459</v>
      </c>
      <c r="H2318">
        <v>0</v>
      </c>
      <c r="I2318">
        <v>0</v>
      </c>
      <c r="J2318" s="1">
        <v>10000</v>
      </c>
      <c r="K2318" s="1">
        <v>10000</v>
      </c>
    </row>
    <row r="2319" spans="1:11" x14ac:dyDescent="0.25">
      <c r="A2319" t="s">
        <v>1517</v>
      </c>
      <c r="B2319" t="s">
        <v>2721</v>
      </c>
      <c r="C2319" t="s">
        <v>16</v>
      </c>
      <c r="D2319" t="s">
        <v>4466</v>
      </c>
      <c r="E2319" t="s">
        <v>4438</v>
      </c>
      <c r="F2319" t="s">
        <v>2742</v>
      </c>
      <c r="G2319" s="2">
        <v>45463</v>
      </c>
      <c r="H2319">
        <v>0</v>
      </c>
      <c r="I2319">
        <v>0</v>
      </c>
      <c r="J2319" s="1">
        <v>10000</v>
      </c>
      <c r="K2319" s="1">
        <v>10000</v>
      </c>
    </row>
    <row r="2320" spans="1:11" x14ac:dyDescent="0.25">
      <c r="A2320" t="s">
        <v>1495</v>
      </c>
      <c r="B2320" t="s">
        <v>2712</v>
      </c>
      <c r="C2320" t="s">
        <v>16</v>
      </c>
      <c r="D2320" t="s">
        <v>4461</v>
      </c>
      <c r="E2320" t="s">
        <v>4449</v>
      </c>
      <c r="F2320" t="s">
        <v>2742</v>
      </c>
      <c r="G2320" s="2">
        <v>45464</v>
      </c>
      <c r="H2320">
        <v>0</v>
      </c>
      <c r="I2320">
        <v>0</v>
      </c>
      <c r="J2320" s="1">
        <v>10000</v>
      </c>
      <c r="K2320" s="1">
        <v>10000</v>
      </c>
    </row>
    <row r="2321" spans="1:11" x14ac:dyDescent="0.25">
      <c r="A2321" t="s">
        <v>1503</v>
      </c>
      <c r="B2321" t="s">
        <v>2711</v>
      </c>
      <c r="C2321" t="s">
        <v>16</v>
      </c>
      <c r="D2321" t="s">
        <v>4461</v>
      </c>
      <c r="E2321" t="s">
        <v>4447</v>
      </c>
      <c r="F2321" t="s">
        <v>2742</v>
      </c>
      <c r="G2321" s="2">
        <v>45464</v>
      </c>
      <c r="H2321">
        <v>0</v>
      </c>
      <c r="I2321">
        <v>0</v>
      </c>
      <c r="J2321" s="1">
        <v>10000</v>
      </c>
      <c r="K2321" s="1">
        <v>10000</v>
      </c>
    </row>
    <row r="2322" spans="1:11" x14ac:dyDescent="0.25">
      <c r="A2322" t="s">
        <v>1463</v>
      </c>
      <c r="B2322" t="s">
        <v>2727</v>
      </c>
      <c r="C2322" t="s">
        <v>16</v>
      </c>
      <c r="D2322" t="s">
        <v>4465</v>
      </c>
      <c r="E2322" t="s">
        <v>4445</v>
      </c>
      <c r="F2322" t="s">
        <v>2742</v>
      </c>
      <c r="G2322" s="2">
        <v>45469</v>
      </c>
      <c r="H2322">
        <v>0</v>
      </c>
      <c r="I2322">
        <v>0</v>
      </c>
      <c r="J2322" s="1">
        <v>10000</v>
      </c>
      <c r="K2322" s="1">
        <v>10000</v>
      </c>
    </row>
    <row r="2323" spans="1:11" x14ac:dyDescent="0.25">
      <c r="A2323" t="s">
        <v>1415</v>
      </c>
      <c r="B2323" t="s">
        <v>2726</v>
      </c>
      <c r="C2323" t="s">
        <v>16</v>
      </c>
      <c r="D2323" t="s">
        <v>4466</v>
      </c>
      <c r="E2323" t="s">
        <v>4437</v>
      </c>
      <c r="F2323" t="s">
        <v>2742</v>
      </c>
      <c r="G2323" s="2">
        <v>45474</v>
      </c>
      <c r="H2323">
        <v>0</v>
      </c>
      <c r="I2323">
        <v>0</v>
      </c>
      <c r="J2323" s="1">
        <v>10000</v>
      </c>
      <c r="K2323" s="1">
        <v>10000</v>
      </c>
    </row>
    <row r="2324" spans="1:11" x14ac:dyDescent="0.25">
      <c r="A2324" t="s">
        <v>1421</v>
      </c>
      <c r="B2324" t="s">
        <v>2714</v>
      </c>
      <c r="C2324" t="s">
        <v>16</v>
      </c>
      <c r="D2324" t="s">
        <v>4466</v>
      </c>
      <c r="E2324" t="s">
        <v>4434</v>
      </c>
      <c r="F2324" t="s">
        <v>2742</v>
      </c>
      <c r="G2324" s="2">
        <v>45474</v>
      </c>
      <c r="H2324">
        <v>0</v>
      </c>
      <c r="I2324">
        <v>0</v>
      </c>
      <c r="J2324" s="1">
        <v>10000</v>
      </c>
      <c r="K2324" s="1">
        <v>10000</v>
      </c>
    </row>
    <row r="2325" spans="1:11" x14ac:dyDescent="0.25">
      <c r="A2325" t="s">
        <v>1422</v>
      </c>
      <c r="B2325" t="s">
        <v>2698</v>
      </c>
      <c r="C2325" t="s">
        <v>16</v>
      </c>
      <c r="D2325" t="s">
        <v>4465</v>
      </c>
      <c r="E2325" t="s">
        <v>4442</v>
      </c>
      <c r="F2325" t="s">
        <v>2742</v>
      </c>
      <c r="G2325" s="2">
        <v>45474</v>
      </c>
      <c r="H2325">
        <v>0</v>
      </c>
      <c r="I2325">
        <v>0</v>
      </c>
      <c r="J2325" s="1">
        <v>10000</v>
      </c>
      <c r="K2325" s="1">
        <v>10000</v>
      </c>
    </row>
    <row r="2326" spans="1:11" x14ac:dyDescent="0.25">
      <c r="A2326" t="s">
        <v>1424</v>
      </c>
      <c r="B2326" t="s">
        <v>2717</v>
      </c>
      <c r="C2326" t="s">
        <v>16</v>
      </c>
      <c r="D2326" t="s">
        <v>4466</v>
      </c>
      <c r="E2326" t="s">
        <v>4431</v>
      </c>
      <c r="F2326" t="s">
        <v>2742</v>
      </c>
      <c r="G2326" s="2">
        <v>45474</v>
      </c>
      <c r="H2326">
        <v>0</v>
      </c>
      <c r="I2326">
        <v>0</v>
      </c>
      <c r="J2326" s="1">
        <v>10000</v>
      </c>
      <c r="K2326" s="1">
        <v>10000</v>
      </c>
    </row>
    <row r="2327" spans="1:11" x14ac:dyDescent="0.25">
      <c r="A2327" t="s">
        <v>1425</v>
      </c>
      <c r="B2327" t="s">
        <v>2707</v>
      </c>
      <c r="C2327" t="s">
        <v>16</v>
      </c>
      <c r="D2327" t="s">
        <v>4462</v>
      </c>
      <c r="E2327" t="s">
        <v>4433</v>
      </c>
      <c r="F2327" t="s">
        <v>2742</v>
      </c>
      <c r="G2327" s="2">
        <v>45474</v>
      </c>
      <c r="H2327">
        <v>0</v>
      </c>
      <c r="I2327">
        <v>0</v>
      </c>
      <c r="J2327" s="1">
        <v>10000</v>
      </c>
      <c r="K2327" s="1">
        <v>10000</v>
      </c>
    </row>
    <row r="2328" spans="1:11" x14ac:dyDescent="0.25">
      <c r="A2328" t="s">
        <v>1426</v>
      </c>
      <c r="B2328" t="s">
        <v>2733</v>
      </c>
      <c r="C2328" t="s">
        <v>16</v>
      </c>
      <c r="D2328" t="s">
        <v>4465</v>
      </c>
      <c r="E2328" t="s">
        <v>4448</v>
      </c>
      <c r="F2328" t="s">
        <v>2742</v>
      </c>
      <c r="G2328" s="2">
        <v>45474</v>
      </c>
      <c r="H2328">
        <v>0</v>
      </c>
      <c r="I2328">
        <v>0</v>
      </c>
      <c r="J2328" s="1">
        <v>10000</v>
      </c>
      <c r="K2328" s="1">
        <v>10000</v>
      </c>
    </row>
    <row r="2329" spans="1:11" x14ac:dyDescent="0.25">
      <c r="A2329" t="s">
        <v>1394</v>
      </c>
      <c r="B2329" t="s">
        <v>2701</v>
      </c>
      <c r="C2329" t="s">
        <v>16</v>
      </c>
      <c r="D2329" t="s">
        <v>4466</v>
      </c>
      <c r="E2329" t="s">
        <v>4453</v>
      </c>
      <c r="F2329" t="s">
        <v>2742</v>
      </c>
      <c r="G2329" s="2">
        <v>45476</v>
      </c>
      <c r="H2329">
        <v>0</v>
      </c>
      <c r="I2329">
        <v>0</v>
      </c>
      <c r="J2329" s="1">
        <v>10000</v>
      </c>
      <c r="K2329" s="1">
        <v>10000</v>
      </c>
    </row>
    <row r="2330" spans="1:11" x14ac:dyDescent="0.25">
      <c r="A2330" t="s">
        <v>1375</v>
      </c>
      <c r="B2330" t="s">
        <v>2719</v>
      </c>
      <c r="C2330" t="s">
        <v>16</v>
      </c>
      <c r="D2330" t="s">
        <v>4466</v>
      </c>
      <c r="E2330" t="s">
        <v>4430</v>
      </c>
      <c r="F2330" t="s">
        <v>2742</v>
      </c>
      <c r="G2330" s="2">
        <v>45477</v>
      </c>
      <c r="H2330">
        <v>0</v>
      </c>
      <c r="I2330">
        <v>0</v>
      </c>
      <c r="J2330" s="1">
        <v>10000</v>
      </c>
      <c r="K2330" s="1">
        <v>10000</v>
      </c>
    </row>
    <row r="2331" spans="1:11" x14ac:dyDescent="0.25">
      <c r="A2331" t="s">
        <v>1379</v>
      </c>
      <c r="B2331" t="s">
        <v>2722</v>
      </c>
      <c r="C2331" t="s">
        <v>16</v>
      </c>
      <c r="D2331" t="s">
        <v>4462</v>
      </c>
      <c r="E2331" t="s">
        <v>4446</v>
      </c>
      <c r="F2331" t="s">
        <v>2742</v>
      </c>
      <c r="G2331" s="2">
        <v>45477</v>
      </c>
      <c r="H2331">
        <v>0</v>
      </c>
      <c r="I2331">
        <v>0</v>
      </c>
      <c r="J2331" s="1">
        <v>10000</v>
      </c>
      <c r="K2331" s="1">
        <v>10000</v>
      </c>
    </row>
    <row r="2332" spans="1:11" x14ac:dyDescent="0.25">
      <c r="A2332" t="s">
        <v>1383</v>
      </c>
      <c r="B2332" t="s">
        <v>2721</v>
      </c>
      <c r="C2332" t="s">
        <v>16</v>
      </c>
      <c r="D2332" t="s">
        <v>4466</v>
      </c>
      <c r="E2332" t="s">
        <v>4438</v>
      </c>
      <c r="F2332" t="s">
        <v>2742</v>
      </c>
      <c r="G2332" s="2">
        <v>45477</v>
      </c>
      <c r="H2332">
        <v>0</v>
      </c>
      <c r="I2332">
        <v>0</v>
      </c>
      <c r="J2332" s="1">
        <v>10000</v>
      </c>
      <c r="K2332" s="1">
        <v>10000</v>
      </c>
    </row>
    <row r="2333" spans="1:11" x14ac:dyDescent="0.25">
      <c r="A2333" t="s">
        <v>1385</v>
      </c>
      <c r="B2333" t="s">
        <v>2735</v>
      </c>
      <c r="C2333" t="s">
        <v>16</v>
      </c>
      <c r="D2333" t="s">
        <v>4462</v>
      </c>
      <c r="E2333" t="s">
        <v>4426</v>
      </c>
      <c r="F2333" t="s">
        <v>2742</v>
      </c>
      <c r="G2333" s="2">
        <v>45477</v>
      </c>
      <c r="H2333">
        <v>0</v>
      </c>
      <c r="I2333">
        <v>0</v>
      </c>
      <c r="J2333" s="1">
        <v>10000</v>
      </c>
      <c r="K2333" s="1">
        <v>10000</v>
      </c>
    </row>
    <row r="2334" spans="1:11" x14ac:dyDescent="0.25">
      <c r="A2334" t="s">
        <v>1387</v>
      </c>
      <c r="B2334" t="s">
        <v>4472</v>
      </c>
      <c r="C2334" t="s">
        <v>16</v>
      </c>
      <c r="D2334" t="s">
        <v>4461</v>
      </c>
      <c r="E2334" t="s">
        <v>4373</v>
      </c>
      <c r="F2334" t="s">
        <v>2742</v>
      </c>
      <c r="G2334" s="2">
        <v>45477</v>
      </c>
      <c r="H2334">
        <v>0</v>
      </c>
      <c r="I2334">
        <v>0</v>
      </c>
      <c r="J2334" s="1">
        <v>10000</v>
      </c>
      <c r="K2334" s="1">
        <v>30000</v>
      </c>
    </row>
    <row r="2335" spans="1:11" x14ac:dyDescent="0.25">
      <c r="A2335" t="s">
        <v>1368</v>
      </c>
      <c r="B2335" t="s">
        <v>2724</v>
      </c>
      <c r="C2335" t="s">
        <v>16</v>
      </c>
      <c r="D2335" t="s">
        <v>4462</v>
      </c>
      <c r="E2335" t="s">
        <v>4451</v>
      </c>
      <c r="F2335" t="s">
        <v>2742</v>
      </c>
      <c r="G2335" s="2">
        <v>45478</v>
      </c>
      <c r="H2335">
        <v>0</v>
      </c>
      <c r="I2335">
        <v>0</v>
      </c>
      <c r="J2335" s="1">
        <v>10000</v>
      </c>
      <c r="K2335" s="1">
        <v>10000</v>
      </c>
    </row>
    <row r="2336" spans="1:11" x14ac:dyDescent="0.25">
      <c r="A2336" t="s">
        <v>1371</v>
      </c>
      <c r="B2336" t="s">
        <v>2736</v>
      </c>
      <c r="C2336" t="s">
        <v>16</v>
      </c>
      <c r="D2336" t="s">
        <v>4461</v>
      </c>
      <c r="E2336" t="s">
        <v>4459</v>
      </c>
      <c r="F2336" t="s">
        <v>2742</v>
      </c>
      <c r="G2336" s="2">
        <v>45478</v>
      </c>
      <c r="H2336">
        <v>0</v>
      </c>
      <c r="I2336">
        <v>0</v>
      </c>
      <c r="J2336" s="1">
        <v>10000</v>
      </c>
      <c r="K2336" s="1">
        <v>10000</v>
      </c>
    </row>
    <row r="2337" spans="1:11" x14ac:dyDescent="0.25">
      <c r="A2337" t="s">
        <v>1373</v>
      </c>
      <c r="B2337" t="s">
        <v>2718</v>
      </c>
      <c r="C2337" t="s">
        <v>16</v>
      </c>
      <c r="D2337" t="s">
        <v>4466</v>
      </c>
      <c r="E2337" t="s">
        <v>4438</v>
      </c>
      <c r="F2337" t="s">
        <v>2742</v>
      </c>
      <c r="G2337" s="2">
        <v>45478</v>
      </c>
      <c r="H2337">
        <v>0</v>
      </c>
      <c r="I2337">
        <v>0</v>
      </c>
      <c r="J2337" s="1">
        <v>10000</v>
      </c>
      <c r="K2337" s="1">
        <v>10000</v>
      </c>
    </row>
    <row r="2338" spans="1:11" x14ac:dyDescent="0.25">
      <c r="A2338" t="s">
        <v>1370</v>
      </c>
      <c r="B2338" t="s">
        <v>2734</v>
      </c>
      <c r="C2338" t="s">
        <v>16</v>
      </c>
      <c r="D2338" t="s">
        <v>4461</v>
      </c>
      <c r="E2338" t="s">
        <v>4455</v>
      </c>
      <c r="F2338" t="s">
        <v>2742</v>
      </c>
      <c r="G2338" s="2">
        <v>45478</v>
      </c>
      <c r="H2338">
        <v>0</v>
      </c>
      <c r="I2338">
        <v>0</v>
      </c>
      <c r="J2338" s="1">
        <v>10000</v>
      </c>
      <c r="K2338" s="1">
        <v>10000</v>
      </c>
    </row>
    <row r="2339" spans="1:11" x14ac:dyDescent="0.25">
      <c r="A2339" t="s">
        <v>1361</v>
      </c>
      <c r="B2339" t="s">
        <v>2712</v>
      </c>
      <c r="C2339" t="s">
        <v>16</v>
      </c>
      <c r="D2339" t="s">
        <v>4461</v>
      </c>
      <c r="E2339" t="s">
        <v>4449</v>
      </c>
      <c r="F2339" t="s">
        <v>2742</v>
      </c>
      <c r="G2339" s="2">
        <v>45481</v>
      </c>
      <c r="H2339">
        <v>0</v>
      </c>
      <c r="I2339">
        <v>0</v>
      </c>
      <c r="J2339" s="1">
        <v>10000</v>
      </c>
      <c r="K2339" s="1">
        <v>10000</v>
      </c>
    </row>
    <row r="2340" spans="1:11" x14ac:dyDescent="0.25">
      <c r="A2340" t="s">
        <v>1328</v>
      </c>
      <c r="B2340" t="s">
        <v>2731</v>
      </c>
      <c r="C2340" t="s">
        <v>16</v>
      </c>
      <c r="D2340" t="s">
        <v>4465</v>
      </c>
      <c r="E2340" t="s">
        <v>4460</v>
      </c>
      <c r="F2340" t="s">
        <v>2742</v>
      </c>
      <c r="G2340" s="2">
        <v>45487</v>
      </c>
      <c r="H2340">
        <v>0</v>
      </c>
      <c r="I2340">
        <v>0</v>
      </c>
      <c r="J2340" s="1">
        <v>10000</v>
      </c>
      <c r="K2340" s="1">
        <v>10000</v>
      </c>
    </row>
    <row r="2341" spans="1:11" x14ac:dyDescent="0.25">
      <c r="A2341" t="s">
        <v>1323</v>
      </c>
      <c r="B2341" t="s">
        <v>2699</v>
      </c>
      <c r="C2341" t="s">
        <v>16</v>
      </c>
      <c r="D2341" t="s">
        <v>4462</v>
      </c>
      <c r="E2341" t="s">
        <v>4440</v>
      </c>
      <c r="F2341" t="s">
        <v>2742</v>
      </c>
      <c r="G2341" s="2">
        <v>45488</v>
      </c>
      <c r="H2341">
        <v>0</v>
      </c>
      <c r="I2341">
        <v>0</v>
      </c>
      <c r="J2341" s="1">
        <v>10000</v>
      </c>
      <c r="K2341" s="1">
        <v>10000</v>
      </c>
    </row>
    <row r="2342" spans="1:11" x14ac:dyDescent="0.25">
      <c r="A2342" t="s">
        <v>1325</v>
      </c>
      <c r="B2342" t="s">
        <v>2729</v>
      </c>
      <c r="C2342" t="s">
        <v>16</v>
      </c>
      <c r="D2342" t="s">
        <v>4465</v>
      </c>
      <c r="E2342" t="s">
        <v>4427</v>
      </c>
      <c r="F2342" t="s">
        <v>2742</v>
      </c>
      <c r="G2342" s="2">
        <v>45488</v>
      </c>
      <c r="H2342">
        <v>0</v>
      </c>
      <c r="I2342">
        <v>0</v>
      </c>
      <c r="J2342" s="1">
        <v>10000</v>
      </c>
      <c r="K2342" s="1">
        <v>10000</v>
      </c>
    </row>
    <row r="2343" spans="1:11" x14ac:dyDescent="0.25">
      <c r="A2343" t="s">
        <v>1312</v>
      </c>
      <c r="B2343" t="s">
        <v>2723</v>
      </c>
      <c r="C2343" t="s">
        <v>16</v>
      </c>
      <c r="D2343" t="s">
        <v>4462</v>
      </c>
      <c r="E2343" t="s">
        <v>4443</v>
      </c>
      <c r="F2343" t="s">
        <v>2742</v>
      </c>
      <c r="G2343" s="2">
        <v>45490</v>
      </c>
      <c r="H2343">
        <v>0</v>
      </c>
      <c r="I2343">
        <v>0</v>
      </c>
      <c r="J2343" s="1">
        <v>10000</v>
      </c>
      <c r="K2343" s="1">
        <v>10000</v>
      </c>
    </row>
    <row r="2344" spans="1:11" x14ac:dyDescent="0.25">
      <c r="A2344" t="s">
        <v>1258</v>
      </c>
      <c r="B2344" t="s">
        <v>2711</v>
      </c>
      <c r="C2344" t="s">
        <v>16</v>
      </c>
      <c r="D2344" t="s">
        <v>4461</v>
      </c>
      <c r="E2344" t="s">
        <v>4447</v>
      </c>
      <c r="F2344" t="s">
        <v>2742</v>
      </c>
      <c r="G2344" s="2">
        <v>45495</v>
      </c>
      <c r="H2344">
        <v>0</v>
      </c>
      <c r="I2344">
        <v>0</v>
      </c>
      <c r="J2344" s="1">
        <v>10000</v>
      </c>
      <c r="K2344" s="1">
        <v>10000</v>
      </c>
    </row>
    <row r="2345" spans="1:11" x14ac:dyDescent="0.25">
      <c r="A2345" t="s">
        <v>1240</v>
      </c>
      <c r="B2345" t="s">
        <v>2708</v>
      </c>
      <c r="C2345" t="s">
        <v>16</v>
      </c>
      <c r="D2345" t="s">
        <v>4466</v>
      </c>
      <c r="E2345" t="s">
        <v>4457</v>
      </c>
      <c r="F2345" t="s">
        <v>2742</v>
      </c>
      <c r="G2345" s="2">
        <v>45499</v>
      </c>
      <c r="H2345">
        <v>0</v>
      </c>
      <c r="I2345">
        <v>0</v>
      </c>
      <c r="J2345" s="1">
        <v>10000</v>
      </c>
      <c r="K2345" s="1">
        <v>10000</v>
      </c>
    </row>
    <row r="2346" spans="1:11" x14ac:dyDescent="0.25">
      <c r="A2346" t="s">
        <v>1232</v>
      </c>
      <c r="B2346" t="s">
        <v>2727</v>
      </c>
      <c r="C2346" t="s">
        <v>16</v>
      </c>
      <c r="D2346" t="s">
        <v>4465</v>
      </c>
      <c r="E2346" t="s">
        <v>4445</v>
      </c>
      <c r="F2346" t="s">
        <v>2742</v>
      </c>
      <c r="G2346" s="2">
        <v>45500</v>
      </c>
      <c r="H2346">
        <v>0</v>
      </c>
      <c r="I2346">
        <v>0</v>
      </c>
      <c r="J2346" s="1">
        <v>10000</v>
      </c>
      <c r="K2346" s="1">
        <v>10000</v>
      </c>
    </row>
    <row r="2347" spans="1:11" x14ac:dyDescent="0.25">
      <c r="A2347" t="s">
        <v>1210</v>
      </c>
      <c r="B2347" t="s">
        <v>2716</v>
      </c>
      <c r="C2347" t="s">
        <v>16</v>
      </c>
      <c r="D2347" t="s">
        <v>4462</v>
      </c>
      <c r="E2347" t="s">
        <v>4458</v>
      </c>
      <c r="F2347" t="s">
        <v>2742</v>
      </c>
      <c r="G2347" s="2">
        <v>45503</v>
      </c>
      <c r="H2347">
        <v>0</v>
      </c>
      <c r="I2347">
        <v>0</v>
      </c>
      <c r="J2347" s="1">
        <v>10000</v>
      </c>
      <c r="K2347" s="1">
        <v>10000</v>
      </c>
    </row>
    <row r="2348" spans="1:11" x14ac:dyDescent="0.25">
      <c r="A2348" t="s">
        <v>1190</v>
      </c>
      <c r="B2348" t="s">
        <v>2707</v>
      </c>
      <c r="C2348" t="s">
        <v>16</v>
      </c>
      <c r="D2348" t="s">
        <v>4462</v>
      </c>
      <c r="E2348" t="s">
        <v>4433</v>
      </c>
      <c r="F2348" t="s">
        <v>2742</v>
      </c>
      <c r="G2348" s="2">
        <v>45505</v>
      </c>
      <c r="H2348">
        <v>0</v>
      </c>
      <c r="I2348">
        <v>0</v>
      </c>
      <c r="J2348" s="1">
        <v>10000</v>
      </c>
      <c r="K2348" s="1">
        <v>10000</v>
      </c>
    </row>
    <row r="2349" spans="1:11" x14ac:dyDescent="0.25">
      <c r="A2349" t="s">
        <v>1178</v>
      </c>
      <c r="B2349" t="s">
        <v>2712</v>
      </c>
      <c r="C2349" t="s">
        <v>16</v>
      </c>
      <c r="D2349" t="s">
        <v>4461</v>
      </c>
      <c r="E2349" t="s">
        <v>4449</v>
      </c>
      <c r="F2349" t="s">
        <v>2742</v>
      </c>
      <c r="G2349" s="2">
        <v>45506</v>
      </c>
      <c r="H2349">
        <v>0</v>
      </c>
      <c r="I2349">
        <v>0</v>
      </c>
      <c r="J2349" s="1">
        <v>10000</v>
      </c>
      <c r="K2349" s="1">
        <v>10000</v>
      </c>
    </row>
    <row r="2350" spans="1:11" x14ac:dyDescent="0.25">
      <c r="A2350" t="s">
        <v>1179</v>
      </c>
      <c r="B2350" t="s">
        <v>2735</v>
      </c>
      <c r="C2350" t="s">
        <v>16</v>
      </c>
      <c r="D2350" t="s">
        <v>4462</v>
      </c>
      <c r="E2350" t="s">
        <v>4426</v>
      </c>
      <c r="F2350" t="s">
        <v>2742</v>
      </c>
      <c r="G2350" s="2">
        <v>45506</v>
      </c>
      <c r="H2350">
        <v>0</v>
      </c>
      <c r="I2350">
        <v>0</v>
      </c>
      <c r="J2350" s="1">
        <v>10000</v>
      </c>
      <c r="K2350" s="1">
        <v>10000</v>
      </c>
    </row>
    <row r="2351" spans="1:11" x14ac:dyDescent="0.25">
      <c r="A2351" t="s">
        <v>1181</v>
      </c>
      <c r="B2351" t="s">
        <v>2726</v>
      </c>
      <c r="C2351" t="s">
        <v>16</v>
      </c>
      <c r="D2351" t="s">
        <v>4466</v>
      </c>
      <c r="E2351" t="s">
        <v>4437</v>
      </c>
      <c r="F2351" t="s">
        <v>2742</v>
      </c>
      <c r="G2351" s="2">
        <v>45506</v>
      </c>
      <c r="H2351">
        <v>0</v>
      </c>
      <c r="I2351">
        <v>0</v>
      </c>
      <c r="J2351" s="1">
        <v>10000</v>
      </c>
      <c r="K2351" s="1">
        <v>10000</v>
      </c>
    </row>
    <row r="2352" spans="1:11" x14ac:dyDescent="0.25">
      <c r="A2352" t="s">
        <v>1183</v>
      </c>
      <c r="B2352" t="s">
        <v>2698</v>
      </c>
      <c r="C2352" t="s">
        <v>16</v>
      </c>
      <c r="D2352" t="s">
        <v>4465</v>
      </c>
      <c r="E2352" t="s">
        <v>4442</v>
      </c>
      <c r="F2352" t="s">
        <v>2742</v>
      </c>
      <c r="G2352" s="2">
        <v>45506</v>
      </c>
      <c r="H2352">
        <v>0</v>
      </c>
      <c r="I2352">
        <v>0</v>
      </c>
      <c r="J2352" s="1">
        <v>10000</v>
      </c>
      <c r="K2352" s="1">
        <v>10000</v>
      </c>
    </row>
    <row r="2353" spans="1:11" x14ac:dyDescent="0.25">
      <c r="A2353" t="s">
        <v>1162</v>
      </c>
      <c r="B2353" t="s">
        <v>2733</v>
      </c>
      <c r="C2353" t="s">
        <v>16</v>
      </c>
      <c r="D2353" t="s">
        <v>4465</v>
      </c>
      <c r="E2353" t="s">
        <v>4448</v>
      </c>
      <c r="F2353" t="s">
        <v>2742</v>
      </c>
      <c r="G2353" s="2">
        <v>45507</v>
      </c>
      <c r="H2353">
        <v>0</v>
      </c>
      <c r="I2353">
        <v>0</v>
      </c>
      <c r="J2353" s="1">
        <v>10000</v>
      </c>
      <c r="K2353" s="1">
        <v>10000</v>
      </c>
    </row>
    <row r="2354" spans="1:11" x14ac:dyDescent="0.25">
      <c r="A2354" t="s">
        <v>1164</v>
      </c>
      <c r="B2354" t="s">
        <v>2719</v>
      </c>
      <c r="C2354" t="s">
        <v>16</v>
      </c>
      <c r="D2354" t="s">
        <v>4466</v>
      </c>
      <c r="E2354" t="s">
        <v>4430</v>
      </c>
      <c r="F2354" t="s">
        <v>2742</v>
      </c>
      <c r="G2354" s="2">
        <v>45507</v>
      </c>
      <c r="H2354">
        <v>0</v>
      </c>
      <c r="I2354">
        <v>0</v>
      </c>
      <c r="J2354" s="1">
        <v>10000</v>
      </c>
      <c r="K2354" s="1">
        <v>10000</v>
      </c>
    </row>
    <row r="2355" spans="1:11" x14ac:dyDescent="0.25">
      <c r="A2355" t="s">
        <v>1151</v>
      </c>
      <c r="B2355" t="s">
        <v>2725</v>
      </c>
      <c r="C2355" t="s">
        <v>16</v>
      </c>
      <c r="D2355" t="s">
        <v>4465</v>
      </c>
      <c r="E2355" t="s">
        <v>4429</v>
      </c>
      <c r="F2355" t="s">
        <v>2742</v>
      </c>
      <c r="G2355" s="2">
        <v>45508</v>
      </c>
      <c r="H2355">
        <v>0</v>
      </c>
      <c r="I2355">
        <v>0</v>
      </c>
      <c r="J2355" s="1">
        <v>10000</v>
      </c>
      <c r="K2355" s="1">
        <v>20000</v>
      </c>
    </row>
    <row r="2356" spans="1:11" x14ac:dyDescent="0.25">
      <c r="A2356" t="s">
        <v>1151</v>
      </c>
      <c r="B2356" t="s">
        <v>2725</v>
      </c>
      <c r="C2356" t="s">
        <v>16</v>
      </c>
      <c r="D2356" t="s">
        <v>4465</v>
      </c>
      <c r="E2356" t="s">
        <v>4429</v>
      </c>
      <c r="F2356" t="s">
        <v>2742</v>
      </c>
      <c r="G2356" s="2">
        <v>45508</v>
      </c>
      <c r="H2356">
        <v>0</v>
      </c>
      <c r="I2356">
        <v>0</v>
      </c>
      <c r="J2356" s="1">
        <v>10000</v>
      </c>
      <c r="K2356" s="1">
        <v>10000</v>
      </c>
    </row>
    <row r="2357" spans="1:11" x14ac:dyDescent="0.25">
      <c r="A2357" t="s">
        <v>1148</v>
      </c>
      <c r="B2357" t="s">
        <v>2717</v>
      </c>
      <c r="C2357" t="s">
        <v>16</v>
      </c>
      <c r="D2357" t="s">
        <v>4466</v>
      </c>
      <c r="E2357" t="s">
        <v>4431</v>
      </c>
      <c r="F2357" t="s">
        <v>2742</v>
      </c>
      <c r="G2357" s="2">
        <v>45510</v>
      </c>
      <c r="H2357">
        <v>0</v>
      </c>
      <c r="I2357">
        <v>0</v>
      </c>
      <c r="J2357" s="1">
        <v>10000</v>
      </c>
      <c r="K2357" s="1">
        <v>10000</v>
      </c>
    </row>
    <row r="2358" spans="1:11" x14ac:dyDescent="0.25">
      <c r="A2358" t="s">
        <v>1136</v>
      </c>
      <c r="B2358" t="s">
        <v>2724</v>
      </c>
      <c r="C2358" t="s">
        <v>16</v>
      </c>
      <c r="D2358" t="s">
        <v>4462</v>
      </c>
      <c r="E2358" t="s">
        <v>4451</v>
      </c>
      <c r="F2358" t="s">
        <v>2742</v>
      </c>
      <c r="G2358" s="2">
        <v>45511</v>
      </c>
      <c r="H2358">
        <v>0</v>
      </c>
      <c r="I2358">
        <v>0</v>
      </c>
      <c r="J2358" s="1">
        <v>10000</v>
      </c>
      <c r="K2358" s="1">
        <v>10000</v>
      </c>
    </row>
    <row r="2359" spans="1:11" x14ac:dyDescent="0.25">
      <c r="A2359" t="s">
        <v>1142</v>
      </c>
      <c r="B2359" t="s">
        <v>2701</v>
      </c>
      <c r="C2359" t="s">
        <v>16</v>
      </c>
      <c r="D2359" t="s">
        <v>4466</v>
      </c>
      <c r="E2359" t="s">
        <v>4453</v>
      </c>
      <c r="F2359" t="s">
        <v>2742</v>
      </c>
      <c r="G2359" s="2">
        <v>45511</v>
      </c>
      <c r="H2359">
        <v>0</v>
      </c>
      <c r="I2359">
        <v>0</v>
      </c>
      <c r="J2359" s="1">
        <v>10000</v>
      </c>
      <c r="K2359" s="1">
        <v>10000</v>
      </c>
    </row>
    <row r="2360" spans="1:11" x14ac:dyDescent="0.25">
      <c r="A2360" t="s">
        <v>1124</v>
      </c>
      <c r="B2360" t="s">
        <v>2731</v>
      </c>
      <c r="C2360" t="s">
        <v>16</v>
      </c>
      <c r="D2360" t="s">
        <v>4465</v>
      </c>
      <c r="E2360" t="s">
        <v>4460</v>
      </c>
      <c r="F2360" t="s">
        <v>2742</v>
      </c>
      <c r="G2360" s="2">
        <v>45513</v>
      </c>
      <c r="H2360">
        <v>0</v>
      </c>
      <c r="I2360">
        <v>0</v>
      </c>
      <c r="J2360" s="1">
        <v>10000</v>
      </c>
      <c r="K2360" s="1">
        <v>10000</v>
      </c>
    </row>
    <row r="2361" spans="1:11" x14ac:dyDescent="0.25">
      <c r="A2361" t="s">
        <v>1087</v>
      </c>
      <c r="B2361" t="s">
        <v>2714</v>
      </c>
      <c r="C2361" t="s">
        <v>16</v>
      </c>
      <c r="D2361" t="s">
        <v>4466</v>
      </c>
      <c r="E2361" t="s">
        <v>4434</v>
      </c>
      <c r="F2361" t="s">
        <v>2742</v>
      </c>
      <c r="G2361" s="2">
        <v>45515</v>
      </c>
      <c r="H2361">
        <v>0</v>
      </c>
      <c r="I2361">
        <v>0</v>
      </c>
      <c r="J2361" s="1">
        <v>10000</v>
      </c>
      <c r="K2361" s="1">
        <v>10000</v>
      </c>
    </row>
    <row r="2362" spans="1:11" x14ac:dyDescent="0.25">
      <c r="A2362" t="s">
        <v>1089</v>
      </c>
      <c r="B2362" t="s">
        <v>2722</v>
      </c>
      <c r="C2362" t="s">
        <v>16</v>
      </c>
      <c r="D2362" t="s">
        <v>4462</v>
      </c>
      <c r="E2362" t="s">
        <v>4446</v>
      </c>
      <c r="F2362" t="s">
        <v>2742</v>
      </c>
      <c r="G2362" s="2">
        <v>45515</v>
      </c>
      <c r="H2362">
        <v>0</v>
      </c>
      <c r="I2362">
        <v>0</v>
      </c>
      <c r="J2362" s="1">
        <v>10000</v>
      </c>
      <c r="K2362" s="1">
        <v>10000</v>
      </c>
    </row>
    <row r="2363" spans="1:11" x14ac:dyDescent="0.25">
      <c r="A2363" t="s">
        <v>1079</v>
      </c>
      <c r="B2363" t="s">
        <v>2723</v>
      </c>
      <c r="C2363" t="s">
        <v>16</v>
      </c>
      <c r="D2363" t="s">
        <v>4462</v>
      </c>
      <c r="E2363" t="s">
        <v>4443</v>
      </c>
      <c r="F2363" t="s">
        <v>2742</v>
      </c>
      <c r="G2363" s="2">
        <v>45517</v>
      </c>
      <c r="H2363">
        <v>0</v>
      </c>
      <c r="I2363">
        <v>0</v>
      </c>
      <c r="J2363" s="1">
        <v>10000</v>
      </c>
      <c r="K2363" s="1">
        <v>10000</v>
      </c>
    </row>
    <row r="2364" spans="1:11" x14ac:dyDescent="0.25">
      <c r="A2364" t="s">
        <v>1072</v>
      </c>
      <c r="B2364" t="s">
        <v>2729</v>
      </c>
      <c r="C2364" t="s">
        <v>16</v>
      </c>
      <c r="D2364" t="s">
        <v>4465</v>
      </c>
      <c r="E2364" t="s">
        <v>4427</v>
      </c>
      <c r="F2364" t="s">
        <v>2742</v>
      </c>
      <c r="G2364" s="2">
        <v>45518</v>
      </c>
      <c r="H2364">
        <v>0</v>
      </c>
      <c r="I2364">
        <v>0</v>
      </c>
      <c r="J2364" s="1">
        <v>10000</v>
      </c>
      <c r="K2364" s="1">
        <v>10000</v>
      </c>
    </row>
    <row r="2365" spans="1:11" x14ac:dyDescent="0.25">
      <c r="A2365" t="s">
        <v>1037</v>
      </c>
      <c r="B2365" t="s">
        <v>2699</v>
      </c>
      <c r="C2365" t="s">
        <v>16</v>
      </c>
      <c r="D2365" t="s">
        <v>4462</v>
      </c>
      <c r="E2365" t="s">
        <v>4440</v>
      </c>
      <c r="F2365" t="s">
        <v>2742</v>
      </c>
      <c r="G2365" s="2">
        <v>45525</v>
      </c>
      <c r="H2365">
        <v>0</v>
      </c>
      <c r="I2365">
        <v>0</v>
      </c>
      <c r="J2365" s="1">
        <v>10000</v>
      </c>
      <c r="K2365" s="1">
        <v>10000</v>
      </c>
    </row>
    <row r="2366" spans="1:11" x14ac:dyDescent="0.25">
      <c r="A2366" t="s">
        <v>1032</v>
      </c>
      <c r="B2366" t="s">
        <v>2711</v>
      </c>
      <c r="C2366" t="s">
        <v>16</v>
      </c>
      <c r="D2366" t="s">
        <v>4461</v>
      </c>
      <c r="E2366" t="s">
        <v>4447</v>
      </c>
      <c r="F2366" t="s">
        <v>2742</v>
      </c>
      <c r="G2366" s="2">
        <v>45526</v>
      </c>
      <c r="H2366">
        <v>0</v>
      </c>
      <c r="I2366">
        <v>0</v>
      </c>
      <c r="J2366" s="1">
        <v>10000</v>
      </c>
      <c r="K2366" s="1">
        <v>10000</v>
      </c>
    </row>
    <row r="2367" spans="1:11" x14ac:dyDescent="0.25">
      <c r="A2367" t="s">
        <v>1033</v>
      </c>
      <c r="B2367" t="s">
        <v>2718</v>
      </c>
      <c r="C2367" t="s">
        <v>16</v>
      </c>
      <c r="D2367" t="s">
        <v>4466</v>
      </c>
      <c r="E2367" t="s">
        <v>4438</v>
      </c>
      <c r="F2367" t="s">
        <v>2742</v>
      </c>
      <c r="G2367" s="2">
        <v>45526</v>
      </c>
      <c r="H2367">
        <v>0</v>
      </c>
      <c r="I2367">
        <v>0</v>
      </c>
      <c r="J2367" s="1">
        <v>10000</v>
      </c>
      <c r="K2367" s="1">
        <v>10000</v>
      </c>
    </row>
    <row r="2368" spans="1:11" x14ac:dyDescent="0.25">
      <c r="A2368" t="s">
        <v>1026</v>
      </c>
      <c r="B2368" t="s">
        <v>2708</v>
      </c>
      <c r="C2368" t="s">
        <v>16</v>
      </c>
      <c r="D2368" t="s">
        <v>4466</v>
      </c>
      <c r="E2368" t="s">
        <v>4457</v>
      </c>
      <c r="F2368" t="s">
        <v>2742</v>
      </c>
      <c r="G2368" s="2">
        <v>45528</v>
      </c>
      <c r="H2368">
        <v>0</v>
      </c>
      <c r="I2368">
        <v>0</v>
      </c>
      <c r="J2368" s="1">
        <v>10000</v>
      </c>
      <c r="K2368" s="1">
        <v>10000</v>
      </c>
    </row>
    <row r="2369" spans="1:11" x14ac:dyDescent="0.25">
      <c r="A2369" t="s">
        <v>1004</v>
      </c>
      <c r="B2369" t="s">
        <v>2716</v>
      </c>
      <c r="C2369" t="s">
        <v>16</v>
      </c>
      <c r="D2369" t="s">
        <v>4462</v>
      </c>
      <c r="E2369" t="s">
        <v>4458</v>
      </c>
      <c r="F2369" t="s">
        <v>2742</v>
      </c>
      <c r="G2369" s="2">
        <v>45530</v>
      </c>
      <c r="H2369">
        <v>0</v>
      </c>
      <c r="I2369">
        <v>0</v>
      </c>
      <c r="J2369" s="1">
        <v>10000</v>
      </c>
      <c r="K2369" s="1">
        <v>10000</v>
      </c>
    </row>
    <row r="2370" spans="1:11" x14ac:dyDescent="0.25">
      <c r="A2370" t="s">
        <v>1008</v>
      </c>
      <c r="B2370" t="s">
        <v>2736</v>
      </c>
      <c r="C2370" t="s">
        <v>16</v>
      </c>
      <c r="D2370" t="s">
        <v>4461</v>
      </c>
      <c r="E2370" t="s">
        <v>4459</v>
      </c>
      <c r="F2370" t="s">
        <v>2742</v>
      </c>
      <c r="G2370" s="2">
        <v>45530</v>
      </c>
      <c r="H2370">
        <v>0</v>
      </c>
      <c r="I2370">
        <v>0</v>
      </c>
      <c r="J2370" s="1">
        <v>10000</v>
      </c>
      <c r="K2370" s="1">
        <v>10000</v>
      </c>
    </row>
    <row r="2371" spans="1:11" x14ac:dyDescent="0.25">
      <c r="A2371" t="s">
        <v>973</v>
      </c>
      <c r="B2371" t="s">
        <v>2721</v>
      </c>
      <c r="C2371" t="s">
        <v>16</v>
      </c>
      <c r="D2371" t="s">
        <v>4466</v>
      </c>
      <c r="E2371" t="s">
        <v>4438</v>
      </c>
      <c r="F2371" t="s">
        <v>2742</v>
      </c>
      <c r="G2371" s="2">
        <v>45532</v>
      </c>
      <c r="H2371">
        <v>0</v>
      </c>
      <c r="I2371">
        <v>0</v>
      </c>
      <c r="J2371" s="1">
        <v>10000</v>
      </c>
      <c r="K2371" s="1">
        <v>10000</v>
      </c>
    </row>
    <row r="2372" spans="1:11" x14ac:dyDescent="0.25">
      <c r="A2372" t="s">
        <v>988</v>
      </c>
      <c r="B2372" t="s">
        <v>2727</v>
      </c>
      <c r="C2372" t="s">
        <v>16</v>
      </c>
      <c r="D2372" t="s">
        <v>4465</v>
      </c>
      <c r="E2372" t="s">
        <v>4445</v>
      </c>
      <c r="F2372" t="s">
        <v>2742</v>
      </c>
      <c r="G2372" s="2">
        <v>45532</v>
      </c>
      <c r="H2372">
        <v>0</v>
      </c>
      <c r="I2372">
        <v>0</v>
      </c>
      <c r="J2372" s="1">
        <v>10000</v>
      </c>
      <c r="K2372" s="1">
        <v>10000</v>
      </c>
    </row>
    <row r="2373" spans="1:11" x14ac:dyDescent="0.25">
      <c r="A2373" t="s">
        <v>975</v>
      </c>
      <c r="B2373" t="s">
        <v>2721</v>
      </c>
      <c r="C2373" t="s">
        <v>16</v>
      </c>
      <c r="D2373" t="s">
        <v>4466</v>
      </c>
      <c r="E2373" t="s">
        <v>4438</v>
      </c>
      <c r="F2373" t="s">
        <v>2742</v>
      </c>
      <c r="G2373" s="2">
        <v>45532</v>
      </c>
      <c r="H2373">
        <v>0</v>
      </c>
      <c r="I2373">
        <v>0</v>
      </c>
      <c r="J2373" s="1">
        <v>10000</v>
      </c>
      <c r="K2373" s="1">
        <v>10000</v>
      </c>
    </row>
    <row r="2374" spans="1:11" x14ac:dyDescent="0.25">
      <c r="A2374" t="s">
        <v>949</v>
      </c>
      <c r="B2374" t="s">
        <v>2719</v>
      </c>
      <c r="C2374" t="s">
        <v>16</v>
      </c>
      <c r="D2374" t="s">
        <v>4466</v>
      </c>
      <c r="E2374" t="s">
        <v>4430</v>
      </c>
      <c r="F2374" t="s">
        <v>2742</v>
      </c>
      <c r="G2374" s="2">
        <v>45536</v>
      </c>
      <c r="H2374">
        <v>0</v>
      </c>
      <c r="I2374">
        <v>0</v>
      </c>
      <c r="J2374" s="1">
        <v>10000</v>
      </c>
      <c r="K2374" s="1">
        <v>10000</v>
      </c>
    </row>
    <row r="2375" spans="1:11" x14ac:dyDescent="0.25">
      <c r="A2375" t="s">
        <v>950</v>
      </c>
      <c r="B2375" t="s">
        <v>2733</v>
      </c>
      <c r="C2375" t="s">
        <v>16</v>
      </c>
      <c r="D2375" t="s">
        <v>4465</v>
      </c>
      <c r="E2375" t="s">
        <v>4448</v>
      </c>
      <c r="F2375" t="s">
        <v>2742</v>
      </c>
      <c r="G2375" s="2">
        <v>45536</v>
      </c>
      <c r="H2375">
        <v>0</v>
      </c>
      <c r="I2375">
        <v>0</v>
      </c>
      <c r="J2375" s="1">
        <v>10000</v>
      </c>
      <c r="K2375" s="1">
        <v>10000</v>
      </c>
    </row>
    <row r="2376" spans="1:11" x14ac:dyDescent="0.25">
      <c r="A2376" t="s">
        <v>951</v>
      </c>
      <c r="B2376" t="s">
        <v>2717</v>
      </c>
      <c r="C2376" t="s">
        <v>16</v>
      </c>
      <c r="D2376" t="s">
        <v>4466</v>
      </c>
      <c r="E2376" t="s">
        <v>4431</v>
      </c>
      <c r="F2376" t="s">
        <v>2742</v>
      </c>
      <c r="G2376" s="2">
        <v>45536</v>
      </c>
      <c r="H2376">
        <v>0</v>
      </c>
      <c r="I2376">
        <v>0</v>
      </c>
      <c r="J2376" s="1">
        <v>10000</v>
      </c>
      <c r="K2376" s="1">
        <v>10000</v>
      </c>
    </row>
    <row r="2377" spans="1:11" x14ac:dyDescent="0.25">
      <c r="A2377" t="s">
        <v>952</v>
      </c>
      <c r="B2377" t="s">
        <v>2712</v>
      </c>
      <c r="C2377" t="s">
        <v>16</v>
      </c>
      <c r="D2377" t="s">
        <v>4461</v>
      </c>
      <c r="E2377" t="s">
        <v>4449</v>
      </c>
      <c r="F2377" t="s">
        <v>2742</v>
      </c>
      <c r="G2377" s="2">
        <v>45536</v>
      </c>
      <c r="H2377">
        <v>0</v>
      </c>
      <c r="I2377">
        <v>0</v>
      </c>
      <c r="J2377" s="1">
        <v>10000</v>
      </c>
      <c r="K2377" s="1">
        <v>10000</v>
      </c>
    </row>
    <row r="2378" spans="1:11" x14ac:dyDescent="0.25">
      <c r="A2378" t="s">
        <v>945</v>
      </c>
      <c r="B2378" t="s">
        <v>2701</v>
      </c>
      <c r="C2378" t="s">
        <v>16</v>
      </c>
      <c r="D2378" t="s">
        <v>4466</v>
      </c>
      <c r="E2378" t="s">
        <v>4453</v>
      </c>
      <c r="F2378" t="s">
        <v>2742</v>
      </c>
      <c r="G2378" s="2">
        <v>45537</v>
      </c>
      <c r="H2378">
        <v>0</v>
      </c>
      <c r="I2378">
        <v>0</v>
      </c>
      <c r="J2378" s="1">
        <v>10000</v>
      </c>
      <c r="K2378" s="1">
        <v>10000</v>
      </c>
    </row>
    <row r="2379" spans="1:11" x14ac:dyDescent="0.25">
      <c r="A2379" t="s">
        <v>947</v>
      </c>
      <c r="B2379" t="s">
        <v>2726</v>
      </c>
      <c r="C2379" t="s">
        <v>16</v>
      </c>
      <c r="D2379" t="s">
        <v>4466</v>
      </c>
      <c r="E2379" t="s">
        <v>4437</v>
      </c>
      <c r="F2379" t="s">
        <v>2742</v>
      </c>
      <c r="G2379" s="2">
        <v>45537</v>
      </c>
      <c r="H2379">
        <v>0</v>
      </c>
      <c r="I2379">
        <v>0</v>
      </c>
      <c r="J2379" s="1">
        <v>10000</v>
      </c>
      <c r="K2379" s="1">
        <v>10000</v>
      </c>
    </row>
    <row r="2380" spans="1:11" x14ac:dyDescent="0.25">
      <c r="A2380" t="s">
        <v>948</v>
      </c>
      <c r="B2380" t="s">
        <v>2731</v>
      </c>
      <c r="C2380" t="s">
        <v>16</v>
      </c>
      <c r="D2380" t="s">
        <v>4465</v>
      </c>
      <c r="E2380" t="s">
        <v>4460</v>
      </c>
      <c r="F2380" t="s">
        <v>2742</v>
      </c>
      <c r="G2380" s="2">
        <v>45537</v>
      </c>
      <c r="H2380">
        <v>0</v>
      </c>
      <c r="I2380">
        <v>0</v>
      </c>
      <c r="J2380" s="1">
        <v>10000</v>
      </c>
      <c r="K2380" s="1">
        <v>10000</v>
      </c>
    </row>
    <row r="2381" spans="1:11" x14ac:dyDescent="0.25">
      <c r="A2381" t="s">
        <v>937</v>
      </c>
      <c r="B2381" t="s">
        <v>2698</v>
      </c>
      <c r="C2381" t="s">
        <v>16</v>
      </c>
      <c r="D2381" t="s">
        <v>4465</v>
      </c>
      <c r="E2381" t="s">
        <v>4442</v>
      </c>
      <c r="F2381" t="s">
        <v>2742</v>
      </c>
      <c r="G2381" s="2">
        <v>45538</v>
      </c>
      <c r="H2381">
        <v>0</v>
      </c>
      <c r="I2381">
        <v>0</v>
      </c>
      <c r="J2381" s="1">
        <v>10000</v>
      </c>
      <c r="K2381" s="1">
        <v>10000</v>
      </c>
    </row>
    <row r="2382" spans="1:11" x14ac:dyDescent="0.25">
      <c r="A2382" t="s">
        <v>941</v>
      </c>
      <c r="B2382" t="s">
        <v>2707</v>
      </c>
      <c r="C2382" t="s">
        <v>16</v>
      </c>
      <c r="D2382" t="s">
        <v>4462</v>
      </c>
      <c r="E2382" t="s">
        <v>4433</v>
      </c>
      <c r="F2382" t="s">
        <v>2742</v>
      </c>
      <c r="G2382" s="2">
        <v>45538</v>
      </c>
      <c r="H2382">
        <v>0</v>
      </c>
      <c r="I2382">
        <v>0</v>
      </c>
      <c r="J2382" s="1">
        <v>10000</v>
      </c>
      <c r="K2382" s="1">
        <v>10000</v>
      </c>
    </row>
    <row r="2383" spans="1:11" x14ac:dyDescent="0.25">
      <c r="A2383" t="s">
        <v>942</v>
      </c>
      <c r="B2383" t="s">
        <v>2722</v>
      </c>
      <c r="C2383" t="s">
        <v>16</v>
      </c>
      <c r="D2383" t="s">
        <v>4462</v>
      </c>
      <c r="E2383" t="s">
        <v>4446</v>
      </c>
      <c r="F2383" t="s">
        <v>2742</v>
      </c>
      <c r="G2383" s="2">
        <v>45538</v>
      </c>
      <c r="H2383">
        <v>0</v>
      </c>
      <c r="I2383">
        <v>0</v>
      </c>
      <c r="J2383" s="1">
        <v>10000</v>
      </c>
      <c r="K2383" s="1">
        <v>10000</v>
      </c>
    </row>
    <row r="2384" spans="1:11" x14ac:dyDescent="0.25">
      <c r="A2384" t="s">
        <v>925</v>
      </c>
      <c r="B2384" t="s">
        <v>2718</v>
      </c>
      <c r="C2384" t="s">
        <v>16</v>
      </c>
      <c r="D2384" t="s">
        <v>4466</v>
      </c>
      <c r="E2384" t="s">
        <v>4438</v>
      </c>
      <c r="F2384" t="s">
        <v>2742</v>
      </c>
      <c r="G2384" s="2">
        <v>45540</v>
      </c>
      <c r="H2384">
        <v>0</v>
      </c>
      <c r="I2384">
        <v>0</v>
      </c>
      <c r="J2384" s="1">
        <v>10000</v>
      </c>
      <c r="K2384" s="1">
        <v>10000</v>
      </c>
    </row>
    <row r="2385" spans="1:11" x14ac:dyDescent="0.25">
      <c r="A2385" t="s">
        <v>916</v>
      </c>
      <c r="B2385" t="s">
        <v>2714</v>
      </c>
      <c r="C2385" t="s">
        <v>16</v>
      </c>
      <c r="D2385" t="s">
        <v>4466</v>
      </c>
      <c r="E2385" t="s">
        <v>4434</v>
      </c>
      <c r="F2385" t="s">
        <v>2742</v>
      </c>
      <c r="G2385" s="2">
        <v>45541</v>
      </c>
      <c r="H2385">
        <v>0</v>
      </c>
      <c r="I2385">
        <v>0</v>
      </c>
      <c r="J2385" s="1">
        <v>10000</v>
      </c>
      <c r="K2385" s="1">
        <v>10000</v>
      </c>
    </row>
    <row r="2386" spans="1:11" x14ac:dyDescent="0.25">
      <c r="A2386" t="s">
        <v>910</v>
      </c>
      <c r="B2386" t="s">
        <v>2734</v>
      </c>
      <c r="C2386" t="s">
        <v>16</v>
      </c>
      <c r="D2386" t="s">
        <v>4461</v>
      </c>
      <c r="E2386" t="s">
        <v>4455</v>
      </c>
      <c r="F2386" t="s">
        <v>2742</v>
      </c>
      <c r="G2386" s="2">
        <v>45542</v>
      </c>
      <c r="H2386">
        <v>0</v>
      </c>
      <c r="I2386">
        <v>0</v>
      </c>
      <c r="J2386" s="1">
        <v>10000</v>
      </c>
      <c r="K2386" s="1">
        <v>10000</v>
      </c>
    </row>
    <row r="2387" spans="1:11" x14ac:dyDescent="0.25">
      <c r="A2387" t="s">
        <v>910</v>
      </c>
      <c r="B2387" t="s">
        <v>2734</v>
      </c>
      <c r="C2387" t="s">
        <v>16</v>
      </c>
      <c r="D2387" t="s">
        <v>4461</v>
      </c>
      <c r="E2387" t="s">
        <v>4455</v>
      </c>
      <c r="F2387" t="s">
        <v>2742</v>
      </c>
      <c r="G2387" s="2">
        <v>45542</v>
      </c>
      <c r="H2387">
        <v>0</v>
      </c>
      <c r="I2387">
        <v>0</v>
      </c>
      <c r="J2387" s="1">
        <v>10000</v>
      </c>
      <c r="K2387" s="1">
        <v>10000</v>
      </c>
    </row>
    <row r="2388" spans="1:11" x14ac:dyDescent="0.25">
      <c r="A2388" t="s">
        <v>905</v>
      </c>
      <c r="B2388" t="s">
        <v>2699</v>
      </c>
      <c r="C2388" t="s">
        <v>16</v>
      </c>
      <c r="D2388" t="s">
        <v>4462</v>
      </c>
      <c r="E2388" t="s">
        <v>4440</v>
      </c>
      <c r="F2388" t="s">
        <v>2742</v>
      </c>
      <c r="G2388" s="2">
        <v>45543</v>
      </c>
      <c r="H2388">
        <v>0</v>
      </c>
      <c r="I2388">
        <v>0</v>
      </c>
      <c r="J2388" s="1">
        <v>10000</v>
      </c>
      <c r="K2388" s="1">
        <v>10000</v>
      </c>
    </row>
    <row r="2389" spans="1:11" x14ac:dyDescent="0.25">
      <c r="A2389" t="s">
        <v>899</v>
      </c>
      <c r="B2389" t="s">
        <v>2730</v>
      </c>
      <c r="C2389" t="s">
        <v>42</v>
      </c>
      <c r="D2389" t="s">
        <v>4467</v>
      </c>
      <c r="E2389" t="s">
        <v>4441</v>
      </c>
      <c r="F2389" t="s">
        <v>2742</v>
      </c>
      <c r="G2389" s="2">
        <v>45544</v>
      </c>
      <c r="H2389">
        <v>0</v>
      </c>
      <c r="I2389">
        <v>0</v>
      </c>
      <c r="J2389" s="1">
        <v>10000</v>
      </c>
      <c r="K2389" s="1">
        <v>10000</v>
      </c>
    </row>
    <row r="2390" spans="1:11" x14ac:dyDescent="0.25">
      <c r="A2390" t="s">
        <v>898</v>
      </c>
      <c r="B2390" t="s">
        <v>2723</v>
      </c>
      <c r="C2390" t="s">
        <v>16</v>
      </c>
      <c r="D2390" t="s">
        <v>4462</v>
      </c>
      <c r="E2390" t="s">
        <v>4443</v>
      </c>
      <c r="F2390" t="s">
        <v>2742</v>
      </c>
      <c r="G2390" s="2">
        <v>45545</v>
      </c>
      <c r="H2390">
        <v>0</v>
      </c>
      <c r="I2390">
        <v>0</v>
      </c>
      <c r="J2390" s="1">
        <v>10000</v>
      </c>
      <c r="K2390" s="1">
        <v>10000</v>
      </c>
    </row>
    <row r="2391" spans="1:11" x14ac:dyDescent="0.25">
      <c r="A2391" t="s">
        <v>883</v>
      </c>
      <c r="B2391" t="s">
        <v>2724</v>
      </c>
      <c r="C2391" t="s">
        <v>16</v>
      </c>
      <c r="D2391" t="s">
        <v>4462</v>
      </c>
      <c r="E2391" t="s">
        <v>4451</v>
      </c>
      <c r="F2391" t="s">
        <v>2742</v>
      </c>
      <c r="G2391" s="2">
        <v>45546</v>
      </c>
      <c r="H2391">
        <v>0</v>
      </c>
      <c r="I2391">
        <v>0</v>
      </c>
      <c r="J2391" s="1">
        <v>10000</v>
      </c>
      <c r="K2391" s="1">
        <v>10000</v>
      </c>
    </row>
    <row r="2392" spans="1:11" x14ac:dyDescent="0.25">
      <c r="A2392" t="s">
        <v>891</v>
      </c>
      <c r="B2392" t="s">
        <v>2713</v>
      </c>
      <c r="C2392" t="s">
        <v>16</v>
      </c>
      <c r="D2392" t="s">
        <v>4465</v>
      </c>
      <c r="E2392" t="s">
        <v>4428</v>
      </c>
      <c r="F2392" t="s">
        <v>2742</v>
      </c>
      <c r="G2392" s="2">
        <v>45546</v>
      </c>
      <c r="H2392">
        <v>0</v>
      </c>
      <c r="I2392">
        <v>0</v>
      </c>
      <c r="J2392" s="1">
        <v>10000</v>
      </c>
      <c r="K2392" s="1">
        <v>10000</v>
      </c>
    </row>
    <row r="2393" spans="1:11" x14ac:dyDescent="0.25">
      <c r="A2393" t="s">
        <v>878</v>
      </c>
      <c r="B2393" t="s">
        <v>2734</v>
      </c>
      <c r="C2393" t="s">
        <v>16</v>
      </c>
      <c r="D2393" t="s">
        <v>4461</v>
      </c>
      <c r="E2393" t="s">
        <v>4455</v>
      </c>
      <c r="F2393" t="s">
        <v>2742</v>
      </c>
      <c r="G2393" s="2">
        <v>45547</v>
      </c>
      <c r="H2393">
        <v>0</v>
      </c>
      <c r="I2393">
        <v>0</v>
      </c>
      <c r="J2393" s="1">
        <v>10000</v>
      </c>
      <c r="K2393" s="1">
        <v>10000</v>
      </c>
    </row>
    <row r="2394" spans="1:11" x14ac:dyDescent="0.25">
      <c r="A2394" t="s">
        <v>882</v>
      </c>
      <c r="B2394" t="s">
        <v>2705</v>
      </c>
      <c r="C2394" t="s">
        <v>42</v>
      </c>
      <c r="D2394" t="s">
        <v>4467</v>
      </c>
      <c r="E2394" t="s">
        <v>4435</v>
      </c>
      <c r="F2394" t="s">
        <v>2742</v>
      </c>
      <c r="G2394" s="2">
        <v>45547</v>
      </c>
      <c r="H2394">
        <v>0</v>
      </c>
      <c r="I2394">
        <v>0</v>
      </c>
      <c r="J2394" s="1">
        <v>10000</v>
      </c>
      <c r="K2394" s="1">
        <v>10000</v>
      </c>
    </row>
    <row r="2395" spans="1:11" x14ac:dyDescent="0.25">
      <c r="A2395" t="s">
        <v>862</v>
      </c>
      <c r="B2395" t="s">
        <v>2729</v>
      </c>
      <c r="C2395" t="s">
        <v>16</v>
      </c>
      <c r="D2395" t="s">
        <v>4465</v>
      </c>
      <c r="E2395" t="s">
        <v>4427</v>
      </c>
      <c r="F2395" t="s">
        <v>2742</v>
      </c>
      <c r="G2395" s="2">
        <v>45549</v>
      </c>
      <c r="H2395">
        <v>0</v>
      </c>
      <c r="I2395">
        <v>0</v>
      </c>
      <c r="J2395" s="1">
        <v>10000</v>
      </c>
      <c r="K2395" s="1">
        <v>10000</v>
      </c>
    </row>
    <row r="2396" spans="1:11" x14ac:dyDescent="0.25">
      <c r="A2396" t="s">
        <v>860</v>
      </c>
      <c r="B2396" t="s">
        <v>2709</v>
      </c>
      <c r="C2396" t="s">
        <v>42</v>
      </c>
      <c r="D2396" t="s">
        <v>4467</v>
      </c>
      <c r="E2396" t="s">
        <v>4456</v>
      </c>
      <c r="F2396" t="s">
        <v>2742</v>
      </c>
      <c r="G2396" s="2">
        <v>45550</v>
      </c>
      <c r="H2396">
        <v>0</v>
      </c>
      <c r="I2396">
        <v>0</v>
      </c>
      <c r="J2396" s="1">
        <v>10000</v>
      </c>
      <c r="K2396" s="1">
        <v>10000</v>
      </c>
    </row>
    <row r="2397" spans="1:11" x14ac:dyDescent="0.25">
      <c r="A2397" t="s">
        <v>841</v>
      </c>
      <c r="B2397" t="s">
        <v>2710</v>
      </c>
      <c r="C2397" t="s">
        <v>42</v>
      </c>
      <c r="D2397" t="s">
        <v>4467</v>
      </c>
      <c r="E2397" t="s">
        <v>4436</v>
      </c>
      <c r="F2397" t="s">
        <v>2742</v>
      </c>
      <c r="G2397" s="2">
        <v>45554</v>
      </c>
      <c r="H2397">
        <v>0</v>
      </c>
      <c r="I2397">
        <v>0</v>
      </c>
      <c r="J2397" s="1">
        <v>10000</v>
      </c>
      <c r="K2397" s="1">
        <v>10000</v>
      </c>
    </row>
    <row r="2398" spans="1:11" x14ac:dyDescent="0.25">
      <c r="A2398" t="s">
        <v>829</v>
      </c>
      <c r="B2398" t="s">
        <v>2700</v>
      </c>
      <c r="C2398" t="s">
        <v>27</v>
      </c>
      <c r="D2398" t="s">
        <v>4466</v>
      </c>
      <c r="E2398" t="s">
        <v>4450</v>
      </c>
      <c r="F2398" t="s">
        <v>2742</v>
      </c>
      <c r="G2398" s="2">
        <v>45555</v>
      </c>
      <c r="H2398">
        <v>0</v>
      </c>
      <c r="I2398">
        <v>0</v>
      </c>
      <c r="J2398" s="1">
        <v>10000</v>
      </c>
      <c r="K2398" s="1">
        <v>10000</v>
      </c>
    </row>
    <row r="2399" spans="1:11" x14ac:dyDescent="0.25">
      <c r="A2399" t="s">
        <v>838</v>
      </c>
      <c r="B2399" t="s">
        <v>2732</v>
      </c>
      <c r="C2399" t="s">
        <v>16</v>
      </c>
      <c r="D2399" t="s">
        <v>4461</v>
      </c>
      <c r="E2399" t="s">
        <v>4444</v>
      </c>
      <c r="F2399" t="s">
        <v>2742</v>
      </c>
      <c r="G2399" s="2">
        <v>45555</v>
      </c>
      <c r="H2399">
        <v>0</v>
      </c>
      <c r="I2399">
        <v>0</v>
      </c>
      <c r="J2399" s="1">
        <v>10000</v>
      </c>
      <c r="K2399" s="1">
        <v>10000</v>
      </c>
    </row>
    <row r="2400" spans="1:11" x14ac:dyDescent="0.25">
      <c r="A2400" t="s">
        <v>813</v>
      </c>
      <c r="B2400" t="s">
        <v>2728</v>
      </c>
      <c r="C2400" t="s">
        <v>16</v>
      </c>
      <c r="D2400" t="s">
        <v>4465</v>
      </c>
      <c r="E2400" t="s">
        <v>4439</v>
      </c>
      <c r="F2400" t="s">
        <v>2742</v>
      </c>
      <c r="G2400" s="2">
        <v>45557</v>
      </c>
      <c r="H2400">
        <v>0</v>
      </c>
      <c r="I2400">
        <v>0</v>
      </c>
      <c r="J2400" s="1">
        <v>10000</v>
      </c>
      <c r="K2400" s="1">
        <v>10000</v>
      </c>
    </row>
    <row r="2401" spans="1:11" x14ac:dyDescent="0.25">
      <c r="A2401" t="s">
        <v>803</v>
      </c>
      <c r="B2401" t="s">
        <v>2698</v>
      </c>
      <c r="C2401" t="s">
        <v>16</v>
      </c>
      <c r="D2401" t="s">
        <v>4465</v>
      </c>
      <c r="E2401" t="s">
        <v>4442</v>
      </c>
      <c r="F2401" t="s">
        <v>2742</v>
      </c>
      <c r="G2401" s="2">
        <v>45558</v>
      </c>
      <c r="H2401">
        <v>0</v>
      </c>
      <c r="I2401">
        <v>0</v>
      </c>
      <c r="J2401" s="1">
        <v>10000</v>
      </c>
      <c r="K2401" s="1">
        <v>10000</v>
      </c>
    </row>
    <row r="2402" spans="1:11" x14ac:dyDescent="0.25">
      <c r="A2402" t="s">
        <v>796</v>
      </c>
      <c r="B2402" t="s">
        <v>2736</v>
      </c>
      <c r="C2402" t="s">
        <v>16</v>
      </c>
      <c r="D2402" t="s">
        <v>4461</v>
      </c>
      <c r="E2402" t="s">
        <v>4459</v>
      </c>
      <c r="F2402" t="s">
        <v>2742</v>
      </c>
      <c r="G2402" s="2">
        <v>45559</v>
      </c>
      <c r="H2402">
        <v>0</v>
      </c>
      <c r="I2402">
        <v>0</v>
      </c>
      <c r="J2402" s="1">
        <v>10000</v>
      </c>
      <c r="K2402" s="1">
        <v>30000</v>
      </c>
    </row>
    <row r="2403" spans="1:11" x14ac:dyDescent="0.25">
      <c r="A2403" t="s">
        <v>780</v>
      </c>
      <c r="B2403" t="s">
        <v>2725</v>
      </c>
      <c r="C2403" t="s">
        <v>16</v>
      </c>
      <c r="D2403" t="s">
        <v>4465</v>
      </c>
      <c r="E2403" t="s">
        <v>4429</v>
      </c>
      <c r="F2403" t="s">
        <v>2742</v>
      </c>
      <c r="G2403" s="2">
        <v>45561</v>
      </c>
      <c r="H2403">
        <v>0</v>
      </c>
      <c r="I2403">
        <v>0</v>
      </c>
      <c r="J2403" s="1">
        <v>10000</v>
      </c>
      <c r="K2403" s="1">
        <v>30000</v>
      </c>
    </row>
    <row r="2404" spans="1:11" x14ac:dyDescent="0.25">
      <c r="A2404" t="s">
        <v>772</v>
      </c>
      <c r="B2404" t="s">
        <v>2705</v>
      </c>
      <c r="C2404" t="s">
        <v>42</v>
      </c>
      <c r="D2404" t="s">
        <v>4467</v>
      </c>
      <c r="E2404" t="s">
        <v>4435</v>
      </c>
      <c r="F2404" t="s">
        <v>2742</v>
      </c>
      <c r="G2404" s="2">
        <v>45562</v>
      </c>
      <c r="H2404">
        <v>0</v>
      </c>
      <c r="I2404">
        <v>0</v>
      </c>
      <c r="J2404" s="1">
        <v>10000</v>
      </c>
      <c r="K2404" s="1">
        <v>10000</v>
      </c>
    </row>
    <row r="2405" spans="1:11" x14ac:dyDescent="0.25">
      <c r="A2405" t="s">
        <v>775</v>
      </c>
      <c r="B2405" t="s">
        <v>2722</v>
      </c>
      <c r="C2405" t="s">
        <v>16</v>
      </c>
      <c r="D2405" t="s">
        <v>4462</v>
      </c>
      <c r="E2405" t="s">
        <v>4446</v>
      </c>
      <c r="F2405" t="s">
        <v>2742</v>
      </c>
      <c r="G2405" s="2">
        <v>45562</v>
      </c>
      <c r="H2405">
        <v>0</v>
      </c>
      <c r="I2405">
        <v>0</v>
      </c>
      <c r="J2405" s="1">
        <v>10000</v>
      </c>
      <c r="K2405" s="1">
        <v>10000</v>
      </c>
    </row>
    <row r="2406" spans="1:11" x14ac:dyDescent="0.25">
      <c r="A2406" t="s">
        <v>776</v>
      </c>
      <c r="B2406" t="s">
        <v>2727</v>
      </c>
      <c r="C2406" t="s">
        <v>16</v>
      </c>
      <c r="D2406" t="s">
        <v>4465</v>
      </c>
      <c r="E2406" t="s">
        <v>4445</v>
      </c>
      <c r="F2406" t="s">
        <v>2742</v>
      </c>
      <c r="G2406" s="2">
        <v>45562</v>
      </c>
      <c r="H2406">
        <v>0</v>
      </c>
      <c r="I2406">
        <v>0</v>
      </c>
      <c r="J2406" s="1">
        <v>10000</v>
      </c>
      <c r="K2406" s="1">
        <v>10000</v>
      </c>
    </row>
    <row r="2407" spans="1:11" x14ac:dyDescent="0.25">
      <c r="A2407" t="s">
        <v>753</v>
      </c>
      <c r="B2407" t="s">
        <v>2719</v>
      </c>
      <c r="C2407" t="s">
        <v>16</v>
      </c>
      <c r="D2407" t="s">
        <v>4466</v>
      </c>
      <c r="E2407" t="s">
        <v>4430</v>
      </c>
      <c r="F2407" t="s">
        <v>2742</v>
      </c>
      <c r="G2407" s="2">
        <v>45563</v>
      </c>
      <c r="H2407">
        <v>0</v>
      </c>
      <c r="I2407">
        <v>0</v>
      </c>
      <c r="J2407" s="1">
        <v>10000</v>
      </c>
      <c r="K2407" s="1">
        <v>10000</v>
      </c>
    </row>
    <row r="2408" spans="1:11" x14ac:dyDescent="0.25">
      <c r="A2408" t="s">
        <v>756</v>
      </c>
      <c r="B2408" t="s">
        <v>2708</v>
      </c>
      <c r="C2408" t="s">
        <v>16</v>
      </c>
      <c r="D2408" t="s">
        <v>4466</v>
      </c>
      <c r="E2408" t="s">
        <v>4457</v>
      </c>
      <c r="F2408" t="s">
        <v>2742</v>
      </c>
      <c r="G2408" s="2">
        <v>45563</v>
      </c>
      <c r="H2408">
        <v>0</v>
      </c>
      <c r="I2408">
        <v>0</v>
      </c>
      <c r="J2408" s="1">
        <v>10000</v>
      </c>
      <c r="K2408" s="1">
        <v>10000</v>
      </c>
    </row>
    <row r="2409" spans="1:11" x14ac:dyDescent="0.25">
      <c r="A2409" t="s">
        <v>756</v>
      </c>
      <c r="B2409" t="s">
        <v>2708</v>
      </c>
      <c r="C2409" t="s">
        <v>16</v>
      </c>
      <c r="D2409" t="s">
        <v>4466</v>
      </c>
      <c r="E2409" t="s">
        <v>4457</v>
      </c>
      <c r="F2409" t="s">
        <v>2742</v>
      </c>
      <c r="G2409" s="2">
        <v>45563</v>
      </c>
      <c r="H2409">
        <v>0</v>
      </c>
      <c r="I2409">
        <v>0</v>
      </c>
      <c r="J2409" s="1">
        <v>10000</v>
      </c>
      <c r="K2409" s="1">
        <v>10000</v>
      </c>
    </row>
    <row r="2410" spans="1:11" x14ac:dyDescent="0.25">
      <c r="A2410" t="s">
        <v>758</v>
      </c>
      <c r="B2410" t="s">
        <v>2734</v>
      </c>
      <c r="C2410" t="s">
        <v>16</v>
      </c>
      <c r="D2410" t="s">
        <v>4461</v>
      </c>
      <c r="E2410" t="s">
        <v>4455</v>
      </c>
      <c r="F2410" t="s">
        <v>2742</v>
      </c>
      <c r="G2410" s="2">
        <v>45563</v>
      </c>
      <c r="H2410">
        <v>0</v>
      </c>
      <c r="I2410">
        <v>0</v>
      </c>
      <c r="J2410" s="1">
        <v>10000</v>
      </c>
      <c r="K2410" s="1">
        <v>10000</v>
      </c>
    </row>
    <row r="2411" spans="1:11" x14ac:dyDescent="0.25">
      <c r="A2411" t="s">
        <v>763</v>
      </c>
      <c r="B2411" t="s">
        <v>2712</v>
      </c>
      <c r="C2411" t="s">
        <v>16</v>
      </c>
      <c r="D2411" t="s">
        <v>4461</v>
      </c>
      <c r="E2411" t="s">
        <v>4449</v>
      </c>
      <c r="F2411" t="s">
        <v>2742</v>
      </c>
      <c r="G2411" s="2">
        <v>45563</v>
      </c>
      <c r="H2411">
        <v>0</v>
      </c>
      <c r="I2411">
        <v>0</v>
      </c>
      <c r="J2411" s="1">
        <v>10000</v>
      </c>
      <c r="K2411" s="1">
        <v>10000</v>
      </c>
    </row>
    <row r="2412" spans="1:11" x14ac:dyDescent="0.25">
      <c r="A2412" t="s">
        <v>766</v>
      </c>
      <c r="B2412" t="s">
        <v>2730</v>
      </c>
      <c r="C2412" t="s">
        <v>42</v>
      </c>
      <c r="D2412" t="s">
        <v>4467</v>
      </c>
      <c r="E2412" t="s">
        <v>4441</v>
      </c>
      <c r="F2412" t="s">
        <v>2742</v>
      </c>
      <c r="G2412" s="2">
        <v>45563</v>
      </c>
      <c r="H2412">
        <v>0</v>
      </c>
      <c r="I2412">
        <v>0</v>
      </c>
      <c r="J2412" s="1">
        <v>10000</v>
      </c>
      <c r="K2412" s="1">
        <v>10000</v>
      </c>
    </row>
    <row r="2413" spans="1:11" x14ac:dyDescent="0.25">
      <c r="A2413" t="s">
        <v>769</v>
      </c>
      <c r="B2413" t="s">
        <v>2713</v>
      </c>
      <c r="C2413" t="s">
        <v>16</v>
      </c>
      <c r="D2413" t="s">
        <v>4465</v>
      </c>
      <c r="E2413" t="s">
        <v>4428</v>
      </c>
      <c r="F2413" t="s">
        <v>2742</v>
      </c>
      <c r="G2413" s="2">
        <v>45563</v>
      </c>
      <c r="H2413">
        <v>0</v>
      </c>
      <c r="I2413">
        <v>0</v>
      </c>
      <c r="J2413" s="1">
        <v>10000</v>
      </c>
      <c r="K2413" s="1">
        <v>10000</v>
      </c>
    </row>
    <row r="2414" spans="1:11" x14ac:dyDescent="0.25">
      <c r="A2414" t="s">
        <v>745</v>
      </c>
      <c r="B2414" t="s">
        <v>4472</v>
      </c>
      <c r="C2414" t="s">
        <v>16</v>
      </c>
      <c r="D2414" t="s">
        <v>4461</v>
      </c>
      <c r="E2414" t="s">
        <v>4373</v>
      </c>
      <c r="F2414" t="s">
        <v>2742</v>
      </c>
      <c r="G2414" s="2">
        <v>45564</v>
      </c>
      <c r="H2414">
        <v>0</v>
      </c>
      <c r="I2414">
        <v>0</v>
      </c>
      <c r="J2414" s="1">
        <v>10000</v>
      </c>
      <c r="K2414" s="1">
        <v>40000</v>
      </c>
    </row>
    <row r="2415" spans="1:11" x14ac:dyDescent="0.25">
      <c r="A2415" t="s">
        <v>747</v>
      </c>
      <c r="B2415" t="s">
        <v>2716</v>
      </c>
      <c r="C2415" t="s">
        <v>16</v>
      </c>
      <c r="D2415" t="s">
        <v>4462</v>
      </c>
      <c r="E2415" t="s">
        <v>4458</v>
      </c>
      <c r="F2415" t="s">
        <v>2742</v>
      </c>
      <c r="G2415" s="2">
        <v>45564</v>
      </c>
      <c r="H2415">
        <v>0</v>
      </c>
      <c r="I2415">
        <v>0</v>
      </c>
      <c r="J2415" s="1">
        <v>10000</v>
      </c>
      <c r="K2415" s="1">
        <v>10000</v>
      </c>
    </row>
    <row r="2416" spans="1:11" x14ac:dyDescent="0.25">
      <c r="A2416" t="s">
        <v>748</v>
      </c>
      <c r="B2416" t="s">
        <v>2709</v>
      </c>
      <c r="C2416" t="s">
        <v>42</v>
      </c>
      <c r="D2416" t="s">
        <v>4467</v>
      </c>
      <c r="E2416" t="s">
        <v>4456</v>
      </c>
      <c r="F2416" t="s">
        <v>2742</v>
      </c>
      <c r="G2416" s="2">
        <v>45564</v>
      </c>
      <c r="H2416">
        <v>0</v>
      </c>
      <c r="I2416">
        <v>0</v>
      </c>
      <c r="J2416" s="1">
        <v>10000</v>
      </c>
      <c r="K2416" s="1">
        <v>10000</v>
      </c>
    </row>
    <row r="2417" spans="1:11" x14ac:dyDescent="0.25">
      <c r="A2417" t="s">
        <v>735</v>
      </c>
      <c r="B2417" t="s">
        <v>2730</v>
      </c>
      <c r="C2417" t="s">
        <v>42</v>
      </c>
      <c r="D2417" t="s">
        <v>4467</v>
      </c>
      <c r="E2417" t="s">
        <v>4441</v>
      </c>
      <c r="F2417" t="s">
        <v>2742</v>
      </c>
      <c r="G2417" s="2">
        <v>45566</v>
      </c>
      <c r="H2417">
        <v>0</v>
      </c>
      <c r="I2417">
        <v>0</v>
      </c>
      <c r="J2417" s="1">
        <v>10000</v>
      </c>
      <c r="K2417" s="1">
        <v>10000</v>
      </c>
    </row>
    <row r="2418" spans="1:11" x14ac:dyDescent="0.25">
      <c r="A2418" t="s">
        <v>738</v>
      </c>
      <c r="B2418" t="s">
        <v>2717</v>
      </c>
      <c r="C2418" t="s">
        <v>16</v>
      </c>
      <c r="D2418" t="s">
        <v>4466</v>
      </c>
      <c r="E2418" t="s">
        <v>4431</v>
      </c>
      <c r="F2418" t="s">
        <v>2742</v>
      </c>
      <c r="G2418" s="2">
        <v>45566</v>
      </c>
      <c r="H2418">
        <v>0</v>
      </c>
      <c r="I2418">
        <v>0</v>
      </c>
      <c r="J2418" s="1">
        <v>10000</v>
      </c>
      <c r="K2418" s="1">
        <v>10000</v>
      </c>
    </row>
    <row r="2419" spans="1:11" x14ac:dyDescent="0.25">
      <c r="A2419" t="s">
        <v>739</v>
      </c>
      <c r="B2419" t="s">
        <v>2712</v>
      </c>
      <c r="C2419" t="s">
        <v>16</v>
      </c>
      <c r="D2419" t="s">
        <v>4461</v>
      </c>
      <c r="E2419" t="s">
        <v>4449</v>
      </c>
      <c r="F2419" t="s">
        <v>2742</v>
      </c>
      <c r="G2419" s="2">
        <v>45566</v>
      </c>
      <c r="H2419">
        <v>0</v>
      </c>
      <c r="I2419">
        <v>0</v>
      </c>
      <c r="J2419" s="1">
        <v>10000</v>
      </c>
      <c r="K2419" s="1">
        <v>10000</v>
      </c>
    </row>
    <row r="2420" spans="1:11" x14ac:dyDescent="0.25">
      <c r="A2420" t="s">
        <v>737</v>
      </c>
      <c r="B2420" t="s">
        <v>2714</v>
      </c>
      <c r="C2420" t="s">
        <v>16</v>
      </c>
      <c r="D2420" t="s">
        <v>4466</v>
      </c>
      <c r="E2420" t="s">
        <v>4434</v>
      </c>
      <c r="F2420" t="s">
        <v>2742</v>
      </c>
      <c r="G2420" s="2">
        <v>45566</v>
      </c>
      <c r="H2420">
        <v>0</v>
      </c>
      <c r="I2420">
        <v>0</v>
      </c>
      <c r="J2420" s="1">
        <v>10000</v>
      </c>
      <c r="K2420" s="1">
        <v>10000</v>
      </c>
    </row>
    <row r="2421" spans="1:11" x14ac:dyDescent="0.25">
      <c r="A2421" t="s">
        <v>738</v>
      </c>
      <c r="B2421" t="s">
        <v>2717</v>
      </c>
      <c r="C2421" t="s">
        <v>16</v>
      </c>
      <c r="D2421" t="s">
        <v>4466</v>
      </c>
      <c r="E2421" t="s">
        <v>4431</v>
      </c>
      <c r="F2421" t="s">
        <v>2742</v>
      </c>
      <c r="G2421" s="2">
        <v>45566</v>
      </c>
      <c r="H2421">
        <v>0</v>
      </c>
      <c r="I2421">
        <v>0</v>
      </c>
      <c r="J2421" s="1">
        <v>10000</v>
      </c>
      <c r="K2421" s="1">
        <v>10000</v>
      </c>
    </row>
    <row r="2422" spans="1:11" x14ac:dyDescent="0.25">
      <c r="A2422" t="s">
        <v>724</v>
      </c>
      <c r="B2422" t="s">
        <v>2707</v>
      </c>
      <c r="C2422" t="s">
        <v>16</v>
      </c>
      <c r="D2422" t="s">
        <v>4462</v>
      </c>
      <c r="E2422" t="s">
        <v>4433</v>
      </c>
      <c r="F2422" t="s">
        <v>2742</v>
      </c>
      <c r="G2422" s="2">
        <v>45567</v>
      </c>
      <c r="H2422">
        <v>0</v>
      </c>
      <c r="I2422">
        <v>0</v>
      </c>
      <c r="J2422" s="1">
        <v>10000</v>
      </c>
      <c r="K2422" s="1">
        <v>10000</v>
      </c>
    </row>
    <row r="2423" spans="1:11" x14ac:dyDescent="0.25">
      <c r="A2423" t="s">
        <v>727</v>
      </c>
      <c r="B2423" t="s">
        <v>2726</v>
      </c>
      <c r="C2423" t="s">
        <v>16</v>
      </c>
      <c r="D2423" t="s">
        <v>4466</v>
      </c>
      <c r="E2423" t="s">
        <v>4437</v>
      </c>
      <c r="F2423" t="s">
        <v>2742</v>
      </c>
      <c r="G2423" s="2">
        <v>45567</v>
      </c>
      <c r="H2423">
        <v>0</v>
      </c>
      <c r="I2423">
        <v>0</v>
      </c>
      <c r="J2423" s="1">
        <v>10000</v>
      </c>
      <c r="K2423" s="1">
        <v>10000</v>
      </c>
    </row>
    <row r="2424" spans="1:11" x14ac:dyDescent="0.25">
      <c r="A2424" t="s">
        <v>730</v>
      </c>
      <c r="B2424" t="s">
        <v>2710</v>
      </c>
      <c r="C2424" t="s">
        <v>42</v>
      </c>
      <c r="D2424" t="s">
        <v>4467</v>
      </c>
      <c r="E2424" t="s">
        <v>4436</v>
      </c>
      <c r="F2424" t="s">
        <v>2742</v>
      </c>
      <c r="G2424" s="2">
        <v>45567</v>
      </c>
      <c r="H2424">
        <v>0</v>
      </c>
      <c r="I2424">
        <v>0</v>
      </c>
      <c r="J2424" s="1">
        <v>10000</v>
      </c>
      <c r="K2424" s="1">
        <v>10000</v>
      </c>
    </row>
    <row r="2425" spans="1:11" x14ac:dyDescent="0.25">
      <c r="A2425" t="s">
        <v>732</v>
      </c>
      <c r="B2425" t="s">
        <v>2722</v>
      </c>
      <c r="C2425" t="s">
        <v>16</v>
      </c>
      <c r="D2425" t="s">
        <v>4462</v>
      </c>
      <c r="E2425" t="s">
        <v>4446</v>
      </c>
      <c r="F2425" t="s">
        <v>2742</v>
      </c>
      <c r="G2425" s="2">
        <v>45567</v>
      </c>
      <c r="H2425">
        <v>0</v>
      </c>
      <c r="I2425">
        <v>0</v>
      </c>
      <c r="J2425" s="1">
        <v>10000</v>
      </c>
      <c r="K2425" s="1">
        <v>40000</v>
      </c>
    </row>
    <row r="2426" spans="1:11" x14ac:dyDescent="0.25">
      <c r="A2426" t="s">
        <v>727</v>
      </c>
      <c r="B2426" t="s">
        <v>2726</v>
      </c>
      <c r="C2426" t="s">
        <v>16</v>
      </c>
      <c r="D2426" t="s">
        <v>4466</v>
      </c>
      <c r="E2426" t="s">
        <v>4437</v>
      </c>
      <c r="F2426" t="s">
        <v>2742</v>
      </c>
      <c r="G2426" s="2">
        <v>45567</v>
      </c>
      <c r="H2426">
        <v>0</v>
      </c>
      <c r="I2426">
        <v>0</v>
      </c>
      <c r="J2426" s="1">
        <v>10000</v>
      </c>
      <c r="K2426" s="1">
        <v>10000</v>
      </c>
    </row>
    <row r="2427" spans="1:11" x14ac:dyDescent="0.25">
      <c r="A2427" t="s">
        <v>711</v>
      </c>
      <c r="B2427" t="s">
        <v>2729</v>
      </c>
      <c r="C2427" t="s">
        <v>16</v>
      </c>
      <c r="D2427" t="s">
        <v>4465</v>
      </c>
      <c r="E2427" t="s">
        <v>4427</v>
      </c>
      <c r="F2427" t="s">
        <v>2742</v>
      </c>
      <c r="G2427" s="2">
        <v>45569</v>
      </c>
      <c r="H2427">
        <v>0</v>
      </c>
      <c r="I2427">
        <v>0</v>
      </c>
      <c r="J2427" s="1">
        <v>10000</v>
      </c>
      <c r="K2427" s="1">
        <v>10000</v>
      </c>
    </row>
    <row r="2428" spans="1:11" x14ac:dyDescent="0.25">
      <c r="A2428" t="s">
        <v>713</v>
      </c>
      <c r="B2428" t="s">
        <v>2716</v>
      </c>
      <c r="C2428" t="s">
        <v>16</v>
      </c>
      <c r="D2428" t="s">
        <v>4462</v>
      </c>
      <c r="E2428" t="s">
        <v>4458</v>
      </c>
      <c r="F2428" t="s">
        <v>2742</v>
      </c>
      <c r="G2428" s="2">
        <v>45569</v>
      </c>
      <c r="H2428">
        <v>0</v>
      </c>
      <c r="I2428">
        <v>0</v>
      </c>
      <c r="J2428" s="1">
        <v>10000</v>
      </c>
      <c r="K2428" s="1">
        <v>10000</v>
      </c>
    </row>
    <row r="2429" spans="1:11" x14ac:dyDescent="0.25">
      <c r="A2429" t="s">
        <v>711</v>
      </c>
      <c r="B2429" t="s">
        <v>2729</v>
      </c>
      <c r="C2429" t="s">
        <v>16</v>
      </c>
      <c r="D2429" t="s">
        <v>4465</v>
      </c>
      <c r="E2429" t="s">
        <v>4427</v>
      </c>
      <c r="F2429" t="s">
        <v>2742</v>
      </c>
      <c r="G2429" s="2">
        <v>45569</v>
      </c>
      <c r="H2429">
        <v>0</v>
      </c>
      <c r="I2429">
        <v>0</v>
      </c>
      <c r="J2429" s="1">
        <v>10000</v>
      </c>
      <c r="K2429" s="1">
        <v>10000</v>
      </c>
    </row>
    <row r="2430" spans="1:11" x14ac:dyDescent="0.25">
      <c r="A2430" t="s">
        <v>700</v>
      </c>
      <c r="B2430" t="s">
        <v>2699</v>
      </c>
      <c r="C2430" t="s">
        <v>16</v>
      </c>
      <c r="D2430" t="s">
        <v>4462</v>
      </c>
      <c r="E2430" t="s">
        <v>4440</v>
      </c>
      <c r="F2430" t="s">
        <v>2742</v>
      </c>
      <c r="G2430" s="2">
        <v>45570</v>
      </c>
      <c r="H2430">
        <v>0</v>
      </c>
      <c r="I2430">
        <v>0</v>
      </c>
      <c r="J2430" s="1">
        <v>10000</v>
      </c>
      <c r="K2430" s="1">
        <v>10000</v>
      </c>
    </row>
    <row r="2431" spans="1:11" x14ac:dyDescent="0.25">
      <c r="A2431" t="s">
        <v>703</v>
      </c>
      <c r="B2431" t="s">
        <v>2698</v>
      </c>
      <c r="C2431" t="s">
        <v>16</v>
      </c>
      <c r="D2431" t="s">
        <v>4465</v>
      </c>
      <c r="E2431" t="s">
        <v>4442</v>
      </c>
      <c r="F2431" t="s">
        <v>2742</v>
      </c>
      <c r="G2431" s="2">
        <v>45570</v>
      </c>
      <c r="H2431">
        <v>0</v>
      </c>
      <c r="I2431">
        <v>0</v>
      </c>
      <c r="J2431" s="1">
        <v>10000</v>
      </c>
      <c r="K2431" s="1">
        <v>10000</v>
      </c>
    </row>
    <row r="2432" spans="1:11" x14ac:dyDescent="0.25">
      <c r="A2432" t="s">
        <v>702</v>
      </c>
      <c r="B2432" t="s">
        <v>2699</v>
      </c>
      <c r="C2432" t="s">
        <v>16</v>
      </c>
      <c r="D2432" t="s">
        <v>4462</v>
      </c>
      <c r="E2432" t="s">
        <v>4440</v>
      </c>
      <c r="F2432" t="s">
        <v>2742</v>
      </c>
      <c r="G2432" s="2">
        <v>45570</v>
      </c>
      <c r="H2432">
        <v>0</v>
      </c>
      <c r="I2432">
        <v>0</v>
      </c>
      <c r="J2432" s="1">
        <v>10000</v>
      </c>
      <c r="K2432" s="1">
        <v>10000</v>
      </c>
    </row>
    <row r="2433" spans="1:11" x14ac:dyDescent="0.25">
      <c r="A2433" t="s">
        <v>699</v>
      </c>
      <c r="B2433" t="s">
        <v>2701</v>
      </c>
      <c r="C2433" t="s">
        <v>16</v>
      </c>
      <c r="D2433" t="s">
        <v>4466</v>
      </c>
      <c r="E2433" t="s">
        <v>4453</v>
      </c>
      <c r="F2433" t="s">
        <v>2742</v>
      </c>
      <c r="G2433" s="2">
        <v>45571</v>
      </c>
      <c r="H2433">
        <v>0</v>
      </c>
      <c r="I2433">
        <v>0</v>
      </c>
      <c r="J2433" s="1">
        <v>10000</v>
      </c>
      <c r="K2433" s="1">
        <v>10000</v>
      </c>
    </row>
    <row r="2434" spans="1:11" x14ac:dyDescent="0.25">
      <c r="A2434" t="s">
        <v>695</v>
      </c>
      <c r="B2434" t="s">
        <v>2723</v>
      </c>
      <c r="C2434" t="s">
        <v>16</v>
      </c>
      <c r="D2434" t="s">
        <v>4462</v>
      </c>
      <c r="E2434" t="s">
        <v>4443</v>
      </c>
      <c r="F2434" t="s">
        <v>2742</v>
      </c>
      <c r="G2434" s="2">
        <v>45572</v>
      </c>
      <c r="H2434">
        <v>0</v>
      </c>
      <c r="I2434">
        <v>0</v>
      </c>
      <c r="J2434" s="1">
        <v>10000</v>
      </c>
      <c r="K2434" s="1">
        <v>10000</v>
      </c>
    </row>
    <row r="2435" spans="1:11" x14ac:dyDescent="0.25">
      <c r="A2435" t="s">
        <v>688</v>
      </c>
      <c r="B2435" t="s">
        <v>2731</v>
      </c>
      <c r="C2435" t="s">
        <v>16</v>
      </c>
      <c r="D2435" t="s">
        <v>4465</v>
      </c>
      <c r="E2435" t="s">
        <v>4460</v>
      </c>
      <c r="F2435" t="s">
        <v>2742</v>
      </c>
      <c r="G2435" s="2">
        <v>45573</v>
      </c>
      <c r="H2435">
        <v>0</v>
      </c>
      <c r="I2435">
        <v>0</v>
      </c>
      <c r="J2435" s="1">
        <v>10000</v>
      </c>
      <c r="K2435" s="1">
        <v>10000</v>
      </c>
    </row>
    <row r="2436" spans="1:11" x14ac:dyDescent="0.25">
      <c r="A2436" t="s">
        <v>693</v>
      </c>
      <c r="B2436" t="s">
        <v>2705</v>
      </c>
      <c r="C2436" t="s">
        <v>42</v>
      </c>
      <c r="D2436" t="s">
        <v>4467</v>
      </c>
      <c r="E2436" t="s">
        <v>4435</v>
      </c>
      <c r="F2436" t="s">
        <v>2742</v>
      </c>
      <c r="G2436" s="2">
        <v>45573</v>
      </c>
      <c r="H2436">
        <v>0</v>
      </c>
      <c r="I2436">
        <v>0</v>
      </c>
      <c r="J2436" s="1">
        <v>10000</v>
      </c>
      <c r="K2436" s="1">
        <v>10000</v>
      </c>
    </row>
    <row r="2437" spans="1:11" x14ac:dyDescent="0.25">
      <c r="A2437" t="s">
        <v>682</v>
      </c>
      <c r="B2437" t="s">
        <v>2700</v>
      </c>
      <c r="C2437" t="s">
        <v>27</v>
      </c>
      <c r="D2437" t="s">
        <v>4466</v>
      </c>
      <c r="E2437" t="s">
        <v>4450</v>
      </c>
      <c r="F2437" t="s">
        <v>2742</v>
      </c>
      <c r="G2437" s="2">
        <v>45574</v>
      </c>
      <c r="H2437">
        <v>0</v>
      </c>
      <c r="I2437">
        <v>0</v>
      </c>
      <c r="J2437" s="1">
        <v>10000</v>
      </c>
      <c r="K2437" s="1">
        <v>10000</v>
      </c>
    </row>
    <row r="2438" spans="1:11" x14ac:dyDescent="0.25">
      <c r="A2438" t="s">
        <v>680</v>
      </c>
      <c r="B2438" t="s">
        <v>2713</v>
      </c>
      <c r="C2438" t="s">
        <v>16</v>
      </c>
      <c r="D2438" t="s">
        <v>4465</v>
      </c>
      <c r="E2438" t="s">
        <v>4428</v>
      </c>
      <c r="F2438" t="s">
        <v>2742</v>
      </c>
      <c r="G2438" s="2">
        <v>45575</v>
      </c>
      <c r="H2438">
        <v>0</v>
      </c>
      <c r="I2438">
        <v>0</v>
      </c>
      <c r="J2438" s="1">
        <v>10000</v>
      </c>
      <c r="K2438" s="1">
        <v>10000</v>
      </c>
    </row>
    <row r="2439" spans="1:11" x14ac:dyDescent="0.25">
      <c r="A2439" t="s">
        <v>671</v>
      </c>
      <c r="B2439" t="s">
        <v>2733</v>
      </c>
      <c r="C2439" t="s">
        <v>16</v>
      </c>
      <c r="D2439" t="s">
        <v>4465</v>
      </c>
      <c r="E2439" t="s">
        <v>4448</v>
      </c>
      <c r="F2439" t="s">
        <v>2742</v>
      </c>
      <c r="G2439" s="2">
        <v>45576</v>
      </c>
      <c r="H2439">
        <v>0</v>
      </c>
      <c r="I2439">
        <v>0</v>
      </c>
      <c r="J2439" s="1">
        <v>10000</v>
      </c>
      <c r="K2439" s="1">
        <v>10000</v>
      </c>
    </row>
    <row r="2440" spans="1:11" x14ac:dyDescent="0.25">
      <c r="A2440" t="s">
        <v>677</v>
      </c>
      <c r="B2440" t="s">
        <v>2698</v>
      </c>
      <c r="C2440" t="s">
        <v>16</v>
      </c>
      <c r="D2440" t="s">
        <v>4465</v>
      </c>
      <c r="E2440" t="s">
        <v>4442</v>
      </c>
      <c r="F2440" t="s">
        <v>2742</v>
      </c>
      <c r="G2440" s="2">
        <v>45576</v>
      </c>
      <c r="H2440">
        <v>0</v>
      </c>
      <c r="I2440">
        <v>0</v>
      </c>
      <c r="J2440" s="1">
        <v>10000</v>
      </c>
      <c r="K2440" s="1">
        <v>10000</v>
      </c>
    </row>
    <row r="2441" spans="1:11" x14ac:dyDescent="0.25">
      <c r="A2441" t="s">
        <v>663</v>
      </c>
      <c r="B2441" t="s">
        <v>2724</v>
      </c>
      <c r="C2441" t="s">
        <v>16</v>
      </c>
      <c r="D2441" t="s">
        <v>4462</v>
      </c>
      <c r="E2441" t="s">
        <v>4451</v>
      </c>
      <c r="F2441" t="s">
        <v>2742</v>
      </c>
      <c r="G2441" s="2">
        <v>45579</v>
      </c>
      <c r="H2441">
        <v>0</v>
      </c>
      <c r="I2441">
        <v>0</v>
      </c>
      <c r="J2441" s="1">
        <v>10000</v>
      </c>
      <c r="K2441" s="1">
        <v>10000</v>
      </c>
    </row>
    <row r="2442" spans="1:11" x14ac:dyDescent="0.25">
      <c r="A2442" t="s">
        <v>663</v>
      </c>
      <c r="B2442" t="s">
        <v>2724</v>
      </c>
      <c r="C2442" t="s">
        <v>16</v>
      </c>
      <c r="D2442" t="s">
        <v>4462</v>
      </c>
      <c r="E2442" t="s">
        <v>4451</v>
      </c>
      <c r="F2442" t="s">
        <v>2742</v>
      </c>
      <c r="G2442" s="2">
        <v>45579</v>
      </c>
      <c r="H2442">
        <v>0</v>
      </c>
      <c r="I2442">
        <v>0</v>
      </c>
      <c r="J2442" s="1">
        <v>10000</v>
      </c>
      <c r="K2442" s="1">
        <v>10000</v>
      </c>
    </row>
    <row r="2443" spans="1:11" x14ac:dyDescent="0.25">
      <c r="A2443" t="s">
        <v>638</v>
      </c>
      <c r="B2443" t="s">
        <v>2700</v>
      </c>
      <c r="C2443" t="s">
        <v>27</v>
      </c>
      <c r="D2443" t="s">
        <v>4466</v>
      </c>
      <c r="E2443" t="s">
        <v>4450</v>
      </c>
      <c r="F2443" t="s">
        <v>2742</v>
      </c>
      <c r="G2443" s="2">
        <v>45584</v>
      </c>
      <c r="H2443">
        <v>0</v>
      </c>
      <c r="I2443">
        <v>0</v>
      </c>
      <c r="J2443" s="1">
        <v>10000</v>
      </c>
      <c r="K2443" s="1">
        <v>10000</v>
      </c>
    </row>
    <row r="2444" spans="1:11" x14ac:dyDescent="0.25">
      <c r="A2444" t="s">
        <v>644</v>
      </c>
      <c r="B2444" t="s">
        <v>2710</v>
      </c>
      <c r="C2444" t="s">
        <v>42</v>
      </c>
      <c r="D2444" t="s">
        <v>4467</v>
      </c>
      <c r="E2444" t="s">
        <v>4436</v>
      </c>
      <c r="F2444" t="s">
        <v>2742</v>
      </c>
      <c r="G2444" s="2">
        <v>45584</v>
      </c>
      <c r="H2444">
        <v>0</v>
      </c>
      <c r="I2444">
        <v>0</v>
      </c>
      <c r="J2444" s="1">
        <v>10000</v>
      </c>
      <c r="K2444" s="1">
        <v>10000</v>
      </c>
    </row>
    <row r="2445" spans="1:11" x14ac:dyDescent="0.25">
      <c r="A2445" t="s">
        <v>634</v>
      </c>
      <c r="B2445" t="s">
        <v>2718</v>
      </c>
      <c r="C2445" t="s">
        <v>16</v>
      </c>
      <c r="D2445" t="s">
        <v>4466</v>
      </c>
      <c r="E2445" t="s">
        <v>4438</v>
      </c>
      <c r="F2445" t="s">
        <v>2742</v>
      </c>
      <c r="G2445" s="2">
        <v>45585</v>
      </c>
      <c r="H2445">
        <v>0</v>
      </c>
      <c r="I2445">
        <v>0</v>
      </c>
      <c r="J2445" s="1">
        <v>10000</v>
      </c>
      <c r="K2445" s="1">
        <v>10000</v>
      </c>
    </row>
    <row r="2446" spans="1:11" x14ac:dyDescent="0.25">
      <c r="A2446" t="s">
        <v>636</v>
      </c>
      <c r="B2446" t="s">
        <v>2721</v>
      </c>
      <c r="C2446" t="s">
        <v>16</v>
      </c>
      <c r="D2446" t="s">
        <v>4466</v>
      </c>
      <c r="E2446" t="s">
        <v>4438</v>
      </c>
      <c r="F2446" t="s">
        <v>2742</v>
      </c>
      <c r="G2446" s="2">
        <v>45585</v>
      </c>
      <c r="H2446">
        <v>0</v>
      </c>
      <c r="I2446">
        <v>0</v>
      </c>
      <c r="J2446" s="1">
        <v>10000</v>
      </c>
      <c r="K2446" s="1">
        <v>10000</v>
      </c>
    </row>
    <row r="2447" spans="1:11" x14ac:dyDescent="0.25">
      <c r="A2447" t="s">
        <v>636</v>
      </c>
      <c r="B2447" t="s">
        <v>2721</v>
      </c>
      <c r="C2447" t="s">
        <v>16</v>
      </c>
      <c r="D2447" t="s">
        <v>4466</v>
      </c>
      <c r="E2447" t="s">
        <v>4438</v>
      </c>
      <c r="F2447" t="s">
        <v>2742</v>
      </c>
      <c r="G2447" s="2">
        <v>45585</v>
      </c>
      <c r="H2447">
        <v>0</v>
      </c>
      <c r="I2447">
        <v>0</v>
      </c>
      <c r="J2447" s="1">
        <v>10000</v>
      </c>
      <c r="K2447" s="1">
        <v>10000</v>
      </c>
    </row>
    <row r="2448" spans="1:11" x14ac:dyDescent="0.25">
      <c r="A2448" t="s">
        <v>630</v>
      </c>
      <c r="B2448" t="s">
        <v>2726</v>
      </c>
      <c r="C2448" t="s">
        <v>16</v>
      </c>
      <c r="D2448" t="s">
        <v>4466</v>
      </c>
      <c r="E2448" t="s">
        <v>4437</v>
      </c>
      <c r="F2448" t="s">
        <v>2742</v>
      </c>
      <c r="G2448" s="2">
        <v>45586</v>
      </c>
      <c r="H2448">
        <v>0</v>
      </c>
      <c r="I2448">
        <v>0</v>
      </c>
      <c r="J2448" s="1">
        <v>10000</v>
      </c>
      <c r="K2448" s="1">
        <v>10000</v>
      </c>
    </row>
    <row r="2449" spans="1:11" x14ac:dyDescent="0.25">
      <c r="A2449" t="s">
        <v>622</v>
      </c>
      <c r="B2449" t="s">
        <v>2735</v>
      </c>
      <c r="C2449" t="s">
        <v>16</v>
      </c>
      <c r="D2449" t="s">
        <v>4462</v>
      </c>
      <c r="E2449" t="s">
        <v>4426</v>
      </c>
      <c r="F2449" t="s">
        <v>2742</v>
      </c>
      <c r="G2449" s="2">
        <v>45587</v>
      </c>
      <c r="H2449">
        <v>0</v>
      </c>
      <c r="I2449">
        <v>0</v>
      </c>
      <c r="J2449" s="1">
        <v>10000</v>
      </c>
      <c r="K2449" s="1">
        <v>10000</v>
      </c>
    </row>
    <row r="2450" spans="1:11" x14ac:dyDescent="0.25">
      <c r="A2450" t="s">
        <v>624</v>
      </c>
      <c r="B2450" t="s">
        <v>2709</v>
      </c>
      <c r="C2450" t="s">
        <v>42</v>
      </c>
      <c r="D2450" t="s">
        <v>4467</v>
      </c>
      <c r="E2450" t="s">
        <v>4456</v>
      </c>
      <c r="F2450" t="s">
        <v>2742</v>
      </c>
      <c r="G2450" s="2">
        <v>45587</v>
      </c>
      <c r="H2450">
        <v>0</v>
      </c>
      <c r="I2450">
        <v>0</v>
      </c>
      <c r="J2450" s="1">
        <v>10000</v>
      </c>
      <c r="K2450" s="1">
        <v>10000</v>
      </c>
    </row>
    <row r="2451" spans="1:11" x14ac:dyDescent="0.25">
      <c r="A2451" t="s">
        <v>622</v>
      </c>
      <c r="B2451" t="s">
        <v>2735</v>
      </c>
      <c r="C2451" t="s">
        <v>16</v>
      </c>
      <c r="D2451" t="s">
        <v>4462</v>
      </c>
      <c r="E2451" t="s">
        <v>4426</v>
      </c>
      <c r="F2451" t="s">
        <v>2742</v>
      </c>
      <c r="G2451" s="2">
        <v>45587</v>
      </c>
      <c r="H2451">
        <v>0</v>
      </c>
      <c r="I2451">
        <v>0</v>
      </c>
      <c r="J2451" s="1">
        <v>10000</v>
      </c>
      <c r="K2451" s="1">
        <v>10000</v>
      </c>
    </row>
    <row r="2452" spans="1:11" x14ac:dyDescent="0.25">
      <c r="A2452" t="s">
        <v>600</v>
      </c>
      <c r="B2452" t="s">
        <v>2708</v>
      </c>
      <c r="C2452" t="s">
        <v>16</v>
      </c>
      <c r="D2452" t="s">
        <v>4466</v>
      </c>
      <c r="E2452" t="s">
        <v>4457</v>
      </c>
      <c r="F2452" t="s">
        <v>2742</v>
      </c>
      <c r="G2452" s="2">
        <v>45589</v>
      </c>
      <c r="H2452">
        <v>0</v>
      </c>
      <c r="I2452">
        <v>0</v>
      </c>
      <c r="J2452" s="1">
        <v>10000</v>
      </c>
      <c r="K2452" s="1">
        <v>10000</v>
      </c>
    </row>
    <row r="2453" spans="1:11" x14ac:dyDescent="0.25">
      <c r="A2453" t="s">
        <v>608</v>
      </c>
      <c r="B2453" t="s">
        <v>2732</v>
      </c>
      <c r="C2453" t="s">
        <v>16</v>
      </c>
      <c r="D2453" t="s">
        <v>4461</v>
      </c>
      <c r="E2453" t="s">
        <v>4444</v>
      </c>
      <c r="F2453" t="s">
        <v>2742</v>
      </c>
      <c r="G2453" s="2">
        <v>45589</v>
      </c>
      <c r="H2453">
        <v>0</v>
      </c>
      <c r="I2453">
        <v>0</v>
      </c>
      <c r="J2453" s="1">
        <v>10000</v>
      </c>
      <c r="K2453" s="1">
        <v>10000</v>
      </c>
    </row>
    <row r="2454" spans="1:11" x14ac:dyDescent="0.25">
      <c r="A2454" t="s">
        <v>607</v>
      </c>
      <c r="B2454" t="s">
        <v>2711</v>
      </c>
      <c r="C2454" t="s">
        <v>16</v>
      </c>
      <c r="D2454" t="s">
        <v>4461</v>
      </c>
      <c r="E2454" t="s">
        <v>4447</v>
      </c>
      <c r="F2454" t="s">
        <v>2742</v>
      </c>
      <c r="G2454" s="2">
        <v>45589</v>
      </c>
      <c r="H2454">
        <v>0</v>
      </c>
      <c r="I2454">
        <v>0</v>
      </c>
      <c r="J2454" s="1">
        <v>10000</v>
      </c>
      <c r="K2454" s="1">
        <v>10000</v>
      </c>
    </row>
    <row r="2455" spans="1:11" x14ac:dyDescent="0.25">
      <c r="A2455" t="s">
        <v>566</v>
      </c>
      <c r="B2455" t="s">
        <v>2734</v>
      </c>
      <c r="C2455" t="s">
        <v>16</v>
      </c>
      <c r="D2455" t="s">
        <v>4461</v>
      </c>
      <c r="E2455" t="s">
        <v>4455</v>
      </c>
      <c r="F2455" t="s">
        <v>2742</v>
      </c>
      <c r="G2455" s="2">
        <v>45592</v>
      </c>
      <c r="H2455">
        <v>0</v>
      </c>
      <c r="I2455">
        <v>0</v>
      </c>
      <c r="J2455" s="1">
        <v>10000</v>
      </c>
      <c r="K2455" s="1">
        <v>10000</v>
      </c>
    </row>
    <row r="2456" spans="1:11" x14ac:dyDescent="0.25">
      <c r="A2456" t="s">
        <v>564</v>
      </c>
      <c r="B2456" t="s">
        <v>2727</v>
      </c>
      <c r="C2456" t="s">
        <v>16</v>
      </c>
      <c r="D2456" t="s">
        <v>4465</v>
      </c>
      <c r="E2456" t="s">
        <v>4445</v>
      </c>
      <c r="F2456" t="s">
        <v>2742</v>
      </c>
      <c r="G2456" s="2">
        <v>45593</v>
      </c>
      <c r="H2456">
        <v>0</v>
      </c>
      <c r="I2456">
        <v>0</v>
      </c>
      <c r="J2456" s="1">
        <v>10000</v>
      </c>
      <c r="K2456" s="1">
        <v>10000</v>
      </c>
    </row>
    <row r="2457" spans="1:11" x14ac:dyDescent="0.25">
      <c r="A2457" t="s">
        <v>548</v>
      </c>
      <c r="B2457" t="s">
        <v>2711</v>
      </c>
      <c r="C2457" t="s">
        <v>16</v>
      </c>
      <c r="D2457" t="s">
        <v>4461</v>
      </c>
      <c r="E2457" t="s">
        <v>4447</v>
      </c>
      <c r="F2457" t="s">
        <v>2742</v>
      </c>
      <c r="G2457" s="2">
        <v>45595</v>
      </c>
      <c r="H2457">
        <v>0</v>
      </c>
      <c r="I2457">
        <v>0</v>
      </c>
      <c r="J2457" s="1">
        <v>10000</v>
      </c>
      <c r="K2457" s="1">
        <v>10000</v>
      </c>
    </row>
    <row r="2458" spans="1:11" x14ac:dyDescent="0.25">
      <c r="A2458" t="s">
        <v>547</v>
      </c>
      <c r="B2458" t="s">
        <v>2728</v>
      </c>
      <c r="C2458" t="s">
        <v>16</v>
      </c>
      <c r="D2458" t="s">
        <v>4465</v>
      </c>
      <c r="E2458" t="s">
        <v>4439</v>
      </c>
      <c r="F2458" t="s">
        <v>2742</v>
      </c>
      <c r="G2458" s="2">
        <v>45596</v>
      </c>
      <c r="H2458">
        <v>0</v>
      </c>
      <c r="I2458">
        <v>0</v>
      </c>
      <c r="J2458" s="1">
        <v>10000</v>
      </c>
      <c r="K2458" s="1">
        <v>10000</v>
      </c>
    </row>
    <row r="2459" spans="1:11" x14ac:dyDescent="0.25">
      <c r="A2459" t="s">
        <v>529</v>
      </c>
      <c r="B2459" t="s">
        <v>2730</v>
      </c>
      <c r="C2459" t="s">
        <v>42</v>
      </c>
      <c r="D2459" t="s">
        <v>4467</v>
      </c>
      <c r="E2459" t="s">
        <v>4441</v>
      </c>
      <c r="F2459" t="s">
        <v>2742</v>
      </c>
      <c r="G2459" s="2">
        <v>45597</v>
      </c>
      <c r="H2459">
        <v>0</v>
      </c>
      <c r="I2459">
        <v>0</v>
      </c>
      <c r="J2459" s="1">
        <v>10000</v>
      </c>
      <c r="K2459" s="1">
        <v>10000</v>
      </c>
    </row>
    <row r="2460" spans="1:11" x14ac:dyDescent="0.25">
      <c r="A2460" t="s">
        <v>531</v>
      </c>
      <c r="B2460" t="s">
        <v>2716</v>
      </c>
      <c r="C2460" t="s">
        <v>16</v>
      </c>
      <c r="D2460" t="s">
        <v>4462</v>
      </c>
      <c r="E2460" t="s">
        <v>4458</v>
      </c>
      <c r="F2460" t="s">
        <v>2742</v>
      </c>
      <c r="G2460" s="2">
        <v>45597</v>
      </c>
      <c r="H2460">
        <v>0</v>
      </c>
      <c r="I2460">
        <v>0</v>
      </c>
      <c r="J2460" s="1">
        <v>10000</v>
      </c>
      <c r="K2460" s="1">
        <v>10000</v>
      </c>
    </row>
    <row r="2461" spans="1:11" x14ac:dyDescent="0.25">
      <c r="A2461" t="s">
        <v>527</v>
      </c>
      <c r="B2461" t="s">
        <v>2728</v>
      </c>
      <c r="C2461" t="s">
        <v>16</v>
      </c>
      <c r="D2461" t="s">
        <v>4465</v>
      </c>
      <c r="E2461" t="s">
        <v>4439</v>
      </c>
      <c r="F2461" t="s">
        <v>2742</v>
      </c>
      <c r="G2461" s="2">
        <v>45597</v>
      </c>
      <c r="H2461">
        <v>0</v>
      </c>
      <c r="I2461">
        <v>0</v>
      </c>
      <c r="J2461" s="1">
        <v>10000</v>
      </c>
      <c r="K2461" s="1">
        <v>10000</v>
      </c>
    </row>
    <row r="2462" spans="1:11" x14ac:dyDescent="0.25">
      <c r="A2462" t="s">
        <v>530</v>
      </c>
      <c r="B2462" t="s">
        <v>2714</v>
      </c>
      <c r="C2462" t="s">
        <v>16</v>
      </c>
      <c r="D2462" t="s">
        <v>4466</v>
      </c>
      <c r="E2462" t="s">
        <v>4434</v>
      </c>
      <c r="F2462" t="s">
        <v>2742</v>
      </c>
      <c r="G2462" s="2">
        <v>45597</v>
      </c>
      <c r="H2462">
        <v>0</v>
      </c>
      <c r="I2462">
        <v>0</v>
      </c>
      <c r="J2462" s="1">
        <v>10000</v>
      </c>
      <c r="K2462" s="1">
        <v>10000</v>
      </c>
    </row>
    <row r="2463" spans="1:11" x14ac:dyDescent="0.25">
      <c r="A2463" t="s">
        <v>517</v>
      </c>
      <c r="B2463" t="s">
        <v>2698</v>
      </c>
      <c r="C2463" t="s">
        <v>16</v>
      </c>
      <c r="D2463" t="s">
        <v>4465</v>
      </c>
      <c r="E2463" t="s">
        <v>4442</v>
      </c>
      <c r="F2463" t="s">
        <v>2742</v>
      </c>
      <c r="G2463" s="2">
        <v>45598</v>
      </c>
      <c r="H2463">
        <v>0</v>
      </c>
      <c r="I2463">
        <v>0</v>
      </c>
      <c r="J2463" s="1">
        <v>10000</v>
      </c>
      <c r="K2463" s="1">
        <v>10000</v>
      </c>
    </row>
    <row r="2464" spans="1:11" x14ac:dyDescent="0.25">
      <c r="A2464" t="s">
        <v>519</v>
      </c>
      <c r="B2464" t="s">
        <v>2712</v>
      </c>
      <c r="C2464" t="s">
        <v>16</v>
      </c>
      <c r="D2464" t="s">
        <v>4461</v>
      </c>
      <c r="E2464" t="s">
        <v>4449</v>
      </c>
      <c r="F2464" t="s">
        <v>2742</v>
      </c>
      <c r="G2464" s="2">
        <v>45598</v>
      </c>
      <c r="H2464">
        <v>0</v>
      </c>
      <c r="I2464">
        <v>0</v>
      </c>
      <c r="J2464" s="1">
        <v>10000</v>
      </c>
      <c r="K2464" s="1">
        <v>10000</v>
      </c>
    </row>
    <row r="2465" spans="1:11" x14ac:dyDescent="0.25">
      <c r="A2465" t="s">
        <v>514</v>
      </c>
      <c r="B2465" t="s">
        <v>2723</v>
      </c>
      <c r="C2465" t="s">
        <v>16</v>
      </c>
      <c r="D2465" t="s">
        <v>4462</v>
      </c>
      <c r="E2465" t="s">
        <v>4443</v>
      </c>
      <c r="F2465" t="s">
        <v>2742</v>
      </c>
      <c r="G2465" s="2">
        <v>45599</v>
      </c>
      <c r="H2465">
        <v>0</v>
      </c>
      <c r="I2465">
        <v>0</v>
      </c>
      <c r="J2465" s="1">
        <v>10000</v>
      </c>
      <c r="K2465" s="1">
        <v>10000</v>
      </c>
    </row>
    <row r="2466" spans="1:11" x14ac:dyDescent="0.25">
      <c r="A2466" t="s">
        <v>516</v>
      </c>
      <c r="B2466" t="s">
        <v>2726</v>
      </c>
      <c r="C2466" t="s">
        <v>16</v>
      </c>
      <c r="D2466" t="s">
        <v>4466</v>
      </c>
      <c r="E2466" t="s">
        <v>4437</v>
      </c>
      <c r="F2466" t="s">
        <v>2742</v>
      </c>
      <c r="G2466" s="2">
        <v>45599</v>
      </c>
      <c r="H2466">
        <v>0</v>
      </c>
      <c r="I2466">
        <v>0</v>
      </c>
      <c r="J2466" s="1">
        <v>10000</v>
      </c>
      <c r="K2466" s="1">
        <v>10000</v>
      </c>
    </row>
    <row r="2467" spans="1:11" x14ac:dyDescent="0.25">
      <c r="A2467" t="s">
        <v>508</v>
      </c>
      <c r="B2467" t="s">
        <v>2713</v>
      </c>
      <c r="C2467" t="s">
        <v>16</v>
      </c>
      <c r="D2467" t="s">
        <v>4465</v>
      </c>
      <c r="E2467" t="s">
        <v>4428</v>
      </c>
      <c r="F2467" t="s">
        <v>2742</v>
      </c>
      <c r="G2467" s="2">
        <v>45600</v>
      </c>
      <c r="H2467">
        <v>0</v>
      </c>
      <c r="I2467">
        <v>0</v>
      </c>
      <c r="J2467" s="1">
        <v>10000</v>
      </c>
      <c r="K2467" s="1">
        <v>10000</v>
      </c>
    </row>
    <row r="2468" spans="1:11" x14ac:dyDescent="0.25">
      <c r="A2468" t="s">
        <v>513</v>
      </c>
      <c r="B2468" t="s">
        <v>2705</v>
      </c>
      <c r="C2468" t="s">
        <v>42</v>
      </c>
      <c r="D2468" t="s">
        <v>4467</v>
      </c>
      <c r="E2468" t="s">
        <v>4435</v>
      </c>
      <c r="F2468" t="s">
        <v>2742</v>
      </c>
      <c r="G2468" s="2">
        <v>45600</v>
      </c>
      <c r="H2468">
        <v>0</v>
      </c>
      <c r="I2468">
        <v>0</v>
      </c>
      <c r="J2468" s="1">
        <v>10000</v>
      </c>
      <c r="K2468" s="1">
        <v>10000</v>
      </c>
    </row>
    <row r="2469" spans="1:11" x14ac:dyDescent="0.25">
      <c r="A2469" t="s">
        <v>498</v>
      </c>
      <c r="B2469" t="s">
        <v>2724</v>
      </c>
      <c r="C2469" t="s">
        <v>16</v>
      </c>
      <c r="D2469" t="s">
        <v>4462</v>
      </c>
      <c r="E2469" t="s">
        <v>4451</v>
      </c>
      <c r="F2469" t="s">
        <v>2742</v>
      </c>
      <c r="G2469" s="2">
        <v>45601</v>
      </c>
      <c r="H2469">
        <v>0</v>
      </c>
      <c r="I2469">
        <v>0</v>
      </c>
      <c r="J2469" s="1">
        <v>10000</v>
      </c>
      <c r="K2469" s="1">
        <v>10000</v>
      </c>
    </row>
    <row r="2470" spans="1:11" x14ac:dyDescent="0.25">
      <c r="A2470" t="s">
        <v>502</v>
      </c>
      <c r="B2470" t="s">
        <v>2700</v>
      </c>
      <c r="C2470" t="s">
        <v>27</v>
      </c>
      <c r="D2470" t="s">
        <v>4466</v>
      </c>
      <c r="E2470" t="s">
        <v>4450</v>
      </c>
      <c r="F2470" t="s">
        <v>2742</v>
      </c>
      <c r="G2470" s="2">
        <v>45601</v>
      </c>
      <c r="H2470">
        <v>0</v>
      </c>
      <c r="I2470">
        <v>0</v>
      </c>
      <c r="J2470" s="1">
        <v>10000</v>
      </c>
      <c r="K2470" s="1">
        <v>10000</v>
      </c>
    </row>
    <row r="2471" spans="1:11" x14ac:dyDescent="0.25">
      <c r="A2471" t="s">
        <v>504</v>
      </c>
      <c r="B2471" t="s">
        <v>2728</v>
      </c>
      <c r="C2471" t="s">
        <v>16</v>
      </c>
      <c r="D2471" t="s">
        <v>4465</v>
      </c>
      <c r="E2471" t="s">
        <v>4439</v>
      </c>
      <c r="F2471" t="s">
        <v>2742</v>
      </c>
      <c r="G2471" s="2">
        <v>45601</v>
      </c>
      <c r="H2471">
        <v>0</v>
      </c>
      <c r="I2471">
        <v>0</v>
      </c>
      <c r="J2471" s="1">
        <v>10000</v>
      </c>
      <c r="K2471" s="1">
        <v>10000</v>
      </c>
    </row>
    <row r="2472" spans="1:11" x14ac:dyDescent="0.25">
      <c r="A2472" t="s">
        <v>491</v>
      </c>
      <c r="B2472" t="s">
        <v>2721</v>
      </c>
      <c r="C2472" t="s">
        <v>16</v>
      </c>
      <c r="D2472" t="s">
        <v>4466</v>
      </c>
      <c r="E2472" t="s">
        <v>4438</v>
      </c>
      <c r="F2472" t="s">
        <v>2742</v>
      </c>
      <c r="G2472" s="2">
        <v>45602</v>
      </c>
      <c r="H2472">
        <v>0</v>
      </c>
      <c r="I2472">
        <v>0</v>
      </c>
      <c r="J2472" s="1">
        <v>10000</v>
      </c>
      <c r="K2472" s="1">
        <v>10000</v>
      </c>
    </row>
    <row r="2473" spans="1:11" x14ac:dyDescent="0.25">
      <c r="A2473" t="s">
        <v>497</v>
      </c>
      <c r="B2473" t="s">
        <v>2710</v>
      </c>
      <c r="C2473" t="s">
        <v>42</v>
      </c>
      <c r="D2473" t="s">
        <v>4467</v>
      </c>
      <c r="E2473" t="s">
        <v>4436</v>
      </c>
      <c r="F2473" t="s">
        <v>2742</v>
      </c>
      <c r="G2473" s="2">
        <v>45602</v>
      </c>
      <c r="H2473">
        <v>0</v>
      </c>
      <c r="I2473">
        <v>0</v>
      </c>
      <c r="J2473" s="1">
        <v>10000</v>
      </c>
      <c r="K2473" s="1">
        <v>10000</v>
      </c>
    </row>
    <row r="2474" spans="1:11" x14ac:dyDescent="0.25">
      <c r="A2474" t="s">
        <v>480</v>
      </c>
      <c r="B2474" t="s">
        <v>2718</v>
      </c>
      <c r="C2474" t="s">
        <v>16</v>
      </c>
      <c r="D2474" t="s">
        <v>4466</v>
      </c>
      <c r="E2474" t="s">
        <v>4438</v>
      </c>
      <c r="F2474" t="s">
        <v>2742</v>
      </c>
      <c r="G2474" s="2">
        <v>45603</v>
      </c>
      <c r="H2474">
        <v>0</v>
      </c>
      <c r="I2474">
        <v>0</v>
      </c>
      <c r="J2474" s="1">
        <v>10000</v>
      </c>
      <c r="K2474" s="1">
        <v>10000</v>
      </c>
    </row>
    <row r="2475" spans="1:11" x14ac:dyDescent="0.25">
      <c r="A2475" t="s">
        <v>473</v>
      </c>
      <c r="B2475" t="s">
        <v>2701</v>
      </c>
      <c r="C2475" t="s">
        <v>16</v>
      </c>
      <c r="D2475" t="s">
        <v>4466</v>
      </c>
      <c r="E2475" t="s">
        <v>4453</v>
      </c>
      <c r="F2475" t="s">
        <v>2742</v>
      </c>
      <c r="G2475" s="2">
        <v>45604</v>
      </c>
      <c r="H2475">
        <v>0</v>
      </c>
      <c r="I2475">
        <v>0</v>
      </c>
      <c r="J2475" s="1">
        <v>10000</v>
      </c>
      <c r="K2475" s="1">
        <v>10000</v>
      </c>
    </row>
    <row r="2476" spans="1:11" x14ac:dyDescent="0.25">
      <c r="A2476" t="s">
        <v>459</v>
      </c>
      <c r="B2476" t="s">
        <v>2699</v>
      </c>
      <c r="C2476" t="s">
        <v>16</v>
      </c>
      <c r="D2476" t="s">
        <v>4462</v>
      </c>
      <c r="E2476" t="s">
        <v>4440</v>
      </c>
      <c r="F2476" t="s">
        <v>2742</v>
      </c>
      <c r="G2476" s="2">
        <v>45605</v>
      </c>
      <c r="H2476">
        <v>0</v>
      </c>
      <c r="I2476">
        <v>0</v>
      </c>
      <c r="J2476" s="1">
        <v>10000</v>
      </c>
      <c r="K2476" s="1">
        <v>10000</v>
      </c>
    </row>
    <row r="2477" spans="1:11" x14ac:dyDescent="0.25">
      <c r="A2477" t="s">
        <v>461</v>
      </c>
      <c r="B2477" t="s">
        <v>2714</v>
      </c>
      <c r="C2477" t="s">
        <v>16</v>
      </c>
      <c r="D2477" t="s">
        <v>4466</v>
      </c>
      <c r="E2477" t="s">
        <v>4434</v>
      </c>
      <c r="F2477" t="s">
        <v>2742</v>
      </c>
      <c r="G2477" s="2">
        <v>45605</v>
      </c>
      <c r="H2477">
        <v>0</v>
      </c>
      <c r="I2477">
        <v>0</v>
      </c>
      <c r="J2477" s="1">
        <v>10000</v>
      </c>
      <c r="K2477" s="1">
        <v>10000</v>
      </c>
    </row>
    <row r="2478" spans="1:11" x14ac:dyDescent="0.25">
      <c r="A2478" t="s">
        <v>455</v>
      </c>
      <c r="B2478" t="s">
        <v>2731</v>
      </c>
      <c r="C2478" t="s">
        <v>16</v>
      </c>
      <c r="D2478" t="s">
        <v>4465</v>
      </c>
      <c r="E2478" t="s">
        <v>4460</v>
      </c>
      <c r="F2478" t="s">
        <v>2742</v>
      </c>
      <c r="G2478" s="2">
        <v>45606</v>
      </c>
      <c r="H2478">
        <v>0</v>
      </c>
      <c r="I2478">
        <v>0</v>
      </c>
      <c r="J2478" s="1">
        <v>10000</v>
      </c>
      <c r="K2478" s="1">
        <v>10000</v>
      </c>
    </row>
    <row r="2479" spans="1:11" x14ac:dyDescent="0.25">
      <c r="A2479" t="s">
        <v>458</v>
      </c>
      <c r="B2479" t="s">
        <v>2733</v>
      </c>
      <c r="C2479" t="s">
        <v>16</v>
      </c>
      <c r="D2479" t="s">
        <v>4465</v>
      </c>
      <c r="E2479" t="s">
        <v>4448</v>
      </c>
      <c r="F2479" t="s">
        <v>2742</v>
      </c>
      <c r="G2479" s="2">
        <v>45606</v>
      </c>
      <c r="H2479">
        <v>0</v>
      </c>
      <c r="I2479">
        <v>0</v>
      </c>
      <c r="J2479" s="1">
        <v>10000</v>
      </c>
      <c r="K2479" s="1">
        <v>10000</v>
      </c>
    </row>
    <row r="2480" spans="1:11" x14ac:dyDescent="0.25">
      <c r="A2480" t="s">
        <v>449</v>
      </c>
      <c r="B2480" t="s">
        <v>2729</v>
      </c>
      <c r="C2480" t="s">
        <v>16</v>
      </c>
      <c r="D2480" t="s">
        <v>4465</v>
      </c>
      <c r="E2480" t="s">
        <v>4427</v>
      </c>
      <c r="F2480" t="s">
        <v>2742</v>
      </c>
      <c r="G2480" s="2">
        <v>45607</v>
      </c>
      <c r="H2480">
        <v>0</v>
      </c>
      <c r="I2480">
        <v>0</v>
      </c>
      <c r="J2480" s="1">
        <v>10000</v>
      </c>
      <c r="K2480" s="1">
        <v>10000</v>
      </c>
    </row>
    <row r="2481" spans="1:11" x14ac:dyDescent="0.25">
      <c r="A2481" t="s">
        <v>445</v>
      </c>
      <c r="B2481" t="s">
        <v>2732</v>
      </c>
      <c r="C2481" t="s">
        <v>16</v>
      </c>
      <c r="D2481" t="s">
        <v>4461</v>
      </c>
      <c r="E2481" t="s">
        <v>4444</v>
      </c>
      <c r="F2481" t="s">
        <v>2742</v>
      </c>
      <c r="G2481" s="2">
        <v>45608</v>
      </c>
      <c r="H2481">
        <v>0</v>
      </c>
      <c r="I2481">
        <v>0</v>
      </c>
      <c r="J2481" s="1">
        <v>10000</v>
      </c>
      <c r="K2481" s="1">
        <v>10000</v>
      </c>
    </row>
    <row r="2482" spans="1:11" x14ac:dyDescent="0.25">
      <c r="A2482" t="s">
        <v>429</v>
      </c>
      <c r="B2482" t="s">
        <v>2719</v>
      </c>
      <c r="C2482" t="s">
        <v>16</v>
      </c>
      <c r="D2482" t="s">
        <v>4466</v>
      </c>
      <c r="E2482" t="s">
        <v>4430</v>
      </c>
      <c r="F2482" t="s">
        <v>2742</v>
      </c>
      <c r="G2482" s="2">
        <v>45610</v>
      </c>
      <c r="H2482">
        <v>0</v>
      </c>
      <c r="I2482">
        <v>0</v>
      </c>
      <c r="J2482" s="1">
        <v>10000</v>
      </c>
      <c r="K2482" s="1">
        <v>10000</v>
      </c>
    </row>
    <row r="2483" spans="1:11" x14ac:dyDescent="0.25">
      <c r="A2483" t="s">
        <v>367</v>
      </c>
      <c r="B2483" t="s">
        <v>2709</v>
      </c>
      <c r="C2483" t="s">
        <v>42</v>
      </c>
      <c r="D2483" t="s">
        <v>4467</v>
      </c>
      <c r="E2483" t="s">
        <v>4456</v>
      </c>
      <c r="F2483" t="s">
        <v>2742</v>
      </c>
      <c r="G2483" s="2">
        <v>45619</v>
      </c>
      <c r="H2483">
        <v>0</v>
      </c>
      <c r="I2483">
        <v>0</v>
      </c>
      <c r="J2483" s="1">
        <v>10000</v>
      </c>
      <c r="K2483" s="1">
        <v>10000</v>
      </c>
    </row>
    <row r="2484" spans="1:11" x14ac:dyDescent="0.25">
      <c r="A2484" t="s">
        <v>349</v>
      </c>
      <c r="B2484" t="s">
        <v>2708</v>
      </c>
      <c r="C2484" t="s">
        <v>16</v>
      </c>
      <c r="D2484" t="s">
        <v>4466</v>
      </c>
      <c r="E2484" t="s">
        <v>4457</v>
      </c>
      <c r="F2484" t="s">
        <v>2742</v>
      </c>
      <c r="G2484" s="2">
        <v>45620</v>
      </c>
      <c r="H2484">
        <v>0</v>
      </c>
      <c r="I2484">
        <v>0</v>
      </c>
      <c r="J2484" s="1">
        <v>10000</v>
      </c>
      <c r="K2484" s="1">
        <v>10000</v>
      </c>
    </row>
    <row r="2485" spans="1:11" x14ac:dyDescent="0.25">
      <c r="A2485" t="s">
        <v>357</v>
      </c>
      <c r="B2485" t="s">
        <v>2707</v>
      </c>
      <c r="C2485" t="s">
        <v>16</v>
      </c>
      <c r="D2485" t="s">
        <v>4462</v>
      </c>
      <c r="E2485" t="s">
        <v>4433</v>
      </c>
      <c r="F2485" t="s">
        <v>2742</v>
      </c>
      <c r="G2485" s="2">
        <v>45620</v>
      </c>
      <c r="H2485">
        <v>0</v>
      </c>
      <c r="I2485">
        <v>0</v>
      </c>
      <c r="J2485" s="1">
        <v>10000</v>
      </c>
      <c r="K2485" s="1">
        <v>10000</v>
      </c>
    </row>
    <row r="2486" spans="1:11" x14ac:dyDescent="0.25">
      <c r="A2486" t="s">
        <v>365</v>
      </c>
      <c r="B2486" t="s">
        <v>2735</v>
      </c>
      <c r="C2486" t="s">
        <v>16</v>
      </c>
      <c r="D2486" t="s">
        <v>4462</v>
      </c>
      <c r="E2486" t="s">
        <v>4426</v>
      </c>
      <c r="F2486" t="s">
        <v>2742</v>
      </c>
      <c r="G2486" s="2">
        <v>45620</v>
      </c>
      <c r="H2486">
        <v>0</v>
      </c>
      <c r="I2486">
        <v>0</v>
      </c>
      <c r="J2486" s="1">
        <v>10000</v>
      </c>
      <c r="K2486" s="1">
        <v>10000</v>
      </c>
    </row>
    <row r="2487" spans="1:11" x14ac:dyDescent="0.25">
      <c r="A2487" t="s">
        <v>317</v>
      </c>
      <c r="B2487" t="s">
        <v>2711</v>
      </c>
      <c r="C2487" t="s">
        <v>16</v>
      </c>
      <c r="D2487" t="s">
        <v>4461</v>
      </c>
      <c r="E2487" t="s">
        <v>4447</v>
      </c>
      <c r="F2487" t="s">
        <v>2742</v>
      </c>
      <c r="G2487" s="2">
        <v>45624</v>
      </c>
      <c r="H2487">
        <v>0</v>
      </c>
      <c r="I2487">
        <v>0</v>
      </c>
      <c r="J2487" s="1">
        <v>10000</v>
      </c>
      <c r="K2487" s="1">
        <v>10000</v>
      </c>
    </row>
    <row r="2488" spans="1:11" x14ac:dyDescent="0.25">
      <c r="A2488" t="s">
        <v>325</v>
      </c>
      <c r="B2488" t="s">
        <v>2727</v>
      </c>
      <c r="C2488" t="s">
        <v>16</v>
      </c>
      <c r="D2488" t="s">
        <v>4465</v>
      </c>
      <c r="E2488" t="s">
        <v>4445</v>
      </c>
      <c r="F2488" t="s">
        <v>2742</v>
      </c>
      <c r="G2488" s="2">
        <v>45624</v>
      </c>
      <c r="H2488">
        <v>0</v>
      </c>
      <c r="I2488">
        <v>0</v>
      </c>
      <c r="J2488" s="1">
        <v>10000</v>
      </c>
      <c r="K2488" s="1">
        <v>10000</v>
      </c>
    </row>
    <row r="2489" spans="1:11" x14ac:dyDescent="0.25">
      <c r="A2489" t="s">
        <v>293</v>
      </c>
      <c r="B2489" t="s">
        <v>2724</v>
      </c>
      <c r="C2489" t="s">
        <v>16</v>
      </c>
      <c r="D2489" t="s">
        <v>4462</v>
      </c>
      <c r="E2489" t="s">
        <v>4451</v>
      </c>
      <c r="F2489" t="s">
        <v>2742</v>
      </c>
      <c r="G2489" s="2">
        <v>45627</v>
      </c>
      <c r="H2489">
        <v>0</v>
      </c>
      <c r="I2489">
        <v>0</v>
      </c>
      <c r="J2489" s="1">
        <v>10000</v>
      </c>
      <c r="K2489" s="1">
        <v>10000</v>
      </c>
    </row>
    <row r="2490" spans="1:11" x14ac:dyDescent="0.25">
      <c r="A2490" t="s">
        <v>295</v>
      </c>
      <c r="B2490" t="s">
        <v>2731</v>
      </c>
      <c r="C2490" t="s">
        <v>16</v>
      </c>
      <c r="D2490" t="s">
        <v>4465</v>
      </c>
      <c r="E2490" t="s">
        <v>4460</v>
      </c>
      <c r="F2490" t="s">
        <v>2742</v>
      </c>
      <c r="G2490" s="2">
        <v>45627</v>
      </c>
      <c r="H2490">
        <v>0</v>
      </c>
      <c r="I2490">
        <v>0</v>
      </c>
      <c r="J2490" s="1">
        <v>10000</v>
      </c>
      <c r="K2490" s="1">
        <v>10000</v>
      </c>
    </row>
    <row r="2491" spans="1:11" x14ac:dyDescent="0.25">
      <c r="A2491" t="s">
        <v>297</v>
      </c>
      <c r="B2491" t="s">
        <v>2716</v>
      </c>
      <c r="C2491" t="s">
        <v>16</v>
      </c>
      <c r="D2491" t="s">
        <v>4462</v>
      </c>
      <c r="E2491" t="s">
        <v>4458</v>
      </c>
      <c r="F2491" t="s">
        <v>2742</v>
      </c>
      <c r="G2491" s="2">
        <v>45627</v>
      </c>
      <c r="H2491">
        <v>0</v>
      </c>
      <c r="I2491">
        <v>0</v>
      </c>
      <c r="J2491" s="1">
        <v>10000</v>
      </c>
      <c r="K2491" s="1">
        <v>10000</v>
      </c>
    </row>
    <row r="2492" spans="1:11" x14ac:dyDescent="0.25">
      <c r="A2492" t="s">
        <v>298</v>
      </c>
      <c r="B2492" t="s">
        <v>2730</v>
      </c>
      <c r="C2492" t="s">
        <v>42</v>
      </c>
      <c r="D2492" t="s">
        <v>4467</v>
      </c>
      <c r="E2492" t="s">
        <v>4441</v>
      </c>
      <c r="F2492" t="s">
        <v>2742</v>
      </c>
      <c r="G2492" s="2">
        <v>45627</v>
      </c>
      <c r="H2492">
        <v>0</v>
      </c>
      <c r="I2492">
        <v>0</v>
      </c>
      <c r="J2492" s="1">
        <v>10000</v>
      </c>
      <c r="K2492" s="1">
        <v>10000</v>
      </c>
    </row>
    <row r="2493" spans="1:11" x14ac:dyDescent="0.25">
      <c r="A2493" t="s">
        <v>286</v>
      </c>
      <c r="B2493" t="s">
        <v>2713</v>
      </c>
      <c r="C2493" t="s">
        <v>16</v>
      </c>
      <c r="D2493" t="s">
        <v>4465</v>
      </c>
      <c r="E2493" t="s">
        <v>4428</v>
      </c>
      <c r="F2493" t="s">
        <v>2742</v>
      </c>
      <c r="G2493" s="2">
        <v>45628</v>
      </c>
      <c r="H2493">
        <v>0</v>
      </c>
      <c r="I2493">
        <v>0</v>
      </c>
      <c r="J2493" s="1">
        <v>10000</v>
      </c>
      <c r="K2493" s="1">
        <v>10000</v>
      </c>
    </row>
    <row r="2494" spans="1:11" x14ac:dyDescent="0.25">
      <c r="A2494" t="s">
        <v>289</v>
      </c>
      <c r="B2494" t="s">
        <v>2714</v>
      </c>
      <c r="C2494" t="s">
        <v>16</v>
      </c>
      <c r="D2494" t="s">
        <v>4466</v>
      </c>
      <c r="E2494" t="s">
        <v>4434</v>
      </c>
      <c r="F2494" t="s">
        <v>2742</v>
      </c>
      <c r="G2494" s="2">
        <v>45628</v>
      </c>
      <c r="H2494">
        <v>0</v>
      </c>
      <c r="I2494">
        <v>0</v>
      </c>
      <c r="J2494" s="1">
        <v>10000</v>
      </c>
      <c r="K2494" s="1">
        <v>10000</v>
      </c>
    </row>
    <row r="2495" spans="1:11" x14ac:dyDescent="0.25">
      <c r="A2495" t="s">
        <v>277</v>
      </c>
      <c r="B2495" t="s">
        <v>2700</v>
      </c>
      <c r="C2495" t="s">
        <v>27</v>
      </c>
      <c r="D2495" t="s">
        <v>4466</v>
      </c>
      <c r="E2495" t="s">
        <v>4450</v>
      </c>
      <c r="F2495" t="s">
        <v>2742</v>
      </c>
      <c r="G2495" s="2">
        <v>45629</v>
      </c>
      <c r="H2495">
        <v>0</v>
      </c>
      <c r="I2495">
        <v>0</v>
      </c>
      <c r="J2495" s="1">
        <v>10000</v>
      </c>
      <c r="K2495" s="1">
        <v>10000</v>
      </c>
    </row>
    <row r="2496" spans="1:11" x14ac:dyDescent="0.25">
      <c r="A2496" t="s">
        <v>281</v>
      </c>
      <c r="B2496" t="s">
        <v>2705</v>
      </c>
      <c r="C2496" t="s">
        <v>42</v>
      </c>
      <c r="D2496" t="s">
        <v>4467</v>
      </c>
      <c r="E2496" t="s">
        <v>4435</v>
      </c>
      <c r="F2496" t="s">
        <v>2742</v>
      </c>
      <c r="G2496" s="2">
        <v>45629</v>
      </c>
      <c r="H2496">
        <v>0</v>
      </c>
      <c r="I2496">
        <v>0</v>
      </c>
      <c r="J2496" s="1">
        <v>10000</v>
      </c>
      <c r="K2496" s="1">
        <v>10000</v>
      </c>
    </row>
    <row r="2497" spans="1:11" x14ac:dyDescent="0.25">
      <c r="A2497" t="s">
        <v>283</v>
      </c>
      <c r="B2497" t="s">
        <v>2719</v>
      </c>
      <c r="C2497" t="s">
        <v>16</v>
      </c>
      <c r="D2497" t="s">
        <v>4466</v>
      </c>
      <c r="E2497" t="s">
        <v>4430</v>
      </c>
      <c r="F2497" t="s">
        <v>2742</v>
      </c>
      <c r="G2497" s="2">
        <v>45629</v>
      </c>
      <c r="H2497">
        <v>0</v>
      </c>
      <c r="I2497">
        <v>0</v>
      </c>
      <c r="J2497" s="1">
        <v>10000</v>
      </c>
      <c r="K2497" s="1">
        <v>10000</v>
      </c>
    </row>
    <row r="2498" spans="1:11" x14ac:dyDescent="0.25">
      <c r="A2498" t="s">
        <v>247</v>
      </c>
      <c r="B2498" t="s">
        <v>2723</v>
      </c>
      <c r="C2498" t="s">
        <v>16</v>
      </c>
      <c r="D2498" t="s">
        <v>4462</v>
      </c>
      <c r="E2498" t="s">
        <v>4443</v>
      </c>
      <c r="F2498" t="s">
        <v>2742</v>
      </c>
      <c r="G2498" s="2">
        <v>45631</v>
      </c>
      <c r="H2498">
        <v>0</v>
      </c>
      <c r="I2498">
        <v>0</v>
      </c>
      <c r="J2498" s="1">
        <v>10000</v>
      </c>
      <c r="K2498" s="1">
        <v>10000</v>
      </c>
    </row>
    <row r="2499" spans="1:11" x14ac:dyDescent="0.25">
      <c r="A2499" t="s">
        <v>248</v>
      </c>
      <c r="B2499" t="s">
        <v>2701</v>
      </c>
      <c r="C2499" t="s">
        <v>16</v>
      </c>
      <c r="D2499" t="s">
        <v>4466</v>
      </c>
      <c r="E2499" t="s">
        <v>4453</v>
      </c>
      <c r="F2499" t="s">
        <v>2742</v>
      </c>
      <c r="G2499" s="2">
        <v>45631</v>
      </c>
      <c r="H2499">
        <v>0</v>
      </c>
      <c r="I2499">
        <v>0</v>
      </c>
      <c r="J2499" s="1">
        <v>10000</v>
      </c>
      <c r="K2499" s="1">
        <v>10000</v>
      </c>
    </row>
    <row r="2500" spans="1:11" x14ac:dyDescent="0.25">
      <c r="A2500" t="s">
        <v>261</v>
      </c>
      <c r="B2500" t="s">
        <v>2720</v>
      </c>
      <c r="C2500" t="s">
        <v>16</v>
      </c>
      <c r="D2500" t="s">
        <v>4461</v>
      </c>
      <c r="E2500" t="s">
        <v>4425</v>
      </c>
      <c r="F2500" t="s">
        <v>2742</v>
      </c>
      <c r="G2500" s="2">
        <v>45631</v>
      </c>
      <c r="H2500">
        <v>0</v>
      </c>
      <c r="I2500">
        <v>0</v>
      </c>
      <c r="J2500" s="1">
        <v>10000</v>
      </c>
      <c r="K2500" s="1">
        <v>10000</v>
      </c>
    </row>
    <row r="2501" spans="1:11" x14ac:dyDescent="0.25">
      <c r="A2501" t="s">
        <v>244</v>
      </c>
      <c r="B2501" t="s">
        <v>2709</v>
      </c>
      <c r="C2501" t="s">
        <v>42</v>
      </c>
      <c r="D2501" t="s">
        <v>4467</v>
      </c>
      <c r="E2501" t="s">
        <v>4456</v>
      </c>
      <c r="F2501" t="s">
        <v>2742</v>
      </c>
      <c r="G2501" s="2">
        <v>45632</v>
      </c>
      <c r="H2501">
        <v>0</v>
      </c>
      <c r="I2501">
        <v>0</v>
      </c>
      <c r="J2501" s="1">
        <v>10000</v>
      </c>
      <c r="K2501" s="1">
        <v>10000</v>
      </c>
    </row>
    <row r="2502" spans="1:11" x14ac:dyDescent="0.25">
      <c r="A2502" t="s">
        <v>245</v>
      </c>
      <c r="B2502" t="s">
        <v>2710</v>
      </c>
      <c r="C2502" t="s">
        <v>42</v>
      </c>
      <c r="D2502" t="s">
        <v>4467</v>
      </c>
      <c r="E2502" t="s">
        <v>4436</v>
      </c>
      <c r="F2502" t="s">
        <v>2742</v>
      </c>
      <c r="G2502" s="2">
        <v>45632</v>
      </c>
      <c r="H2502">
        <v>0</v>
      </c>
      <c r="I2502">
        <v>0</v>
      </c>
      <c r="J2502" s="1">
        <v>10000</v>
      </c>
      <c r="K2502" s="1">
        <v>10000</v>
      </c>
    </row>
    <row r="2503" spans="1:11" x14ac:dyDescent="0.25">
      <c r="A2503" t="s">
        <v>220</v>
      </c>
      <c r="B2503" t="s">
        <v>2733</v>
      </c>
      <c r="C2503" t="s">
        <v>16</v>
      </c>
      <c r="D2503" t="s">
        <v>4465</v>
      </c>
      <c r="E2503" t="s">
        <v>4448</v>
      </c>
      <c r="F2503" t="s">
        <v>2742</v>
      </c>
      <c r="G2503" s="2">
        <v>45635</v>
      </c>
      <c r="H2503">
        <v>0</v>
      </c>
      <c r="I2503">
        <v>0</v>
      </c>
      <c r="J2503" s="1">
        <v>10000</v>
      </c>
      <c r="K2503" s="1">
        <v>10000</v>
      </c>
    </row>
    <row r="2504" spans="1:11" x14ac:dyDescent="0.25">
      <c r="A2504" t="s">
        <v>216</v>
      </c>
      <c r="B2504" t="s">
        <v>2732</v>
      </c>
      <c r="C2504" t="s">
        <v>16</v>
      </c>
      <c r="D2504" t="s">
        <v>4461</v>
      </c>
      <c r="E2504" t="s">
        <v>4444</v>
      </c>
      <c r="F2504" t="s">
        <v>2742</v>
      </c>
      <c r="G2504" s="2">
        <v>45636</v>
      </c>
      <c r="H2504">
        <v>0</v>
      </c>
      <c r="I2504">
        <v>0</v>
      </c>
      <c r="J2504" s="1">
        <v>10000</v>
      </c>
      <c r="K2504" s="1">
        <v>10000</v>
      </c>
    </row>
    <row r="2505" spans="1:11" x14ac:dyDescent="0.25">
      <c r="A2505" t="s">
        <v>177</v>
      </c>
      <c r="B2505" t="s">
        <v>2727</v>
      </c>
      <c r="C2505" t="s">
        <v>16</v>
      </c>
      <c r="D2505" t="s">
        <v>4465</v>
      </c>
      <c r="E2505" t="s">
        <v>4445</v>
      </c>
      <c r="F2505" t="s">
        <v>2742</v>
      </c>
      <c r="G2505" s="2">
        <v>45642</v>
      </c>
      <c r="H2505">
        <v>0</v>
      </c>
      <c r="I2505">
        <v>0</v>
      </c>
      <c r="J2505" s="1">
        <v>10000</v>
      </c>
      <c r="K2505" s="1">
        <v>10000</v>
      </c>
    </row>
    <row r="2506" spans="1:11" x14ac:dyDescent="0.25">
      <c r="A2506" t="s">
        <v>173</v>
      </c>
      <c r="B2506" t="s">
        <v>2718</v>
      </c>
      <c r="C2506" t="s">
        <v>16</v>
      </c>
      <c r="D2506" t="s">
        <v>4466</v>
      </c>
      <c r="E2506" t="s">
        <v>4438</v>
      </c>
      <c r="F2506" t="s">
        <v>2742</v>
      </c>
      <c r="G2506" s="2">
        <v>45643</v>
      </c>
      <c r="H2506">
        <v>0</v>
      </c>
      <c r="I2506">
        <v>0</v>
      </c>
      <c r="J2506" s="1">
        <v>10000</v>
      </c>
      <c r="K2506" s="1">
        <v>10000</v>
      </c>
    </row>
    <row r="2507" spans="1:11" x14ac:dyDescent="0.25">
      <c r="A2507" t="s">
        <v>111</v>
      </c>
      <c r="B2507" t="s">
        <v>2715</v>
      </c>
      <c r="C2507" t="s">
        <v>16</v>
      </c>
      <c r="D2507" t="s">
        <v>4462</v>
      </c>
      <c r="E2507" t="s">
        <v>4454</v>
      </c>
      <c r="F2507" t="s">
        <v>2742</v>
      </c>
      <c r="G2507" s="2">
        <v>45649</v>
      </c>
      <c r="H2507">
        <v>0</v>
      </c>
      <c r="I2507">
        <v>0</v>
      </c>
      <c r="J2507" s="1">
        <v>10000</v>
      </c>
      <c r="K2507" s="1">
        <v>10000</v>
      </c>
    </row>
    <row r="2508" spans="1:11" x14ac:dyDescent="0.25">
      <c r="A2508" t="s">
        <v>114</v>
      </c>
      <c r="B2508" t="s">
        <v>2715</v>
      </c>
      <c r="C2508" t="s">
        <v>16</v>
      </c>
      <c r="D2508" t="s">
        <v>4462</v>
      </c>
      <c r="E2508" t="s">
        <v>4454</v>
      </c>
      <c r="F2508" t="s">
        <v>2742</v>
      </c>
      <c r="G2508" s="2">
        <v>45649</v>
      </c>
      <c r="H2508">
        <v>0</v>
      </c>
      <c r="I2508">
        <v>0</v>
      </c>
      <c r="J2508" s="1">
        <v>10000</v>
      </c>
      <c r="K2508" s="1">
        <v>10000</v>
      </c>
    </row>
    <row r="2509" spans="1:11" x14ac:dyDescent="0.25">
      <c r="A2509" t="s">
        <v>76</v>
      </c>
      <c r="B2509" t="s">
        <v>2711</v>
      </c>
      <c r="C2509" t="s">
        <v>16</v>
      </c>
      <c r="D2509" t="s">
        <v>4461</v>
      </c>
      <c r="E2509" t="s">
        <v>4447</v>
      </c>
      <c r="F2509" t="s">
        <v>2742</v>
      </c>
      <c r="G2509" s="2">
        <v>45652</v>
      </c>
      <c r="H2509">
        <v>0</v>
      </c>
      <c r="I2509">
        <v>0</v>
      </c>
      <c r="J2509" s="1">
        <v>10000</v>
      </c>
      <c r="K2509" s="1">
        <v>10000</v>
      </c>
    </row>
    <row r="2510" spans="1:11" x14ac:dyDescent="0.25">
      <c r="A2510" t="s">
        <v>45</v>
      </c>
      <c r="B2510" t="s">
        <v>2699</v>
      </c>
      <c r="C2510" t="s">
        <v>16</v>
      </c>
      <c r="D2510" t="s">
        <v>4462</v>
      </c>
      <c r="E2510" t="s">
        <v>4440</v>
      </c>
      <c r="F2510" t="s">
        <v>2742</v>
      </c>
      <c r="G2510" s="2">
        <v>45656</v>
      </c>
      <c r="H2510">
        <v>0</v>
      </c>
      <c r="I2510">
        <v>0</v>
      </c>
      <c r="J2510" s="1">
        <v>10000</v>
      </c>
      <c r="K2510" s="1">
        <v>10000</v>
      </c>
    </row>
    <row r="2511" spans="1:11" x14ac:dyDescent="0.25">
      <c r="A2511" t="s">
        <v>48</v>
      </c>
      <c r="B2511" t="s">
        <v>2737</v>
      </c>
      <c r="C2511" t="s">
        <v>16</v>
      </c>
      <c r="D2511" t="s">
        <v>4466</v>
      </c>
      <c r="E2511" t="s">
        <v>4432</v>
      </c>
      <c r="F2511" t="s">
        <v>2742</v>
      </c>
      <c r="G2511" s="2">
        <v>45656</v>
      </c>
      <c r="H2511">
        <v>0</v>
      </c>
      <c r="I2511">
        <v>0</v>
      </c>
      <c r="J2511" s="1">
        <v>10000</v>
      </c>
      <c r="K2511" s="1">
        <v>120000</v>
      </c>
    </row>
    <row r="2512" spans="1:11" x14ac:dyDescent="0.25">
      <c r="A2512" t="s">
        <v>2658</v>
      </c>
      <c r="B2512" t="s">
        <v>2699</v>
      </c>
      <c r="C2512" t="s">
        <v>16</v>
      </c>
      <c r="D2512" t="s">
        <v>4462</v>
      </c>
      <c r="E2512" t="s">
        <v>4440</v>
      </c>
      <c r="F2512" t="s">
        <v>2747</v>
      </c>
      <c r="G2512" s="2">
        <v>45311</v>
      </c>
      <c r="H2512">
        <v>0</v>
      </c>
      <c r="I2512">
        <v>0</v>
      </c>
      <c r="J2512" s="1">
        <v>4750</v>
      </c>
      <c r="K2512" s="1">
        <v>4750</v>
      </c>
    </row>
    <row r="2513" spans="1:11" x14ac:dyDescent="0.25">
      <c r="A2513" t="s">
        <v>2590</v>
      </c>
      <c r="B2513" t="s">
        <v>2735</v>
      </c>
      <c r="C2513" t="s">
        <v>16</v>
      </c>
      <c r="D2513" t="s">
        <v>4462</v>
      </c>
      <c r="E2513" t="s">
        <v>4426</v>
      </c>
      <c r="F2513" t="s">
        <v>2747</v>
      </c>
      <c r="G2513" s="2">
        <v>45322</v>
      </c>
      <c r="H2513">
        <v>0</v>
      </c>
      <c r="I2513">
        <v>0</v>
      </c>
      <c r="J2513" s="1">
        <v>4750</v>
      </c>
      <c r="K2513" s="1">
        <v>4750</v>
      </c>
    </row>
    <row r="2514" spans="1:11" x14ac:dyDescent="0.25">
      <c r="A2514" t="s">
        <v>4476</v>
      </c>
      <c r="J2514" s="19"/>
      <c r="K2514" s="18">
        <f>SUBTOTAL(109,Estate_bills[Total Price])</f>
        <v>148997393.16000009</v>
      </c>
    </row>
  </sheetData>
  <sortState xmlns:xlrd2="http://schemas.microsoft.com/office/spreadsheetml/2017/richdata2" ref="A4:L2513">
    <sortCondition ref="F4:F2513"/>
  </sortState>
  <mergeCells count="12">
    <mergeCell ref="M42:N42"/>
    <mergeCell ref="M40:N40"/>
    <mergeCell ref="M35:O35"/>
    <mergeCell ref="M41:N41"/>
    <mergeCell ref="M31:N31"/>
    <mergeCell ref="M27:N27"/>
    <mergeCell ref="M23:N23"/>
    <mergeCell ref="M4:O4"/>
    <mergeCell ref="A1:K1"/>
    <mergeCell ref="M2:N2"/>
    <mergeCell ref="M15:N15"/>
    <mergeCell ref="M19:N19"/>
  </mergeCells>
  <conditionalFormatting sqref="M5">
    <cfRule type="colorScale" priority="4">
      <colorScale>
        <cfvo type="min"/>
        <cfvo type="max"/>
        <color rgb="FF00B050"/>
        <color rgb="FFFFEF9C"/>
      </colorScale>
    </cfRule>
  </conditionalFormatting>
  <conditionalFormatting sqref="M11">
    <cfRule type="expression" dxfId="83" priority="3">
      <formula>$M5=TRUE</formula>
    </cfRule>
  </conditionalFormatting>
  <conditionalFormatting sqref="M5:N13">
    <cfRule type="colorScale" priority="22">
      <colorScale>
        <cfvo type="min"/>
        <cfvo type="max"/>
        <color rgb="FF0070C0"/>
        <color rgb="FFFFEF9C"/>
      </colorScale>
    </cfRule>
  </conditionalFormatting>
  <conditionalFormatting sqref="M5:O13">
    <cfRule type="expression" dxfId="82" priority="1">
      <formula>$O5=TRUE</formula>
    </cfRule>
    <cfRule type="expression" dxfId="81" priority="2">
      <formula>$O5=TRUE</formula>
    </cfRule>
    <cfRule type="expression" priority="7">
      <formula>$M5=TRUE</formula>
    </cfRule>
    <cfRule type="expression" priority="11">
      <formula>"$C12=TRUE"</formula>
    </cfRule>
  </conditionalFormatting>
  <conditionalFormatting sqref="N9">
    <cfRule type="expression" dxfId="80" priority="10">
      <formula>$C12=TRUE</formula>
    </cfRule>
  </conditionalFormatting>
  <conditionalFormatting sqref="O5">
    <cfRule type="colorScale" priority="5">
      <colorScale>
        <cfvo type="min"/>
        <cfvo type="max"/>
        <color rgb="FF0070C0"/>
        <color rgb="FFFFEF9C"/>
      </colorScale>
    </cfRule>
  </conditionalFormatting>
  <conditionalFormatting sqref="O6:O7">
    <cfRule type="expression" dxfId="79" priority="6">
      <formula>$M5=TRUE</formula>
    </cfRule>
  </conditionalFormatting>
  <conditionalFormatting sqref="O8">
    <cfRule type="expression" dxfId="78" priority="9">
      <formula>$C12=TRUE</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CDC09-8DFD-44AB-98A7-E1EAD24504D7}">
  <dimension ref="A7:Y49"/>
  <sheetViews>
    <sheetView showGridLines="0" topLeftCell="A4" zoomScale="84" zoomScaleNormal="84" workbookViewId="0">
      <selection activeCell="O10" sqref="O10"/>
    </sheetView>
  </sheetViews>
  <sheetFormatPr defaultRowHeight="15" x14ac:dyDescent="0.25"/>
  <cols>
    <col min="1" max="1" width="13.42578125" bestFit="1" customWidth="1"/>
    <col min="2" max="2" width="15.42578125" bestFit="1" customWidth="1"/>
    <col min="3" max="3" width="4.140625" customWidth="1"/>
    <col min="4" max="4" width="13.42578125" customWidth="1"/>
    <col min="5" max="5" width="16.85546875" customWidth="1"/>
    <col min="6" max="6" width="2.140625" customWidth="1"/>
    <col min="7" max="7" width="13.42578125" customWidth="1"/>
    <col min="8" max="8" width="16.85546875" customWidth="1"/>
    <col min="9" max="9" width="2.85546875" customWidth="1"/>
    <col min="10" max="10" width="13.42578125" customWidth="1"/>
    <col min="11" max="11" width="16.85546875" customWidth="1"/>
    <col min="12" max="12" width="1.5703125" customWidth="1"/>
    <col min="13" max="13" width="13.5703125" bestFit="1" customWidth="1"/>
    <col min="14" max="14" width="16.85546875" bestFit="1" customWidth="1"/>
    <col min="15" max="15" width="29.85546875" bestFit="1" customWidth="1"/>
    <col min="16" max="16" width="3.5703125" customWidth="1"/>
    <col min="17" max="17" width="13.42578125" bestFit="1" customWidth="1"/>
    <col min="18" max="18" width="16.85546875" bestFit="1" customWidth="1"/>
    <col min="19" max="19" width="3.28515625" customWidth="1"/>
    <col min="20" max="20" width="26.28515625" bestFit="1" customWidth="1"/>
    <col min="21" max="21" width="19.28515625" bestFit="1" customWidth="1"/>
    <col min="22" max="22" width="10.7109375" bestFit="1" customWidth="1"/>
    <col min="23" max="23" width="8.42578125" customWidth="1"/>
    <col min="24" max="24" width="13.42578125" bestFit="1" customWidth="1"/>
    <col min="25" max="25" width="16.5703125" bestFit="1" customWidth="1"/>
    <col min="26" max="26" width="19.28515625" bestFit="1" customWidth="1"/>
    <col min="27" max="27" width="13.28515625" bestFit="1" customWidth="1"/>
    <col min="28" max="28" width="18.7109375" bestFit="1" customWidth="1"/>
    <col min="29" max="29" width="38.85546875" bestFit="1" customWidth="1"/>
    <col min="30" max="30" width="16.85546875" bestFit="1" customWidth="1"/>
    <col min="31" max="31" width="14.7109375" bestFit="1" customWidth="1"/>
    <col min="32" max="32" width="12.42578125" bestFit="1" customWidth="1"/>
    <col min="33" max="33" width="11.5703125" bestFit="1" customWidth="1"/>
    <col min="34" max="34" width="22.28515625" bestFit="1" customWidth="1"/>
  </cols>
  <sheetData>
    <row r="7" spans="1:25" x14ac:dyDescent="0.25">
      <c r="X7" s="37" t="s">
        <v>6</v>
      </c>
      <c r="Y7" t="s">
        <v>4506</v>
      </c>
    </row>
    <row r="8" spans="1:25" ht="12.75" customHeight="1" x14ac:dyDescent="0.25"/>
    <row r="9" spans="1:25" ht="45" x14ac:dyDescent="0.25">
      <c r="A9" s="38" t="s">
        <v>4488</v>
      </c>
      <c r="B9" s="39" t="s">
        <v>4497</v>
      </c>
      <c r="D9" s="38" t="s">
        <v>2740</v>
      </c>
      <c r="E9" s="37" t="s">
        <v>4490</v>
      </c>
      <c r="G9" s="38" t="s">
        <v>4503</v>
      </c>
      <c r="H9" s="37" t="s">
        <v>4490</v>
      </c>
      <c r="J9" s="38" t="s">
        <v>4504</v>
      </c>
      <c r="K9" s="37" t="s">
        <v>4490</v>
      </c>
      <c r="L9" s="37"/>
      <c r="M9" s="38" t="s">
        <v>4505</v>
      </c>
      <c r="N9" s="37" t="s">
        <v>4490</v>
      </c>
      <c r="Q9" s="38" t="s">
        <v>2739</v>
      </c>
      <c r="R9" s="37" t="s">
        <v>4490</v>
      </c>
      <c r="T9" s="38" t="s">
        <v>4500</v>
      </c>
      <c r="U9" s="37" t="s">
        <v>4490</v>
      </c>
      <c r="X9" s="37" t="s">
        <v>4488</v>
      </c>
      <c r="Y9" t="s">
        <v>4502</v>
      </c>
    </row>
    <row r="10" spans="1:25" ht="30" x14ac:dyDescent="0.25">
      <c r="A10" s="4" t="s">
        <v>35</v>
      </c>
      <c r="B10" s="36">
        <v>1096200</v>
      </c>
      <c r="D10" s="37" t="s">
        <v>4488</v>
      </c>
      <c r="E10" s="39" t="s">
        <v>2740</v>
      </c>
      <c r="G10" s="37" t="s">
        <v>4488</v>
      </c>
      <c r="H10" t="s">
        <v>2443</v>
      </c>
      <c r="J10" s="37" t="s">
        <v>4488</v>
      </c>
      <c r="K10" t="s">
        <v>2741</v>
      </c>
      <c r="M10" s="43" t="s">
        <v>4488</v>
      </c>
      <c r="N10" t="s">
        <v>2742</v>
      </c>
      <c r="O10" s="39" t="s">
        <v>2747</v>
      </c>
      <c r="P10" s="39"/>
      <c r="Q10" s="37" t="s">
        <v>4488</v>
      </c>
      <c r="R10" t="s">
        <v>2741</v>
      </c>
      <c r="T10" s="37" t="s">
        <v>4488</v>
      </c>
      <c r="U10" t="s">
        <v>2740</v>
      </c>
      <c r="V10" t="s">
        <v>2742</v>
      </c>
      <c r="X10" s="4" t="s">
        <v>4438</v>
      </c>
      <c r="Y10" s="45">
        <v>6655260.9899999984</v>
      </c>
    </row>
    <row r="11" spans="1:25" x14ac:dyDescent="0.25">
      <c r="A11" s="4" t="s">
        <v>4441</v>
      </c>
      <c r="B11" s="36">
        <v>3350643.54</v>
      </c>
      <c r="D11" s="4" t="s">
        <v>4447</v>
      </c>
      <c r="E11" s="36">
        <v>517500</v>
      </c>
      <c r="G11" s="4" t="s">
        <v>4447</v>
      </c>
      <c r="H11" s="36">
        <v>1870574.87</v>
      </c>
      <c r="J11" s="4" t="s">
        <v>4447</v>
      </c>
      <c r="K11" s="36">
        <v>376330.41000000003</v>
      </c>
      <c r="L11" s="36"/>
      <c r="M11" s="4" t="s">
        <v>4447</v>
      </c>
      <c r="N11" s="36">
        <v>120000</v>
      </c>
      <c r="O11" s="36"/>
      <c r="P11" s="36"/>
      <c r="Q11" s="4" t="s">
        <v>4447</v>
      </c>
      <c r="R11" s="36">
        <v>376330.41000000003</v>
      </c>
      <c r="T11" s="4" t="s">
        <v>3304</v>
      </c>
      <c r="U11" s="36">
        <v>22092500</v>
      </c>
      <c r="V11" s="36">
        <v>10000</v>
      </c>
      <c r="W11" s="36"/>
      <c r="X11" s="4" t="s">
        <v>4436</v>
      </c>
      <c r="Y11" s="45">
        <v>5281444.01</v>
      </c>
    </row>
    <row r="12" spans="1:25" x14ac:dyDescent="0.25">
      <c r="A12" s="4" t="s">
        <v>4456</v>
      </c>
      <c r="B12" s="36">
        <v>3041775.83</v>
      </c>
      <c r="D12" s="4" t="s">
        <v>4449</v>
      </c>
      <c r="E12" s="36">
        <v>932000</v>
      </c>
      <c r="G12" s="4" t="s">
        <v>4449</v>
      </c>
      <c r="H12" s="36">
        <v>602600</v>
      </c>
      <c r="J12" s="4" t="s">
        <v>4449</v>
      </c>
      <c r="K12" s="36">
        <v>376330.41000000003</v>
      </c>
      <c r="L12" s="36"/>
      <c r="M12" s="4" t="s">
        <v>4449</v>
      </c>
      <c r="N12" s="36">
        <v>90000</v>
      </c>
      <c r="O12" s="36"/>
      <c r="P12" s="36"/>
      <c r="Q12" s="4" t="s">
        <v>4449</v>
      </c>
      <c r="R12" s="36">
        <v>376330.41000000003</v>
      </c>
      <c r="T12" s="4" t="s">
        <v>35</v>
      </c>
      <c r="U12" s="36">
        <v>1090200</v>
      </c>
      <c r="V12" s="36"/>
      <c r="W12" s="36"/>
      <c r="X12" s="4" t="s">
        <v>4435</v>
      </c>
      <c r="Y12" s="45">
        <v>5280471.8</v>
      </c>
    </row>
    <row r="13" spans="1:25" x14ac:dyDescent="0.25">
      <c r="A13" s="4" t="s">
        <v>4436</v>
      </c>
      <c r="B13" s="36">
        <v>5281444.01</v>
      </c>
      <c r="D13" s="4" t="s">
        <v>4459</v>
      </c>
      <c r="E13" s="36">
        <v>510809.49</v>
      </c>
      <c r="G13" s="4" t="s">
        <v>4459</v>
      </c>
      <c r="H13" s="36">
        <v>873000</v>
      </c>
      <c r="J13" s="4" t="s">
        <v>4459</v>
      </c>
      <c r="K13" s="36">
        <v>64912.4</v>
      </c>
      <c r="L13" s="36"/>
      <c r="M13" s="4" t="s">
        <v>4459</v>
      </c>
      <c r="N13" s="36">
        <v>90000</v>
      </c>
      <c r="O13" s="36"/>
      <c r="P13" s="36"/>
      <c r="Q13" s="4" t="s">
        <v>4459</v>
      </c>
      <c r="R13" s="36">
        <v>64912.4</v>
      </c>
      <c r="T13" s="4" t="s">
        <v>4489</v>
      </c>
      <c r="U13" s="36">
        <v>23182700</v>
      </c>
      <c r="V13" s="36">
        <v>10000</v>
      </c>
      <c r="W13" s="36"/>
      <c r="X13" s="4" t="s">
        <v>4425</v>
      </c>
      <c r="Y13" s="45">
        <v>4793920.6599999992</v>
      </c>
    </row>
    <row r="14" spans="1:25" x14ac:dyDescent="0.25">
      <c r="A14" s="4" t="s">
        <v>4435</v>
      </c>
      <c r="B14" s="36">
        <v>5280471.8</v>
      </c>
      <c r="D14" s="4" t="s">
        <v>4373</v>
      </c>
      <c r="E14" s="36">
        <v>500000</v>
      </c>
      <c r="G14" s="4" t="s">
        <v>4455</v>
      </c>
      <c r="H14" s="36">
        <v>1324950</v>
      </c>
      <c r="J14" s="4" t="s">
        <v>4373</v>
      </c>
      <c r="K14" s="36">
        <v>64912.4</v>
      </c>
      <c r="L14" s="36"/>
      <c r="M14" s="4" t="s">
        <v>4373</v>
      </c>
      <c r="N14" s="36">
        <v>130000</v>
      </c>
      <c r="O14" s="36"/>
      <c r="P14" s="36"/>
      <c r="Q14" s="4" t="s">
        <v>4373</v>
      </c>
      <c r="R14" s="36">
        <v>64912.4</v>
      </c>
      <c r="X14" s="4" t="s">
        <v>4426</v>
      </c>
      <c r="Y14" s="45">
        <v>4724412.4999999991</v>
      </c>
    </row>
    <row r="15" spans="1:25" x14ac:dyDescent="0.25">
      <c r="A15" s="4" t="s">
        <v>4450</v>
      </c>
      <c r="B15" s="36">
        <v>4297111.8</v>
      </c>
      <c r="D15" s="4" t="s">
        <v>4455</v>
      </c>
      <c r="E15" s="36">
        <v>260000</v>
      </c>
      <c r="G15" s="4" t="s">
        <v>4444</v>
      </c>
      <c r="H15" s="36">
        <v>1039100</v>
      </c>
      <c r="J15" s="4" t="s">
        <v>4455</v>
      </c>
      <c r="K15" s="36">
        <v>250376.4</v>
      </c>
      <c r="L15" s="36"/>
      <c r="M15" s="4" t="s">
        <v>4455</v>
      </c>
      <c r="N15" s="36">
        <v>80000</v>
      </c>
      <c r="O15" s="36"/>
      <c r="P15" s="36"/>
      <c r="Q15" s="4" t="s">
        <v>4455</v>
      </c>
      <c r="R15" s="36">
        <v>250376.4</v>
      </c>
      <c r="X15" s="4" t="s">
        <v>4427</v>
      </c>
      <c r="Y15" s="45">
        <v>4502033.3299999991</v>
      </c>
    </row>
    <row r="16" spans="1:25" x14ac:dyDescent="0.25">
      <c r="A16" s="4" t="s">
        <v>4457</v>
      </c>
      <c r="B16" s="36">
        <v>2924762.9200000004</v>
      </c>
      <c r="D16" s="4" t="s">
        <v>4444</v>
      </c>
      <c r="E16" s="36">
        <v>638000</v>
      </c>
      <c r="G16" s="4" t="s">
        <v>4425</v>
      </c>
      <c r="H16" s="36">
        <v>713908.86</v>
      </c>
      <c r="J16" s="4" t="s">
        <v>4444</v>
      </c>
      <c r="K16" s="36">
        <v>376330.41000000003</v>
      </c>
      <c r="L16" s="36"/>
      <c r="M16" s="4" t="s">
        <v>4444</v>
      </c>
      <c r="N16" s="36">
        <v>40000</v>
      </c>
      <c r="O16" s="36"/>
      <c r="P16" s="36"/>
      <c r="Q16" s="4" t="s">
        <v>4444</v>
      </c>
      <c r="R16" s="36">
        <v>376330.41000000003</v>
      </c>
      <c r="X16" s="4" t="s">
        <v>4433</v>
      </c>
      <c r="Y16" s="45">
        <v>4427955</v>
      </c>
    </row>
    <row r="17" spans="1:25" x14ac:dyDescent="0.25">
      <c r="A17" s="4" t="s">
        <v>4434</v>
      </c>
      <c r="B17" s="36">
        <v>3383466.85</v>
      </c>
      <c r="D17" s="4" t="s">
        <v>4425</v>
      </c>
      <c r="E17" s="36">
        <v>3450000</v>
      </c>
      <c r="G17" s="4" t="s">
        <v>4452</v>
      </c>
      <c r="H17" s="36">
        <v>1324950</v>
      </c>
      <c r="J17" s="4" t="s">
        <v>4425</v>
      </c>
      <c r="K17" s="36">
        <v>376330.41000000003</v>
      </c>
      <c r="L17" s="36"/>
      <c r="M17" s="4" t="s">
        <v>4425</v>
      </c>
      <c r="N17" s="36">
        <v>10000</v>
      </c>
      <c r="O17" s="36"/>
      <c r="P17" s="36"/>
      <c r="Q17" s="4" t="s">
        <v>4425</v>
      </c>
      <c r="R17" s="36">
        <v>376330.41000000003</v>
      </c>
      <c r="X17" s="4" t="s">
        <v>4450</v>
      </c>
      <c r="Y17" s="45">
        <v>4297111.8</v>
      </c>
    </row>
    <row r="18" spans="1:25" x14ac:dyDescent="0.25">
      <c r="A18" s="4" t="s">
        <v>4438</v>
      </c>
      <c r="B18" s="36">
        <v>6655260.9899999984</v>
      </c>
      <c r="D18" s="4" t="s">
        <v>4452</v>
      </c>
      <c r="E18" s="36">
        <v>1230000</v>
      </c>
      <c r="G18" s="4" t="s">
        <v>4439</v>
      </c>
      <c r="H18" s="36">
        <v>602600</v>
      </c>
      <c r="J18" s="4" t="s">
        <v>4439</v>
      </c>
      <c r="K18" s="36">
        <v>376330.41000000003</v>
      </c>
      <c r="L18" s="36"/>
      <c r="M18" s="4" t="s">
        <v>4439</v>
      </c>
      <c r="N18" s="36">
        <v>40000</v>
      </c>
      <c r="O18" s="36"/>
      <c r="P18" s="36"/>
      <c r="Q18" s="4" t="s">
        <v>4439</v>
      </c>
      <c r="R18" s="36">
        <v>376330.41000000003</v>
      </c>
      <c r="X18" s="4" t="s">
        <v>4428</v>
      </c>
      <c r="Y18" s="45">
        <v>4142411.8000000003</v>
      </c>
    </row>
    <row r="19" spans="1:25" x14ac:dyDescent="0.25">
      <c r="A19" s="4" t="s">
        <v>4432</v>
      </c>
      <c r="B19" s="36">
        <v>2978061.8000000003</v>
      </c>
      <c r="D19" s="4" t="s">
        <v>4439</v>
      </c>
      <c r="E19" s="36">
        <v>495000</v>
      </c>
      <c r="G19" s="4" t="s">
        <v>4429</v>
      </c>
      <c r="H19" s="36">
        <v>1823245.46</v>
      </c>
      <c r="J19" s="4" t="s">
        <v>4429</v>
      </c>
      <c r="K19" s="36">
        <v>376330.41000000003</v>
      </c>
      <c r="L19" s="36"/>
      <c r="M19" s="4" t="s">
        <v>4429</v>
      </c>
      <c r="N19" s="36">
        <v>120000</v>
      </c>
      <c r="O19" s="36"/>
      <c r="P19" s="36"/>
      <c r="Q19" s="4" t="s">
        <v>4429</v>
      </c>
      <c r="R19" s="36">
        <v>376330.41000000003</v>
      </c>
      <c r="X19" s="4" t="s">
        <v>4430</v>
      </c>
      <c r="Y19" s="45">
        <v>4130022.69</v>
      </c>
    </row>
    <row r="20" spans="1:25" x14ac:dyDescent="0.25">
      <c r="A20" s="4" t="s">
        <v>4453</v>
      </c>
      <c r="B20" s="36">
        <v>3523220.66</v>
      </c>
      <c r="D20" s="4" t="s">
        <v>4429</v>
      </c>
      <c r="E20" s="36">
        <v>1497400</v>
      </c>
      <c r="G20" s="4" t="s">
        <v>4428</v>
      </c>
      <c r="H20" s="36">
        <v>1922400</v>
      </c>
      <c r="J20" s="4" t="s">
        <v>4460</v>
      </c>
      <c r="K20" s="36">
        <v>376330.41000000003</v>
      </c>
      <c r="L20" s="36"/>
      <c r="M20" s="4" t="s">
        <v>4460</v>
      </c>
      <c r="N20" s="36">
        <v>90000</v>
      </c>
      <c r="O20" s="36"/>
      <c r="P20" s="36"/>
      <c r="Q20" s="4" t="s">
        <v>4460</v>
      </c>
      <c r="R20" s="36">
        <v>376330.41000000003</v>
      </c>
      <c r="X20" s="4" t="s">
        <v>4429</v>
      </c>
      <c r="Y20" s="45">
        <v>4060657.2600000002</v>
      </c>
    </row>
    <row r="21" spans="1:25" x14ac:dyDescent="0.25">
      <c r="A21" s="4" t="s">
        <v>4431</v>
      </c>
      <c r="B21" s="36">
        <v>3875608.1799999997</v>
      </c>
      <c r="D21" s="4" t="s">
        <v>4460</v>
      </c>
      <c r="E21" s="36">
        <v>1867600</v>
      </c>
      <c r="G21" s="4" t="s">
        <v>4427</v>
      </c>
      <c r="H21" s="36">
        <v>2168021.5300000003</v>
      </c>
      <c r="J21" s="4" t="s">
        <v>4428</v>
      </c>
      <c r="K21" s="36">
        <v>376330.41000000003</v>
      </c>
      <c r="L21" s="36"/>
      <c r="M21" s="4" t="s">
        <v>4428</v>
      </c>
      <c r="N21" s="36">
        <v>70000</v>
      </c>
      <c r="O21" s="36"/>
      <c r="P21" s="36"/>
      <c r="Q21" s="4" t="s">
        <v>4428</v>
      </c>
      <c r="R21" s="36">
        <v>376330.41000000003</v>
      </c>
      <c r="X21" s="4" t="s">
        <v>4431</v>
      </c>
      <c r="Y21" s="45">
        <v>3875608.1799999997</v>
      </c>
    </row>
    <row r="22" spans="1:25" x14ac:dyDescent="0.25">
      <c r="A22" s="4" t="s">
        <v>4430</v>
      </c>
      <c r="B22" s="36">
        <v>4130022.69</v>
      </c>
      <c r="D22" s="4" t="s">
        <v>4428</v>
      </c>
      <c r="E22" s="36">
        <v>1525000</v>
      </c>
      <c r="G22" s="4" t="s">
        <v>4448</v>
      </c>
      <c r="H22" s="36">
        <v>1615950</v>
      </c>
      <c r="J22" s="4" t="s">
        <v>4427</v>
      </c>
      <c r="K22" s="36">
        <v>376330.41000000003</v>
      </c>
      <c r="L22" s="36"/>
      <c r="M22" s="4" t="s">
        <v>4427</v>
      </c>
      <c r="N22" s="36">
        <v>130000</v>
      </c>
      <c r="O22" s="36"/>
      <c r="P22" s="36"/>
      <c r="Q22" s="4" t="s">
        <v>4427</v>
      </c>
      <c r="R22" s="36">
        <v>376330.41000000003</v>
      </c>
      <c r="X22" s="4" t="s">
        <v>4446</v>
      </c>
      <c r="Y22" s="45">
        <v>3765920.6599999997</v>
      </c>
    </row>
    <row r="23" spans="1:25" x14ac:dyDescent="0.25">
      <c r="A23" s="4" t="s">
        <v>4437</v>
      </c>
      <c r="B23" s="36">
        <v>3037750.7600000002</v>
      </c>
      <c r="D23" s="4" t="s">
        <v>4427</v>
      </c>
      <c r="E23" s="36">
        <v>1584000</v>
      </c>
      <c r="G23" s="4" t="s">
        <v>4445</v>
      </c>
      <c r="H23" s="36">
        <v>1766600</v>
      </c>
      <c r="J23" s="4" t="s">
        <v>4448</v>
      </c>
      <c r="K23" s="36">
        <v>376330.41000000003</v>
      </c>
      <c r="L23" s="36"/>
      <c r="M23" s="4" t="s">
        <v>4448</v>
      </c>
      <c r="N23" s="36">
        <v>110000</v>
      </c>
      <c r="O23" s="36"/>
      <c r="P23" s="36"/>
      <c r="Q23" s="4" t="s">
        <v>4448</v>
      </c>
      <c r="R23" s="36">
        <v>376330.41000000003</v>
      </c>
      <c r="X23" s="4" t="s">
        <v>4440</v>
      </c>
      <c r="Y23" s="45">
        <v>3706051.5500000003</v>
      </c>
    </row>
    <row r="24" spans="1:25" x14ac:dyDescent="0.25">
      <c r="A24" s="4" t="s">
        <v>3275</v>
      </c>
      <c r="B24" s="36">
        <v>813000</v>
      </c>
      <c r="D24" s="4" t="s">
        <v>4448</v>
      </c>
      <c r="E24" s="36">
        <v>729500</v>
      </c>
      <c r="G24" s="4" t="s">
        <v>4442</v>
      </c>
      <c r="H24" s="36">
        <v>1043450</v>
      </c>
      <c r="J24" s="4" t="s">
        <v>4445</v>
      </c>
      <c r="K24" s="36">
        <v>376330.41000000003</v>
      </c>
      <c r="L24" s="36"/>
      <c r="M24" s="4" t="s">
        <v>4445</v>
      </c>
      <c r="N24" s="36">
        <v>120000</v>
      </c>
      <c r="O24" s="36"/>
      <c r="P24" s="36"/>
      <c r="Q24" s="4" t="s">
        <v>4445</v>
      </c>
      <c r="R24" s="36">
        <v>376330.41000000003</v>
      </c>
      <c r="X24" s="4" t="s">
        <v>4453</v>
      </c>
      <c r="Y24" s="45">
        <v>3523220.66</v>
      </c>
    </row>
    <row r="25" spans="1:25" x14ac:dyDescent="0.25">
      <c r="A25" s="4" t="s">
        <v>4454</v>
      </c>
      <c r="B25" s="36">
        <v>2212592.7599999998</v>
      </c>
      <c r="D25" s="4" t="s">
        <v>4445</v>
      </c>
      <c r="E25" s="36">
        <v>440000</v>
      </c>
      <c r="G25" s="4" t="s">
        <v>4458</v>
      </c>
      <c r="H25" s="36">
        <v>2143615.7600000002</v>
      </c>
      <c r="J25" s="4" t="s">
        <v>4442</v>
      </c>
      <c r="K25" s="36">
        <v>376330.41000000003</v>
      </c>
      <c r="L25" s="36"/>
      <c r="M25" s="4" t="s">
        <v>4442</v>
      </c>
      <c r="N25" s="36">
        <v>130000</v>
      </c>
      <c r="O25" s="36"/>
      <c r="P25" s="36"/>
      <c r="Q25" s="4" t="s">
        <v>4442</v>
      </c>
      <c r="R25" s="36">
        <v>376330.41000000003</v>
      </c>
      <c r="X25" s="4" t="s">
        <v>4434</v>
      </c>
      <c r="Y25" s="45">
        <v>3383466.85</v>
      </c>
    </row>
    <row r="26" spans="1:25" x14ac:dyDescent="0.25">
      <c r="A26" s="4" t="s">
        <v>4451</v>
      </c>
      <c r="B26" s="36">
        <v>2262611.7999999998</v>
      </c>
      <c r="D26" s="4" t="s">
        <v>4442</v>
      </c>
      <c r="E26" s="36">
        <v>1454500</v>
      </c>
      <c r="G26" s="4" t="s">
        <v>4443</v>
      </c>
      <c r="H26" s="36">
        <v>1696197.25</v>
      </c>
      <c r="J26" s="4" t="s">
        <v>4458</v>
      </c>
      <c r="K26" s="36">
        <v>376330.41000000003</v>
      </c>
      <c r="L26" s="36"/>
      <c r="M26" s="4" t="s">
        <v>4458</v>
      </c>
      <c r="N26" s="36">
        <v>100000</v>
      </c>
      <c r="O26" s="36"/>
      <c r="P26" s="36"/>
      <c r="Q26" s="4" t="s">
        <v>4458</v>
      </c>
      <c r="R26" s="36">
        <v>376330.41000000003</v>
      </c>
      <c r="X26" s="4" t="s">
        <v>4441</v>
      </c>
      <c r="Y26" s="45">
        <v>3350643.54</v>
      </c>
    </row>
    <row r="27" spans="1:25" x14ac:dyDescent="0.25">
      <c r="A27" s="4" t="s">
        <v>4446</v>
      </c>
      <c r="B27" s="36">
        <v>3765920.6599999997</v>
      </c>
      <c r="D27" s="4" t="s">
        <v>4458</v>
      </c>
      <c r="E27" s="36">
        <v>644300</v>
      </c>
      <c r="G27" s="4" t="s">
        <v>4426</v>
      </c>
      <c r="H27" s="36">
        <v>1800830.01</v>
      </c>
      <c r="J27" s="4" t="s">
        <v>4443</v>
      </c>
      <c r="K27" s="36">
        <v>376330.41000000003</v>
      </c>
      <c r="L27" s="36"/>
      <c r="M27" s="4" t="s">
        <v>4443</v>
      </c>
      <c r="N27" s="36">
        <v>120000</v>
      </c>
      <c r="O27" s="36"/>
      <c r="P27" s="36"/>
      <c r="Q27" s="4" t="s">
        <v>4443</v>
      </c>
      <c r="R27" s="36">
        <v>376330.41000000003</v>
      </c>
      <c r="X27" s="4" t="s">
        <v>4448</v>
      </c>
      <c r="Y27" s="45">
        <v>3306751.0599999996</v>
      </c>
    </row>
    <row r="28" spans="1:25" x14ac:dyDescent="0.25">
      <c r="A28" s="4" t="s">
        <v>4440</v>
      </c>
      <c r="B28" s="36">
        <v>3706051.5500000003</v>
      </c>
      <c r="D28" s="4" t="s">
        <v>4443</v>
      </c>
      <c r="E28" s="36">
        <v>860000</v>
      </c>
      <c r="G28" s="4" t="s">
        <v>4433</v>
      </c>
      <c r="H28" s="36">
        <v>1517943.2</v>
      </c>
      <c r="J28" s="4" t="s">
        <v>4426</v>
      </c>
      <c r="K28" s="36">
        <v>250376.4</v>
      </c>
      <c r="L28" s="36"/>
      <c r="M28" s="4" t="s">
        <v>4426</v>
      </c>
      <c r="N28" s="36">
        <v>157500</v>
      </c>
      <c r="O28" s="36">
        <v>4750</v>
      </c>
      <c r="P28" s="36"/>
      <c r="Q28" s="4" t="s">
        <v>4426</v>
      </c>
      <c r="R28" s="36">
        <v>250376.4</v>
      </c>
      <c r="X28" s="4" t="s">
        <v>4458</v>
      </c>
      <c r="Y28" s="45">
        <v>3269746.17</v>
      </c>
    </row>
    <row r="29" spans="1:25" x14ac:dyDescent="0.25">
      <c r="A29" s="4" t="s">
        <v>4433</v>
      </c>
      <c r="B29" s="36">
        <v>4427955</v>
      </c>
      <c r="D29" s="4" t="s">
        <v>4426</v>
      </c>
      <c r="E29" s="36">
        <v>1856450</v>
      </c>
      <c r="G29" s="4" t="s">
        <v>4440</v>
      </c>
      <c r="H29" s="36">
        <v>1993789.75</v>
      </c>
      <c r="J29" s="4" t="s">
        <v>4433</v>
      </c>
      <c r="K29" s="36">
        <v>376330.41000000003</v>
      </c>
      <c r="L29" s="36"/>
      <c r="M29" s="4" t="s">
        <v>4433</v>
      </c>
      <c r="N29" s="36">
        <v>90000</v>
      </c>
      <c r="O29" s="36"/>
      <c r="P29" s="36"/>
      <c r="Q29" s="4" t="s">
        <v>4433</v>
      </c>
      <c r="R29" s="36">
        <v>376330.41000000003</v>
      </c>
      <c r="X29" s="4" t="s">
        <v>4442</v>
      </c>
      <c r="Y29" s="45">
        <v>3252961.8000000003</v>
      </c>
    </row>
    <row r="30" spans="1:25" x14ac:dyDescent="0.25">
      <c r="A30" s="4" t="s">
        <v>4426</v>
      </c>
      <c r="B30" s="36">
        <v>4724412.4999999991</v>
      </c>
      <c r="D30" s="4" t="s">
        <v>4433</v>
      </c>
      <c r="E30" s="36">
        <v>2200000</v>
      </c>
      <c r="G30" s="4" t="s">
        <v>4446</v>
      </c>
      <c r="H30" s="36">
        <v>1480590.25</v>
      </c>
      <c r="J30" s="4" t="s">
        <v>4440</v>
      </c>
      <c r="K30" s="36">
        <v>376330.41000000003</v>
      </c>
      <c r="L30" s="36"/>
      <c r="M30" s="4" t="s">
        <v>4440</v>
      </c>
      <c r="N30" s="36">
        <v>177500</v>
      </c>
      <c r="O30" s="36">
        <v>4750</v>
      </c>
      <c r="P30" s="36"/>
      <c r="Q30" s="4" t="s">
        <v>4440</v>
      </c>
      <c r="R30" s="36">
        <v>376330.41000000003</v>
      </c>
      <c r="X30" s="4" t="s">
        <v>4447</v>
      </c>
      <c r="Y30" s="45">
        <v>3128086.6700000004</v>
      </c>
    </row>
    <row r="31" spans="1:25" x14ac:dyDescent="0.25">
      <c r="A31" s="4" t="s">
        <v>4443</v>
      </c>
      <c r="B31" s="36">
        <v>3074027.66</v>
      </c>
      <c r="D31" s="4" t="s">
        <v>4440</v>
      </c>
      <c r="E31" s="36">
        <v>910000</v>
      </c>
      <c r="G31" s="4" t="s">
        <v>4451</v>
      </c>
      <c r="H31" s="36">
        <v>602600</v>
      </c>
      <c r="J31" s="4" t="s">
        <v>4446</v>
      </c>
      <c r="K31" s="36">
        <v>376330.41000000003</v>
      </c>
      <c r="L31" s="36"/>
      <c r="M31" s="4" t="s">
        <v>4446</v>
      </c>
      <c r="N31" s="36">
        <v>120000</v>
      </c>
      <c r="O31" s="36"/>
      <c r="P31" s="36"/>
      <c r="Q31" s="4" t="s">
        <v>4446</v>
      </c>
      <c r="R31" s="36">
        <v>376330.41000000003</v>
      </c>
      <c r="X31" s="4" t="s">
        <v>4443</v>
      </c>
      <c r="Y31" s="45">
        <v>3074027.66</v>
      </c>
    </row>
    <row r="32" spans="1:25" x14ac:dyDescent="0.25">
      <c r="A32" s="4" t="s">
        <v>4458</v>
      </c>
      <c r="B32" s="36">
        <v>3269746.17</v>
      </c>
      <c r="D32" s="4" t="s">
        <v>4446</v>
      </c>
      <c r="E32" s="36">
        <v>1783000</v>
      </c>
      <c r="G32" s="4" t="s">
        <v>4454</v>
      </c>
      <c r="H32" s="36">
        <v>602600</v>
      </c>
      <c r="J32" s="4" t="s">
        <v>4451</v>
      </c>
      <c r="K32" s="36">
        <v>376330.41000000003</v>
      </c>
      <c r="L32" s="36"/>
      <c r="M32" s="4" t="s">
        <v>4451</v>
      </c>
      <c r="N32" s="36">
        <v>120000</v>
      </c>
      <c r="O32" s="36"/>
      <c r="P32" s="36"/>
      <c r="Q32" s="4" t="s">
        <v>4451</v>
      </c>
      <c r="R32" s="36">
        <v>376330.41000000003</v>
      </c>
      <c r="X32" s="4" t="s">
        <v>4456</v>
      </c>
      <c r="Y32" s="45">
        <v>3041775.83</v>
      </c>
    </row>
    <row r="33" spans="1:25" x14ac:dyDescent="0.25">
      <c r="A33" s="4" t="s">
        <v>4442</v>
      </c>
      <c r="B33" s="36">
        <v>3252961.8000000003</v>
      </c>
      <c r="D33" s="4" t="s">
        <v>4451</v>
      </c>
      <c r="E33" s="36">
        <v>920000</v>
      </c>
      <c r="G33" s="4" t="s">
        <v>4437</v>
      </c>
      <c r="H33" s="36">
        <v>1912100</v>
      </c>
      <c r="J33" s="4" t="s">
        <v>4454</v>
      </c>
      <c r="K33" s="36">
        <v>376330.41000000003</v>
      </c>
      <c r="L33" s="36"/>
      <c r="M33" s="4" t="s">
        <v>4454</v>
      </c>
      <c r="N33" s="36">
        <v>20000</v>
      </c>
      <c r="O33" s="36"/>
      <c r="P33" s="36"/>
      <c r="Q33" s="4" t="s">
        <v>4454</v>
      </c>
      <c r="R33" s="36">
        <v>376330.41000000003</v>
      </c>
      <c r="X33" s="4" t="s">
        <v>4437</v>
      </c>
      <c r="Y33" s="45">
        <v>3037750.7600000002</v>
      </c>
    </row>
    <row r="34" spans="1:25" x14ac:dyDescent="0.25">
      <c r="A34" s="4" t="s">
        <v>4445</v>
      </c>
      <c r="B34" s="36">
        <v>2708930.41</v>
      </c>
      <c r="D34" s="4" t="s">
        <v>4454</v>
      </c>
      <c r="E34" s="36">
        <v>900000</v>
      </c>
      <c r="G34" s="4" t="s">
        <v>4430</v>
      </c>
      <c r="H34" s="36">
        <v>1474910.89</v>
      </c>
      <c r="J34" s="4" t="s">
        <v>4437</v>
      </c>
      <c r="K34" s="36">
        <v>376330.41000000003</v>
      </c>
      <c r="L34" s="36"/>
      <c r="M34" s="4" t="s">
        <v>3304</v>
      </c>
      <c r="N34" s="36">
        <v>10000</v>
      </c>
      <c r="O34" s="36"/>
      <c r="P34" s="36"/>
      <c r="Q34" s="4" t="s">
        <v>4437</v>
      </c>
      <c r="R34" s="36">
        <v>376330.41000000003</v>
      </c>
      <c r="X34" s="4" t="s">
        <v>4432</v>
      </c>
      <c r="Y34" s="45">
        <v>2978061.8000000003</v>
      </c>
    </row>
    <row r="35" spans="1:25" x14ac:dyDescent="0.25">
      <c r="A35" s="4" t="s">
        <v>4448</v>
      </c>
      <c r="B35" s="36">
        <v>3306751.0599999996</v>
      </c>
      <c r="D35" s="4" t="s">
        <v>4437</v>
      </c>
      <c r="E35" s="36">
        <v>553900</v>
      </c>
      <c r="G35" s="4" t="s">
        <v>4431</v>
      </c>
      <c r="H35" s="36">
        <v>1389433.8599999999</v>
      </c>
      <c r="J35" s="4" t="s">
        <v>4430</v>
      </c>
      <c r="K35" s="36">
        <v>376330.41000000003</v>
      </c>
      <c r="L35" s="36"/>
      <c r="M35" s="4" t="s">
        <v>4437</v>
      </c>
      <c r="N35" s="36">
        <v>130000</v>
      </c>
      <c r="O35" s="36"/>
      <c r="P35" s="36"/>
      <c r="Q35" s="4" t="s">
        <v>4430</v>
      </c>
      <c r="R35" s="36">
        <v>376330.41000000003</v>
      </c>
      <c r="X35" s="4" t="s">
        <v>4457</v>
      </c>
      <c r="Y35" s="45">
        <v>2924762.9200000004</v>
      </c>
    </row>
    <row r="36" spans="1:25" x14ac:dyDescent="0.25">
      <c r="A36" s="4" t="s">
        <v>4427</v>
      </c>
      <c r="B36" s="36">
        <v>4502033.3299999991</v>
      </c>
      <c r="D36" s="4" t="s">
        <v>4430</v>
      </c>
      <c r="E36" s="36">
        <v>1915100</v>
      </c>
      <c r="G36" s="4" t="s">
        <v>4453</v>
      </c>
      <c r="H36" s="36">
        <v>1646558.86</v>
      </c>
      <c r="J36" s="4" t="s">
        <v>4431</v>
      </c>
      <c r="K36" s="36">
        <v>376330.41000000003</v>
      </c>
      <c r="L36" s="36"/>
      <c r="M36" s="4" t="s">
        <v>4430</v>
      </c>
      <c r="N36" s="36">
        <v>120000</v>
      </c>
      <c r="O36" s="36"/>
      <c r="P36" s="36"/>
      <c r="Q36" s="4" t="s">
        <v>4431</v>
      </c>
      <c r="R36" s="36">
        <v>376330.41000000003</v>
      </c>
      <c r="X36" s="4" t="s">
        <v>4452</v>
      </c>
      <c r="Y36" s="45">
        <v>2798631.39</v>
      </c>
    </row>
    <row r="37" spans="1:25" x14ac:dyDescent="0.25">
      <c r="A37" s="4" t="s">
        <v>4428</v>
      </c>
      <c r="B37" s="36">
        <v>4142411.8000000003</v>
      </c>
      <c r="D37" s="4" t="s">
        <v>4431</v>
      </c>
      <c r="E37" s="36">
        <v>1353500</v>
      </c>
      <c r="G37" s="4" t="s">
        <v>4432</v>
      </c>
      <c r="H37" s="36">
        <v>1324950</v>
      </c>
      <c r="J37" s="4" t="s">
        <v>4453</v>
      </c>
      <c r="K37" s="36">
        <v>376330.41000000003</v>
      </c>
      <c r="L37" s="36"/>
      <c r="M37" s="4" t="s">
        <v>4431</v>
      </c>
      <c r="N37" s="36">
        <v>110000</v>
      </c>
      <c r="O37" s="36"/>
      <c r="P37" s="36"/>
      <c r="Q37" s="4" t="s">
        <v>4453</v>
      </c>
      <c r="R37" s="36">
        <v>376330.41000000003</v>
      </c>
      <c r="X37" s="4" t="s">
        <v>4445</v>
      </c>
      <c r="Y37" s="45">
        <v>2708930.41</v>
      </c>
    </row>
    <row r="38" spans="1:25" x14ac:dyDescent="0.25">
      <c r="A38" s="4" t="s">
        <v>4460</v>
      </c>
      <c r="B38" s="36">
        <v>2339930.4099999997</v>
      </c>
      <c r="D38" s="4" t="s">
        <v>4453</v>
      </c>
      <c r="E38" s="36">
        <v>1118900</v>
      </c>
      <c r="G38" s="4" t="s">
        <v>4438</v>
      </c>
      <c r="H38" s="36">
        <v>3061546.45</v>
      </c>
      <c r="J38" s="4" t="s">
        <v>4432</v>
      </c>
      <c r="K38" s="36">
        <v>376330.41000000003</v>
      </c>
      <c r="L38" s="36"/>
      <c r="M38" s="4" t="s">
        <v>4453</v>
      </c>
      <c r="N38" s="36">
        <v>138250</v>
      </c>
      <c r="O38" s="36"/>
      <c r="P38" s="36"/>
      <c r="Q38" s="4" t="s">
        <v>4432</v>
      </c>
      <c r="R38" s="36">
        <v>376330.41000000003</v>
      </c>
      <c r="X38" s="4" t="s">
        <v>4444</v>
      </c>
      <c r="Y38" s="45">
        <v>2437111.8000000003</v>
      </c>
    </row>
    <row r="39" spans="1:25" x14ac:dyDescent="0.25">
      <c r="A39" s="4" t="s">
        <v>4429</v>
      </c>
      <c r="B39" s="36">
        <v>4060657.2600000002</v>
      </c>
      <c r="D39" s="4" t="s">
        <v>4432</v>
      </c>
      <c r="E39" s="36">
        <v>913100</v>
      </c>
      <c r="G39" s="4" t="s">
        <v>4434</v>
      </c>
      <c r="H39" s="36">
        <v>1705636.44</v>
      </c>
      <c r="J39" s="4" t="s">
        <v>4438</v>
      </c>
      <c r="K39" s="36">
        <v>752660.82000000007</v>
      </c>
      <c r="L39" s="36"/>
      <c r="M39" s="4" t="s">
        <v>4432</v>
      </c>
      <c r="N39" s="36">
        <v>120000</v>
      </c>
      <c r="O39" s="36"/>
      <c r="P39" s="36"/>
      <c r="Q39" s="4" t="s">
        <v>4438</v>
      </c>
      <c r="R39" s="36">
        <v>752660.82000000007</v>
      </c>
      <c r="X39" s="4" t="s">
        <v>4460</v>
      </c>
      <c r="Y39" s="45">
        <v>2339930.4099999997</v>
      </c>
    </row>
    <row r="40" spans="1:25" x14ac:dyDescent="0.25">
      <c r="A40" s="4" t="s">
        <v>4439</v>
      </c>
      <c r="B40" s="36">
        <v>1762611.8000000003</v>
      </c>
      <c r="D40" s="4" t="s">
        <v>4438</v>
      </c>
      <c r="E40" s="36">
        <v>2003300</v>
      </c>
      <c r="G40" s="4" t="s">
        <v>4457</v>
      </c>
      <c r="H40" s="36">
        <v>1621100</v>
      </c>
      <c r="J40" s="4" t="s">
        <v>4434</v>
      </c>
      <c r="K40" s="36">
        <v>376330.41000000003</v>
      </c>
      <c r="L40" s="36"/>
      <c r="M40" s="4" t="s">
        <v>4438</v>
      </c>
      <c r="N40" s="36">
        <v>260000</v>
      </c>
      <c r="O40" s="36"/>
      <c r="P40" s="36"/>
      <c r="Q40" s="4" t="s">
        <v>4434</v>
      </c>
      <c r="R40" s="36">
        <v>376330.41000000003</v>
      </c>
      <c r="X40" s="4" t="s">
        <v>4451</v>
      </c>
      <c r="Y40" s="45">
        <v>2262611.7999999998</v>
      </c>
    </row>
    <row r="41" spans="1:25" x14ac:dyDescent="0.25">
      <c r="A41" s="4" t="s">
        <v>4452</v>
      </c>
      <c r="B41" s="36">
        <v>2798631.39</v>
      </c>
      <c r="D41" s="4" t="s">
        <v>4434</v>
      </c>
      <c r="E41" s="36">
        <v>1165500</v>
      </c>
      <c r="G41" s="4" t="s">
        <v>4450</v>
      </c>
      <c r="H41" s="36">
        <v>1330100</v>
      </c>
      <c r="J41" s="4" t="s">
        <v>4457</v>
      </c>
      <c r="K41" s="36">
        <v>376330.41000000003</v>
      </c>
      <c r="L41" s="36"/>
      <c r="M41" s="4" t="s">
        <v>4434</v>
      </c>
      <c r="N41" s="36">
        <v>130000</v>
      </c>
      <c r="O41" s="36"/>
      <c r="P41" s="36"/>
      <c r="Q41" s="4" t="s">
        <v>4457</v>
      </c>
      <c r="R41" s="36">
        <v>376330.41000000003</v>
      </c>
      <c r="X41" s="4" t="s">
        <v>4454</v>
      </c>
      <c r="Y41" s="45">
        <v>2212592.7599999998</v>
      </c>
    </row>
    <row r="42" spans="1:25" x14ac:dyDescent="0.25">
      <c r="A42" s="4" t="s">
        <v>4425</v>
      </c>
      <c r="B42" s="36">
        <v>4793920.6599999992</v>
      </c>
      <c r="D42" s="4" t="s">
        <v>4457</v>
      </c>
      <c r="E42" s="36">
        <v>560000</v>
      </c>
      <c r="G42" s="4" t="s">
        <v>4435</v>
      </c>
      <c r="H42" s="36">
        <v>1330460</v>
      </c>
      <c r="J42" s="4" t="s">
        <v>4450</v>
      </c>
      <c r="K42" s="36">
        <v>376330.41000000003</v>
      </c>
      <c r="L42" s="36"/>
      <c r="M42" s="4" t="s">
        <v>4457</v>
      </c>
      <c r="N42" s="36">
        <v>110000</v>
      </c>
      <c r="O42" s="36"/>
      <c r="P42" s="36"/>
      <c r="Q42" s="4" t="s">
        <v>4450</v>
      </c>
      <c r="R42" s="36">
        <v>376330.41000000003</v>
      </c>
      <c r="X42" s="4" t="s">
        <v>4455</v>
      </c>
      <c r="Y42" s="45">
        <v>2158507.79</v>
      </c>
    </row>
    <row r="43" spans="1:25" x14ac:dyDescent="0.25">
      <c r="A43" s="4" t="s">
        <v>4444</v>
      </c>
      <c r="B43" s="36">
        <v>2437111.8000000003</v>
      </c>
      <c r="D43" s="4" t="s">
        <v>4450</v>
      </c>
      <c r="E43" s="36">
        <v>2247000</v>
      </c>
      <c r="G43" s="4" t="s">
        <v>4436</v>
      </c>
      <c r="H43" s="36">
        <v>1686432.21</v>
      </c>
      <c r="J43" s="4" t="s">
        <v>4435</v>
      </c>
      <c r="K43" s="36">
        <v>376330.41000000003</v>
      </c>
      <c r="L43" s="36"/>
      <c r="M43" s="4" t="s">
        <v>4450</v>
      </c>
      <c r="N43" s="36">
        <v>100000</v>
      </c>
      <c r="O43" s="36"/>
      <c r="P43" s="36"/>
      <c r="Q43" s="4" t="s">
        <v>4435</v>
      </c>
      <c r="R43" s="36">
        <v>376330.41000000003</v>
      </c>
      <c r="X43" s="4" t="s">
        <v>4449</v>
      </c>
      <c r="Y43" s="45">
        <v>2006930.41</v>
      </c>
    </row>
    <row r="44" spans="1:25" x14ac:dyDescent="0.25">
      <c r="A44" s="4" t="s">
        <v>4455</v>
      </c>
      <c r="B44" s="36">
        <v>2158507.79</v>
      </c>
      <c r="D44" s="4" t="s">
        <v>4435</v>
      </c>
      <c r="E44" s="36">
        <v>3230000</v>
      </c>
      <c r="G44" s="4" t="s">
        <v>4456</v>
      </c>
      <c r="H44" s="36">
        <v>1394945.42</v>
      </c>
      <c r="J44" s="4" t="s">
        <v>4436</v>
      </c>
      <c r="K44" s="36">
        <v>376330.41000000003</v>
      </c>
      <c r="L44" s="36"/>
      <c r="M44" s="4" t="s">
        <v>4435</v>
      </c>
      <c r="N44" s="36">
        <v>100000</v>
      </c>
      <c r="O44" s="36"/>
      <c r="P44" s="36"/>
      <c r="Q44" s="4" t="s">
        <v>4436</v>
      </c>
      <c r="R44" s="36">
        <v>376330.41000000003</v>
      </c>
      <c r="X44" s="4" t="s">
        <v>4439</v>
      </c>
      <c r="Y44" s="45">
        <v>1762611.8000000003</v>
      </c>
    </row>
    <row r="45" spans="1:25" x14ac:dyDescent="0.25">
      <c r="A45" s="4" t="s">
        <v>4373</v>
      </c>
      <c r="B45" s="36">
        <v>699412.4</v>
      </c>
      <c r="D45" s="4" t="s">
        <v>4436</v>
      </c>
      <c r="E45" s="36">
        <v>2885000</v>
      </c>
      <c r="G45" s="4" t="s">
        <v>4441</v>
      </c>
      <c r="H45" s="36">
        <v>1475600</v>
      </c>
      <c r="J45" s="4" t="s">
        <v>4456</v>
      </c>
      <c r="K45" s="36">
        <v>376330.41000000003</v>
      </c>
      <c r="L45" s="36"/>
      <c r="M45" s="4" t="s">
        <v>4436</v>
      </c>
      <c r="N45" s="36">
        <v>90000</v>
      </c>
      <c r="O45" s="36"/>
      <c r="P45" s="36"/>
      <c r="Q45" s="4" t="s">
        <v>4456</v>
      </c>
      <c r="R45" s="36">
        <v>376330.41000000003</v>
      </c>
      <c r="X45" s="4" t="s">
        <v>4459</v>
      </c>
      <c r="Y45" s="45">
        <v>1648884.24</v>
      </c>
    </row>
    <row r="46" spans="1:25" x14ac:dyDescent="0.25">
      <c r="A46" s="4" t="s">
        <v>4459</v>
      </c>
      <c r="B46" s="36">
        <v>1648884.24</v>
      </c>
      <c r="D46" s="4" t="s">
        <v>4456</v>
      </c>
      <c r="E46" s="36">
        <v>1185000</v>
      </c>
      <c r="G46" s="4" t="s">
        <v>4489</v>
      </c>
      <c r="H46" s="36">
        <v>51883291.070000008</v>
      </c>
      <c r="J46" s="4" t="s">
        <v>4441</v>
      </c>
      <c r="K46" s="36">
        <v>376330.41000000003</v>
      </c>
      <c r="L46" s="36"/>
      <c r="M46" s="4" t="s">
        <v>4456</v>
      </c>
      <c r="N46" s="36">
        <v>80000</v>
      </c>
      <c r="O46" s="36"/>
      <c r="P46" s="36"/>
      <c r="Q46" s="4" t="s">
        <v>4441</v>
      </c>
      <c r="R46" s="36">
        <v>376330.41000000003</v>
      </c>
      <c r="X46" s="4" t="s">
        <v>35</v>
      </c>
      <c r="Y46" s="45">
        <v>1096200</v>
      </c>
    </row>
    <row r="47" spans="1:25" x14ac:dyDescent="0.25">
      <c r="A47" s="4" t="s">
        <v>4449</v>
      </c>
      <c r="B47" s="36">
        <v>2006930.41</v>
      </c>
      <c r="D47" s="4" t="s">
        <v>4441</v>
      </c>
      <c r="E47" s="36">
        <v>1220000</v>
      </c>
      <c r="J47" s="4" t="s">
        <v>4489</v>
      </c>
      <c r="K47" s="36">
        <v>13049481.130000005</v>
      </c>
      <c r="L47" s="36"/>
      <c r="M47" s="4" t="s">
        <v>4441</v>
      </c>
      <c r="N47" s="36">
        <v>80000</v>
      </c>
      <c r="O47" s="36"/>
      <c r="P47" s="36"/>
      <c r="Q47" s="4" t="s">
        <v>4489</v>
      </c>
      <c r="R47" s="36">
        <v>13049481.130000005</v>
      </c>
      <c r="X47" s="4" t="s">
        <v>3275</v>
      </c>
      <c r="Y47" s="45">
        <v>813000</v>
      </c>
    </row>
    <row r="48" spans="1:25" x14ac:dyDescent="0.25">
      <c r="A48" s="4" t="s">
        <v>4447</v>
      </c>
      <c r="B48" s="36">
        <v>3128086.6700000004</v>
      </c>
      <c r="D48" s="4" t="s">
        <v>35</v>
      </c>
      <c r="E48" s="36">
        <v>1090200</v>
      </c>
      <c r="M48" s="4" t="s">
        <v>4489</v>
      </c>
      <c r="N48" s="36">
        <v>3853250</v>
      </c>
      <c r="O48" s="36">
        <v>9500</v>
      </c>
      <c r="P48" s="36"/>
      <c r="X48" s="4" t="s">
        <v>4373</v>
      </c>
      <c r="Y48" s="45">
        <v>699412.4</v>
      </c>
    </row>
    <row r="49" spans="1:25" x14ac:dyDescent="0.25">
      <c r="A49" s="4" t="s">
        <v>4489</v>
      </c>
      <c r="B49" s="36">
        <v>126859893.15999998</v>
      </c>
      <c r="D49" s="4" t="s">
        <v>4489</v>
      </c>
      <c r="E49" s="36">
        <v>49145559.490000002</v>
      </c>
      <c r="X49" s="4" t="s">
        <v>4489</v>
      </c>
      <c r="Y49" s="45">
        <v>126859893.16</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AC0E3-A024-4EB4-9152-55CCA2F2ACF9}">
  <dimension ref="A1:AA160"/>
  <sheetViews>
    <sheetView showGridLines="0" tabSelected="1" zoomScale="70" zoomScaleNormal="70" workbookViewId="0">
      <selection activeCell="S46" sqref="S46"/>
    </sheetView>
  </sheetViews>
  <sheetFormatPr defaultRowHeight="15" x14ac:dyDescent="0.25"/>
  <cols>
    <col min="1" max="7" width="9.140625" style="46"/>
    <col min="8" max="8" width="14.28515625" style="46" bestFit="1" customWidth="1"/>
    <col min="9" max="12" width="9.140625" style="46"/>
    <col min="13" max="13" width="19" style="46" bestFit="1" customWidth="1"/>
    <col min="14" max="14" width="19.140625" style="46" customWidth="1"/>
    <col min="15" max="15" width="9.140625" style="46"/>
    <col min="16" max="16" width="16.85546875" style="46" bestFit="1" customWidth="1"/>
    <col min="17" max="24" width="9.140625" style="46"/>
    <col min="25" max="25" width="11.42578125" style="46" customWidth="1"/>
    <col min="26" max="26" width="9.140625" style="46"/>
    <col min="27" max="27" width="12.7109375" style="46" bestFit="1" customWidth="1"/>
    <col min="28" max="16384" width="9.140625" style="46"/>
  </cols>
  <sheetData>
    <row r="1" spans="1:27" ht="54.75" customHeight="1" x14ac:dyDescent="0.25"/>
    <row r="2" spans="1:27" ht="15.75" customHeight="1" x14ac:dyDescent="0.25">
      <c r="A2" s="47"/>
      <c r="B2" s="47"/>
      <c r="C2" s="47"/>
      <c r="D2" s="47"/>
      <c r="E2" s="47"/>
      <c r="F2" s="47"/>
      <c r="G2" s="47"/>
      <c r="H2" s="48"/>
      <c r="I2" s="47"/>
      <c r="J2" s="47"/>
      <c r="K2" s="47"/>
      <c r="L2" s="47"/>
      <c r="M2" s="47"/>
      <c r="N2" s="47"/>
      <c r="O2" s="47"/>
      <c r="P2" s="47"/>
      <c r="Q2" s="47"/>
      <c r="R2" s="47"/>
      <c r="S2" s="47"/>
      <c r="T2" s="47"/>
      <c r="U2" s="47"/>
      <c r="V2" s="47"/>
      <c r="W2" s="47"/>
      <c r="X2" s="47"/>
      <c r="Y2" s="47"/>
      <c r="Z2" s="47"/>
      <c r="AA2" s="47"/>
    </row>
    <row r="33" s="46" customFormat="1" x14ac:dyDescent="0.25"/>
    <row r="34" s="46" customFormat="1" x14ac:dyDescent="0.25"/>
    <row r="35" s="46" customFormat="1" x14ac:dyDescent="0.25"/>
    <row r="36" s="46" customFormat="1" x14ac:dyDescent="0.25"/>
    <row r="37" s="46" customFormat="1" x14ac:dyDescent="0.25"/>
    <row r="38" s="46" customFormat="1" x14ac:dyDescent="0.25"/>
    <row r="39" s="46" customFormat="1" x14ac:dyDescent="0.25"/>
    <row r="40" s="46" customFormat="1" x14ac:dyDescent="0.25"/>
    <row r="41" s="46" customFormat="1" x14ac:dyDescent="0.25"/>
    <row r="42" s="46" customFormat="1" x14ac:dyDescent="0.25"/>
    <row r="43" s="46" customFormat="1" x14ac:dyDescent="0.25"/>
    <row r="44" s="46" customFormat="1" x14ac:dyDescent="0.25"/>
    <row r="45" s="46" customFormat="1" x14ac:dyDescent="0.25"/>
    <row r="46" s="46" customFormat="1" x14ac:dyDescent="0.25"/>
    <row r="47" s="46" customFormat="1" x14ac:dyDescent="0.25"/>
    <row r="48" s="46" customFormat="1" x14ac:dyDescent="0.25"/>
    <row r="49" s="46" customFormat="1" x14ac:dyDescent="0.25"/>
    <row r="50" s="46" customFormat="1" x14ac:dyDescent="0.25"/>
    <row r="51" s="46" customFormat="1" x14ac:dyDescent="0.25"/>
    <row r="52" s="46" customFormat="1" x14ac:dyDescent="0.25"/>
    <row r="53" s="46" customFormat="1" x14ac:dyDescent="0.25"/>
    <row r="54" s="46" customFormat="1" x14ac:dyDescent="0.25"/>
    <row r="55" s="46" customFormat="1" x14ac:dyDescent="0.25"/>
    <row r="56" s="46" customFormat="1" x14ac:dyDescent="0.25"/>
    <row r="57" s="46" customFormat="1" x14ac:dyDescent="0.25"/>
    <row r="58" s="46" customFormat="1" x14ac:dyDescent="0.25"/>
    <row r="59" s="46" customFormat="1" x14ac:dyDescent="0.25"/>
    <row r="60" s="46" customFormat="1" x14ac:dyDescent="0.25"/>
    <row r="61" s="46" customFormat="1" x14ac:dyDescent="0.25"/>
    <row r="62" s="46" customFormat="1" x14ac:dyDescent="0.25"/>
    <row r="63" s="46" customFormat="1" x14ac:dyDescent="0.25"/>
    <row r="64"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9" spans="26:27" x14ac:dyDescent="0.25">
      <c r="Z89" s="46" t="s">
        <v>4507</v>
      </c>
      <c r="AA89" s="50">
        <f>GETPIVOTDATA("Total Price",'Pivot Tables'!$X$9)</f>
        <v>126859893.16</v>
      </c>
    </row>
    <row r="90" spans="26:27" x14ac:dyDescent="0.25">
      <c r="Z90" s="46" t="s">
        <v>4508</v>
      </c>
      <c r="AA90" s="51">
        <f>GETPIVOTDATA("Total Price",'Pivot Tables'!$D$9,"Bill","Electricity Recharge")</f>
        <v>49145559.490000002</v>
      </c>
    </row>
    <row r="91" spans="26:27" x14ac:dyDescent="0.25">
      <c r="Z91" s="46" t="s">
        <v>2848</v>
      </c>
      <c r="AA91" s="51">
        <f>GETPIVOTDATA("Total Price",'Pivot Tables'!$G$9,"Bill","Service Charge")</f>
        <v>51883291.070000008</v>
      </c>
    </row>
    <row r="92" spans="26:27" x14ac:dyDescent="0.25">
      <c r="Z92" s="46" t="s">
        <v>4493</v>
      </c>
      <c r="AA92" s="51">
        <f>GETPIVOTDATA("Total Price",'Pivot Tables'!$J$9,"Bill","Fixed Charge")</f>
        <v>13049481.130000005</v>
      </c>
    </row>
    <row r="93" spans="26:27" x14ac:dyDescent="0.25">
      <c r="Z93" s="46" t="s">
        <v>2742</v>
      </c>
      <c r="AA93" s="51">
        <f>GETPIVOTDATA("Total Price",'Pivot Tables'!$M$9,"Bill","Water Bill")</f>
        <v>3853250</v>
      </c>
    </row>
    <row r="94" spans="26:27" x14ac:dyDescent="0.25">
      <c r="Z94" s="46" t="s">
        <v>4509</v>
      </c>
      <c r="AA94" s="52" t="str">
        <f>INDEX('Pivot Tables'!A10:A48, MATCH(MAX('Pivot Tables'!B10:B48), 'Pivot Tables'!B10:B48, 0))</f>
        <v>D6</v>
      </c>
    </row>
    <row r="95" spans="26:27" x14ac:dyDescent="0.25">
      <c r="Z95" s="46" t="s">
        <v>4510</v>
      </c>
      <c r="AA95" s="52" t="str">
        <f>INDEX('Pivot Tables'!A11:A49, MATCH(MIN('Pivot Tables'!B11:B49), 'Pivot Tables'!B11:B49, 0))</f>
        <v>A4</v>
      </c>
    </row>
    <row r="96" spans="26:27" x14ac:dyDescent="0.25">
      <c r="AA96" s="49"/>
    </row>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Raw Data</vt:lpstr>
      <vt:lpstr>Cleaned Data</vt:lpstr>
      <vt:lpstr>Pivot Tables</vt:lpstr>
      <vt:lpstr>Dashboards</vt:lpstr>
      <vt:lpstr>D6_</vt:lpstr>
      <vt:lpstr>Electricity</vt:lpstr>
      <vt:lpstr>Fixed_charge</vt:lpstr>
      <vt:lpstr>Highest_paid</vt:lpstr>
      <vt:lpstr>Dashboards!KPI_value</vt:lpstr>
      <vt:lpstr>Lowest_paid</vt:lpstr>
      <vt:lpstr>Service_charge</vt:lpstr>
      <vt:lpstr>Total_Revenue</vt:lpstr>
      <vt:lpstr>Water_Bill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kehinde ojo</dc:creator>
  <cp:lastModifiedBy>kehinde ojo</cp:lastModifiedBy>
  <dcterms:created xsi:type="dcterms:W3CDTF">2025-02-28T18:21:23Z</dcterms:created>
  <dcterms:modified xsi:type="dcterms:W3CDTF">2025-03-28T02:10:29Z</dcterms:modified>
</cp:coreProperties>
</file>